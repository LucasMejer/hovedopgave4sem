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G:\SALG\PRISER\2026\EURO Price List\"/>
    </mc:Choice>
  </mc:AlternateContent>
  <xr:revisionPtr revIDLastSave="0" documentId="13_ncr:1_{4F9FE1CE-C375-4897-88F6-285884EA31D8}" xr6:coauthVersionLast="47" xr6:coauthVersionMax="47" xr10:uidLastSave="{00000000-0000-0000-0000-000000000000}"/>
  <bookViews>
    <workbookView xWindow="-120" yWindow="-120" windowWidth="29040" windowHeight="15720" xr2:uid="{BC0E001A-DBE7-4F6E-B04A-49FBFC33415C}"/>
  </bookViews>
  <sheets>
    <sheet name="Price overview (EUR)" sheetId="14" r:id="rId1"/>
    <sheet name="Price overview (DKK)" sheetId="15" r:id="rId2"/>
    <sheet name="Price overview (USD)" sheetId="16" r:id="rId3"/>
    <sheet name="Price Table" sheetId="13" r:id="rId4"/>
    <sheet name="Customer Net Price" sheetId="17" state="hidden" r:id="rId5"/>
  </sheets>
  <definedNames>
    <definedName name="A">'Price overview (EUR)'!$H$4</definedName>
    <definedName name="B">'Price overview (EUR)'!$H$5</definedName>
    <definedName name="C_">'Price overview (EUR)'!$H$6</definedName>
    <definedName name="CANVIK">'Price overview (EUR)'!$J$7</definedName>
    <definedName name="CM">'Price overview (EUR)'!$J$4</definedName>
    <definedName name="COLOURMATCH">#REF!</definedName>
    <definedName name="CV">'Price overview (EUR)'!$J$7</definedName>
    <definedName name="D">'Price overview (EUR)'!$H$7</definedName>
    <definedName name="dada">#REF!</definedName>
    <definedName name="E">'Price overview (EUR)'!$H$8</definedName>
    <definedName name="EX">'Price overview (EUR)'!$J$6</definedName>
    <definedName name="EXPROOF">#REF!</definedName>
    <definedName name="ItemNo">#REF!</definedName>
    <definedName name="Link">#REF!</definedName>
    <definedName name="LITE">#REF!</definedName>
    <definedName name="location">#REF!</definedName>
    <definedName name="MAGNEFIX">'Price overview (EUR)'!$J$8</definedName>
    <definedName name="MF">#REF!</definedName>
    <definedName name="PowerSource">#REF!</definedName>
    <definedName name="ProductFamily">#REF!</definedName>
    <definedName name="ProductInfo">#REF!</definedName>
    <definedName name="ProductLines">#REF!</definedName>
    <definedName name="ProductRegion">#REF!</definedName>
    <definedName name="ProductType">#REF!</definedName>
    <definedName name="Slicer_Family2">#N/A</definedName>
    <definedName name="Slicer_Family21">#N/A</definedName>
    <definedName name="Slicer_Family22">#N/A</definedName>
    <definedName name="Slicer_Plug_variant">#N/A</definedName>
    <definedName name="Slicer_Plug_variant1">#N/A</definedName>
    <definedName name="Slicer_Plug_variant2">#N/A</definedName>
    <definedName name="Slicer_Product_Line2">#N/A</definedName>
    <definedName name="Slicer_Product_Line21">#N/A</definedName>
    <definedName name="Slicer_Product_Line22">#N/A</definedName>
    <definedName name="Stage">#REF!</definedName>
    <definedName name="Table_PowerSource">#REF!</definedName>
    <definedName name="Table_Stages">#REF!</definedName>
    <definedName name="_xlnm.Print_Area" localSheetId="0">'Price overview (EUR)'!$A$13:$H$381</definedName>
    <definedName name="_xlnm.Print_Area" localSheetId="3">'Price Table'!$A$1:$K$562</definedName>
    <definedName name="_xlnm.Print_Titles" localSheetId="0">'Price overview (EUR)'!$17:$17</definedName>
    <definedName name="UV">'Price overview (EUR)'!$J$5</definedName>
    <definedName name="w">#REF!</definedName>
    <definedName name="WL">#REF!</definedName>
    <definedName name="WORKLIGHTS">#REF!</definedName>
  </definedNames>
  <calcPr calcId="191029"/>
  <pivotCaches>
    <pivotCache cacheId="8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45" i="13" l="1"/>
  <c r="U646" i="13"/>
  <c r="U647" i="13"/>
  <c r="V645" i="13"/>
  <c r="V646" i="13"/>
  <c r="V647" i="13"/>
  <c r="U641" i="13"/>
  <c r="U642" i="13"/>
  <c r="U643" i="13"/>
  <c r="U644" i="13"/>
  <c r="U648" i="13"/>
  <c r="V641" i="13"/>
  <c r="V642" i="13"/>
  <c r="V643" i="13"/>
  <c r="V644" i="13"/>
  <c r="V648" i="13"/>
  <c r="Q647" i="13"/>
  <c r="O643" i="13"/>
  <c r="N641" i="13"/>
  <c r="O645" i="13"/>
  <c r="O648" i="13"/>
  <c r="P644" i="13" a="1"/>
  <c r="Q640" i="13"/>
  <c r="Q644" i="13"/>
  <c r="Q645" i="13"/>
  <c r="O641" i="13"/>
  <c r="O644" i="13"/>
  <c r="P641" i="13" a="1"/>
  <c r="N644" i="13"/>
  <c r="N646" i="13"/>
  <c r="N648" i="13"/>
  <c r="O647" i="13"/>
  <c r="O646" i="13"/>
  <c r="N645" i="13"/>
  <c r="P647" i="13" a="1"/>
  <c r="P645" i="13" a="1"/>
  <c r="P643" i="13" a="1"/>
  <c r="Q641" i="13"/>
  <c r="Q646" i="13"/>
  <c r="N647" i="13"/>
  <c r="P646" i="13" a="1"/>
  <c r="P648" i="13" a="1"/>
  <c r="Q643" i="13"/>
  <c r="N643" i="13"/>
  <c r="Q648" i="13"/>
  <c r="P647" i="13" l="1"/>
  <c r="P646" i="13"/>
  <c r="P645" i="13"/>
  <c r="S646" i="13"/>
  <c r="S645" i="13"/>
  <c r="T647" i="13"/>
  <c r="T646" i="13"/>
  <c r="T645" i="13"/>
  <c r="S647" i="13"/>
  <c r="T643" i="13"/>
  <c r="P648" i="13"/>
  <c r="P644" i="13"/>
  <c r="S644" i="13"/>
  <c r="P643" i="13"/>
  <c r="S643" i="13"/>
  <c r="S642" i="13"/>
  <c r="P641" i="13"/>
  <c r="T644" i="13"/>
  <c r="S641" i="13"/>
  <c r="T648" i="13"/>
  <c r="T641" i="13"/>
  <c r="T642" i="13"/>
  <c r="S648" i="13"/>
  <c r="U639" i="13" l="1"/>
  <c r="U640" i="13"/>
  <c r="V639" i="13"/>
  <c r="V640" i="13"/>
  <c r="V638" i="13"/>
  <c r="T638" i="13" s="1"/>
  <c r="U638" i="13"/>
  <c r="S638" i="13" s="1"/>
  <c r="V637" i="13"/>
  <c r="T637" i="13" s="1"/>
  <c r="U637" i="13"/>
  <c r="S637" i="13" s="1"/>
  <c r="V636" i="13"/>
  <c r="V635" i="13"/>
  <c r="V634" i="13"/>
  <c r="V633" i="13"/>
  <c r="V632" i="13"/>
  <c r="V631" i="13"/>
  <c r="V630" i="13"/>
  <c r="V629" i="13"/>
  <c r="V628" i="13"/>
  <c r="U636" i="13"/>
  <c r="U635" i="13"/>
  <c r="U634" i="13"/>
  <c r="U633" i="13"/>
  <c r="U632" i="13"/>
  <c r="U631" i="13"/>
  <c r="U630" i="13"/>
  <c r="U629" i="13"/>
  <c r="U628" i="13"/>
  <c r="N640" i="13"/>
  <c r="O639" i="13"/>
  <c r="O640" i="13"/>
  <c r="P640" i="13" a="1"/>
  <c r="Q639" i="13"/>
  <c r="P639" i="13" a="1"/>
  <c r="N639" i="13"/>
  <c r="P640" i="13" l="1"/>
  <c r="P639" i="13"/>
  <c r="T639" i="13"/>
  <c r="T640" i="13"/>
  <c r="S640" i="13"/>
  <c r="S639" i="13"/>
  <c r="S628" i="13"/>
  <c r="S629" i="13"/>
  <c r="S630" i="13"/>
  <c r="S631" i="13"/>
  <c r="S632" i="13"/>
  <c r="S633" i="13"/>
  <c r="S634" i="13"/>
  <c r="S635" i="13"/>
  <c r="S636" i="13"/>
  <c r="T628" i="13"/>
  <c r="T629" i="13"/>
  <c r="T630" i="13"/>
  <c r="T631" i="13"/>
  <c r="T632" i="13"/>
  <c r="T633" i="13"/>
  <c r="T634" i="13"/>
  <c r="T635" i="13"/>
  <c r="T636" i="13"/>
  <c r="V222" i="13"/>
  <c r="U222" i="13"/>
  <c r="V201" i="13"/>
  <c r="U201" i="13"/>
  <c r="V317" i="13"/>
  <c r="U317" i="13"/>
  <c r="V237" i="13"/>
  <c r="U237" i="13"/>
  <c r="V236" i="13"/>
  <c r="U236" i="13"/>
  <c r="V235" i="13"/>
  <c r="U235" i="13"/>
  <c r="V234" i="13"/>
  <c r="U234" i="13"/>
  <c r="V233" i="13"/>
  <c r="U233" i="13"/>
  <c r="V228" i="13"/>
  <c r="U228" i="13"/>
  <c r="V227" i="13"/>
  <c r="U227" i="13"/>
  <c r="V226" i="13"/>
  <c r="U226" i="13"/>
  <c r="V225" i="13"/>
  <c r="U225" i="13"/>
  <c r="V224" i="13"/>
  <c r="U224" i="13"/>
  <c r="V188" i="13"/>
  <c r="U188" i="13"/>
  <c r="V326" i="13"/>
  <c r="U326" i="13"/>
  <c r="V325" i="13"/>
  <c r="U325" i="13"/>
  <c r="U332" i="13"/>
  <c r="S332" i="13" s="1"/>
  <c r="V332" i="13"/>
  <c r="T332" i="13" s="1"/>
  <c r="U330" i="13"/>
  <c r="S330" i="13" s="1"/>
  <c r="V330" i="13"/>
  <c r="T330" i="13" s="1"/>
  <c r="U328" i="13"/>
  <c r="S328" i="13" s="1"/>
  <c r="V328" i="13"/>
  <c r="T328" i="13" s="1"/>
  <c r="N228" i="13"/>
  <c r="O225" i="13"/>
  <c r="N317" i="13"/>
  <c r="O237" i="13"/>
  <c r="Q233" i="13"/>
  <c r="N227" i="13"/>
  <c r="P227" i="13" a="1"/>
  <c r="N225" i="13"/>
  <c r="P222" i="13" a="1"/>
  <c r="Q228" i="13"/>
  <c r="P225" i="13" a="1"/>
  <c r="P228" i="13" a="1"/>
  <c r="P326" i="13" a="1"/>
  <c r="P188" i="13" a="1"/>
  <c r="P235" i="13" a="1"/>
  <c r="Q325" i="13"/>
  <c r="P317" i="13" a="1"/>
  <c r="O326" i="13"/>
  <c r="N237" i="13"/>
  <c r="Q227" i="13"/>
  <c r="P236" i="13" a="1"/>
  <c r="O233" i="13"/>
  <c r="Q234" i="13"/>
  <c r="P325" i="13" a="1"/>
  <c r="Q222" i="13"/>
  <c r="P234" i="13" a="1"/>
  <c r="Q201" i="13"/>
  <c r="N235" i="13"/>
  <c r="Q226" i="13"/>
  <c r="Q326" i="13"/>
  <c r="Q235" i="13"/>
  <c r="Q188" i="13"/>
  <c r="N233" i="13"/>
  <c r="O235" i="13"/>
  <c r="O226" i="13"/>
  <c r="O228" i="13"/>
  <c r="N188" i="13"/>
  <c r="O236" i="13"/>
  <c r="N234" i="13"/>
  <c r="P237" i="13" a="1"/>
  <c r="O201" i="13"/>
  <c r="O227" i="13"/>
  <c r="O325" i="13"/>
  <c r="N325" i="13"/>
  <c r="O222" i="13"/>
  <c r="Q236" i="13"/>
  <c r="Q237" i="13"/>
  <c r="P233" i="13" a="1"/>
  <c r="P226" i="13" a="1"/>
  <c r="O317" i="13"/>
  <c r="N326" i="13"/>
  <c r="Q317" i="13"/>
  <c r="O188" i="13"/>
  <c r="Q224" i="13"/>
  <c r="N236" i="13"/>
  <c r="P224" i="13" a="1"/>
  <c r="O234" i="13"/>
  <c r="O224" i="13"/>
  <c r="N201" i="13"/>
  <c r="Q225" i="13"/>
  <c r="N222" i="13"/>
  <c r="N224" i="13"/>
  <c r="N226" i="13"/>
  <c r="P201" i="13" a="1"/>
  <c r="P222" i="13" l="1"/>
  <c r="S222" i="13"/>
  <c r="T222" i="13"/>
  <c r="P201" i="13"/>
  <c r="S201" i="13"/>
  <c r="T201" i="13"/>
  <c r="S317" i="13"/>
  <c r="P317" i="13"/>
  <c r="T317" i="13"/>
  <c r="P233" i="13"/>
  <c r="S237" i="13"/>
  <c r="S236" i="13"/>
  <c r="T236" i="13"/>
  <c r="P236" i="13"/>
  <c r="S235" i="13"/>
  <c r="P235" i="13"/>
  <c r="S234" i="13"/>
  <c r="T234" i="13"/>
  <c r="P234" i="13"/>
  <c r="P237" i="13"/>
  <c r="T233" i="13"/>
  <c r="T237" i="13"/>
  <c r="S233" i="13"/>
  <c r="T235" i="13"/>
  <c r="P224" i="13"/>
  <c r="T228" i="13"/>
  <c r="P227" i="13"/>
  <c r="S226" i="13"/>
  <c r="P225" i="13"/>
  <c r="S224" i="13"/>
  <c r="P228" i="13"/>
  <c r="T226" i="13"/>
  <c r="P226" i="13"/>
  <c r="T225" i="13"/>
  <c r="S225" i="13"/>
  <c r="S227" i="13"/>
  <c r="T227" i="13"/>
  <c r="T224" i="13"/>
  <c r="S228" i="13"/>
  <c r="S188" i="13"/>
  <c r="T188" i="13"/>
  <c r="P188" i="13"/>
  <c r="T326" i="13"/>
  <c r="S326" i="13"/>
  <c r="S325" i="13"/>
  <c r="T325" i="13"/>
  <c r="P326" i="13"/>
  <c r="P325" i="13"/>
  <c r="U363" i="13" l="1"/>
  <c r="U624" i="13"/>
  <c r="U625" i="13"/>
  <c r="V363" i="13"/>
  <c r="V624" i="13"/>
  <c r="V625" i="13"/>
  <c r="U337" i="13"/>
  <c r="U340" i="13"/>
  <c r="V337" i="13"/>
  <c r="V340" i="13"/>
  <c r="V623" i="13"/>
  <c r="U623" i="13"/>
  <c r="V622" i="13"/>
  <c r="U622" i="13"/>
  <c r="U77" i="13"/>
  <c r="U348" i="13"/>
  <c r="U362" i="13"/>
  <c r="U626" i="13"/>
  <c r="U627" i="13"/>
  <c r="V77" i="13"/>
  <c r="V348" i="13"/>
  <c r="V362" i="13"/>
  <c r="V626" i="13"/>
  <c r="V627" i="13"/>
  <c r="U365" i="13"/>
  <c r="V365" i="13"/>
  <c r="U364" i="13"/>
  <c r="V364" i="13"/>
  <c r="U361" i="13"/>
  <c r="V361" i="13"/>
  <c r="O623" i="13"/>
  <c r="P337" i="13" a="1"/>
  <c r="P363" i="13" a="1"/>
  <c r="N363" i="13"/>
  <c r="P364" i="13" a="1"/>
  <c r="P623" i="13" a="1"/>
  <c r="Q361" i="13"/>
  <c r="O622" i="13"/>
  <c r="O362" i="13"/>
  <c r="Q337" i="13"/>
  <c r="N364" i="13"/>
  <c r="O340" i="13"/>
  <c r="Q623" i="13"/>
  <c r="Q622" i="13"/>
  <c r="P365" i="13" a="1"/>
  <c r="Q362" i="13"/>
  <c r="P77" i="13" a="1"/>
  <c r="P348" i="13" a="1"/>
  <c r="N361" i="13"/>
  <c r="O364" i="13"/>
  <c r="N77" i="13"/>
  <c r="P340" i="13" a="1"/>
  <c r="Q340" i="13"/>
  <c r="O337" i="13"/>
  <c r="Q348" i="13"/>
  <c r="O348" i="13"/>
  <c r="N622" i="13"/>
  <c r="P622" i="13" a="1"/>
  <c r="N340" i="13"/>
  <c r="P361" i="13" a="1"/>
  <c r="Q364" i="13"/>
  <c r="N362" i="13"/>
  <c r="O361" i="13"/>
  <c r="N623" i="13"/>
  <c r="P362" i="13" a="1"/>
  <c r="N337" i="13"/>
  <c r="Q363" i="13"/>
  <c r="O365" i="13"/>
  <c r="N348" i="13"/>
  <c r="O77" i="13"/>
  <c r="N365" i="13"/>
  <c r="O363" i="13"/>
  <c r="Q365" i="13"/>
  <c r="Q77" i="13"/>
  <c r="T625" i="13" l="1"/>
  <c r="T624" i="13"/>
  <c r="T363" i="13"/>
  <c r="P363" i="13"/>
  <c r="S625" i="13"/>
  <c r="S624" i="13"/>
  <c r="S363" i="13"/>
  <c r="P340" i="13"/>
  <c r="T337" i="13"/>
  <c r="P337" i="13"/>
  <c r="S337" i="13"/>
  <c r="T340" i="13"/>
  <c r="S340" i="13"/>
  <c r="S622" i="13"/>
  <c r="S623" i="13"/>
  <c r="P623" i="13"/>
  <c r="P622" i="13"/>
  <c r="T622" i="13"/>
  <c r="T623" i="13"/>
  <c r="P348" i="13"/>
  <c r="P77" i="13"/>
  <c r="P362" i="13"/>
  <c r="T627" i="13"/>
  <c r="T362" i="13"/>
  <c r="T77" i="13"/>
  <c r="S362" i="13"/>
  <c r="S77" i="13"/>
  <c r="T626" i="13"/>
  <c r="T348" i="13"/>
  <c r="S627" i="13"/>
  <c r="S348" i="13"/>
  <c r="S626" i="13"/>
  <c r="P365" i="13"/>
  <c r="T365" i="13"/>
  <c r="S365" i="13"/>
  <c r="P364" i="13"/>
  <c r="T364" i="13"/>
  <c r="S364" i="13"/>
  <c r="P361" i="13"/>
  <c r="T361" i="13"/>
  <c r="S361" i="13"/>
  <c r="U206" i="13"/>
  <c r="V206" i="13"/>
  <c r="U215" i="13"/>
  <c r="V215" i="13"/>
  <c r="U385" i="13"/>
  <c r="V385" i="13"/>
  <c r="U324" i="13"/>
  <c r="U358" i="13"/>
  <c r="U327" i="13"/>
  <c r="U329" i="13"/>
  <c r="S329" i="13" s="1"/>
  <c r="U331" i="13"/>
  <c r="S331" i="13" s="1"/>
  <c r="V324" i="13"/>
  <c r="V358" i="13"/>
  <c r="V327" i="13"/>
  <c r="V329" i="13"/>
  <c r="T329" i="13" s="1"/>
  <c r="V331" i="13"/>
  <c r="T331" i="13" s="1"/>
  <c r="U360" i="13"/>
  <c r="V360" i="13"/>
  <c r="U359" i="13"/>
  <c r="V359" i="13"/>
  <c r="V357" i="13"/>
  <c r="U357" i="13"/>
  <c r="Q324" i="13"/>
  <c r="N215" i="13"/>
  <c r="N360" i="13"/>
  <c r="Q359" i="13"/>
  <c r="O358" i="13"/>
  <c r="P360" i="13" a="1"/>
  <c r="P215" i="13" a="1"/>
  <c r="N385" i="13"/>
  <c r="Q385" i="13"/>
  <c r="O206" i="13"/>
  <c r="P324" i="13" a="1"/>
  <c r="O359" i="13"/>
  <c r="P358" i="13" a="1"/>
  <c r="Q357" i="13"/>
  <c r="N357" i="13"/>
  <c r="Q215" i="13"/>
  <c r="O360" i="13"/>
  <c r="P206" i="13" a="1"/>
  <c r="N359" i="13"/>
  <c r="O215" i="13"/>
  <c r="O357" i="13"/>
  <c r="N206" i="13"/>
  <c r="Q358" i="13"/>
  <c r="P359" i="13" a="1"/>
  <c r="P357" i="13" a="1"/>
  <c r="O324" i="13"/>
  <c r="Q360" i="13"/>
  <c r="Q206" i="13"/>
  <c r="P385" i="13" a="1"/>
  <c r="N324" i="13"/>
  <c r="O385" i="13"/>
  <c r="N358" i="13"/>
  <c r="P206" i="13" l="1"/>
  <c r="T206" i="13"/>
  <c r="S206" i="13"/>
  <c r="P215" i="13"/>
  <c r="T215" i="13"/>
  <c r="S215" i="13"/>
  <c r="S385" i="13"/>
  <c r="P385" i="13"/>
  <c r="T385" i="13"/>
  <c r="P358" i="13"/>
  <c r="P324" i="13"/>
  <c r="S327" i="13"/>
  <c r="S358" i="13"/>
  <c r="S324" i="13"/>
  <c r="T327" i="13"/>
  <c r="T358" i="13"/>
  <c r="T324" i="13"/>
  <c r="P360" i="13"/>
  <c r="T360" i="13"/>
  <c r="S360" i="13"/>
  <c r="P359" i="13"/>
  <c r="T359" i="13"/>
  <c r="S359" i="13"/>
  <c r="P357" i="13"/>
  <c r="S357" i="13"/>
  <c r="T357" i="13"/>
  <c r="U355" i="13" l="1"/>
  <c r="V355" i="13"/>
  <c r="U354" i="13"/>
  <c r="V354" i="13"/>
  <c r="U231" i="13"/>
  <c r="V231" i="13"/>
  <c r="P606" i="13"/>
  <c r="O606" i="13"/>
  <c r="N606" i="13"/>
  <c r="U94" i="13"/>
  <c r="V94" i="13"/>
  <c r="U607" i="13"/>
  <c r="V607" i="13"/>
  <c r="U197" i="13"/>
  <c r="V197" i="13"/>
  <c r="U241" i="13"/>
  <c r="V241" i="13"/>
  <c r="U182" i="13"/>
  <c r="V182" i="13"/>
  <c r="U457" i="13"/>
  <c r="U458" i="13"/>
  <c r="U459" i="13"/>
  <c r="U460" i="13"/>
  <c r="U461" i="13"/>
  <c r="U462" i="13"/>
  <c r="U463" i="13"/>
  <c r="U464" i="13"/>
  <c r="U465" i="13"/>
  <c r="U466" i="13"/>
  <c r="U467" i="13"/>
  <c r="U468" i="13"/>
  <c r="U469" i="13"/>
  <c r="U470" i="13"/>
  <c r="U471" i="13"/>
  <c r="U472" i="13"/>
  <c r="U473" i="13"/>
  <c r="U474" i="13"/>
  <c r="U475" i="13"/>
  <c r="U476" i="13"/>
  <c r="U477" i="13"/>
  <c r="U478" i="13"/>
  <c r="U479" i="13"/>
  <c r="U480" i="13"/>
  <c r="U481" i="13"/>
  <c r="U482" i="13"/>
  <c r="U483" i="13"/>
  <c r="U484" i="13"/>
  <c r="U485" i="13"/>
  <c r="U486" i="13"/>
  <c r="U487" i="13"/>
  <c r="U350" i="13"/>
  <c r="V457" i="13"/>
  <c r="V458" i="13"/>
  <c r="V459" i="13"/>
  <c r="V460" i="13"/>
  <c r="V461" i="13"/>
  <c r="V462" i="13"/>
  <c r="V463" i="13"/>
  <c r="V464" i="13"/>
  <c r="V465" i="13"/>
  <c r="V466" i="13"/>
  <c r="V467" i="13"/>
  <c r="V468" i="13"/>
  <c r="V469" i="13"/>
  <c r="V470" i="13"/>
  <c r="V471" i="13"/>
  <c r="V472" i="13"/>
  <c r="V473" i="13"/>
  <c r="V474" i="13"/>
  <c r="V475" i="13"/>
  <c r="V476" i="13"/>
  <c r="V477" i="13"/>
  <c r="V478" i="13"/>
  <c r="V479" i="13"/>
  <c r="V480" i="13"/>
  <c r="V481" i="13"/>
  <c r="V482" i="13"/>
  <c r="V483" i="13"/>
  <c r="V484" i="13"/>
  <c r="V485" i="13"/>
  <c r="V486" i="13"/>
  <c r="V487" i="13"/>
  <c r="V350" i="13"/>
  <c r="U445" i="13"/>
  <c r="U446" i="13"/>
  <c r="U447" i="13"/>
  <c r="U448" i="13"/>
  <c r="U449" i="13"/>
  <c r="U450" i="13"/>
  <c r="U451" i="13"/>
  <c r="U452" i="13"/>
  <c r="U453" i="13"/>
  <c r="U454" i="13"/>
  <c r="U455" i="13"/>
  <c r="U456" i="13"/>
  <c r="U488" i="13"/>
  <c r="U489" i="13"/>
  <c r="U490" i="13"/>
  <c r="U351" i="13"/>
  <c r="U491" i="13"/>
  <c r="U492" i="13"/>
  <c r="U493" i="13"/>
  <c r="U494" i="13"/>
  <c r="U495" i="13"/>
  <c r="U496" i="13"/>
  <c r="U497" i="13"/>
  <c r="U498" i="13"/>
  <c r="U499" i="13"/>
  <c r="U500" i="13"/>
  <c r="U501" i="13"/>
  <c r="U502" i="13"/>
  <c r="U503" i="13"/>
  <c r="U504" i="13"/>
  <c r="U505" i="13"/>
  <c r="U506" i="13"/>
  <c r="U507" i="13"/>
  <c r="U508" i="13"/>
  <c r="U509" i="13"/>
  <c r="U510" i="13"/>
  <c r="U511" i="13"/>
  <c r="U512" i="13"/>
  <c r="U513" i="13"/>
  <c r="U514" i="13"/>
  <c r="U515" i="13"/>
  <c r="U516" i="13"/>
  <c r="U517" i="13"/>
  <c r="U518" i="13"/>
  <c r="U519" i="13"/>
  <c r="U520" i="13"/>
  <c r="U521" i="13"/>
  <c r="U522" i="13"/>
  <c r="U523" i="13"/>
  <c r="U524" i="13"/>
  <c r="U525" i="13"/>
  <c r="U526" i="13"/>
  <c r="U527" i="13"/>
  <c r="U528" i="13"/>
  <c r="U529" i="13"/>
  <c r="V445" i="13"/>
  <c r="V446" i="13"/>
  <c r="V447" i="13"/>
  <c r="V448" i="13"/>
  <c r="V449" i="13"/>
  <c r="V450" i="13"/>
  <c r="V451" i="13"/>
  <c r="V452" i="13"/>
  <c r="V453" i="13"/>
  <c r="V454" i="13"/>
  <c r="V455" i="13"/>
  <c r="V456" i="13"/>
  <c r="V488" i="13"/>
  <c r="V489" i="13"/>
  <c r="V490" i="13"/>
  <c r="V351" i="13"/>
  <c r="V491" i="13"/>
  <c r="V492" i="13"/>
  <c r="V493" i="13"/>
  <c r="V494" i="13"/>
  <c r="V495" i="13"/>
  <c r="V496" i="13"/>
  <c r="V497" i="13"/>
  <c r="V498" i="13"/>
  <c r="V499" i="13"/>
  <c r="V500" i="13"/>
  <c r="V501" i="13"/>
  <c r="V502" i="13"/>
  <c r="V503" i="13"/>
  <c r="V504" i="13"/>
  <c r="V505" i="13"/>
  <c r="V506" i="13"/>
  <c r="V507" i="13"/>
  <c r="V508" i="13"/>
  <c r="V509" i="13"/>
  <c r="V510" i="13"/>
  <c r="V511" i="13"/>
  <c r="V512" i="13"/>
  <c r="V513" i="13"/>
  <c r="V514" i="13"/>
  <c r="V515" i="13"/>
  <c r="V516" i="13"/>
  <c r="V517" i="13"/>
  <c r="V518" i="13"/>
  <c r="V519" i="13"/>
  <c r="V520" i="13"/>
  <c r="V521" i="13"/>
  <c r="V522" i="13"/>
  <c r="V523" i="13"/>
  <c r="V524" i="13"/>
  <c r="V525" i="13"/>
  <c r="V526" i="13"/>
  <c r="V527" i="13"/>
  <c r="V528" i="13"/>
  <c r="V529" i="13"/>
  <c r="V232" i="13"/>
  <c r="V223" i="13"/>
  <c r="U232" i="13"/>
  <c r="U223" i="13"/>
  <c r="P607" i="13" a="1"/>
  <c r="Q197" i="13"/>
  <c r="O607" i="13"/>
  <c r="Q607" i="13"/>
  <c r="O197" i="13"/>
  <c r="Q94" i="13"/>
  <c r="O94" i="13"/>
  <c r="N355" i="13"/>
  <c r="P94" i="13" a="1"/>
  <c r="P231" i="13" a="1"/>
  <c r="N197" i="13"/>
  <c r="O354" i="13"/>
  <c r="N354" i="13"/>
  <c r="Q354" i="13"/>
  <c r="N94" i="13"/>
  <c r="N231" i="13"/>
  <c r="Q355" i="13"/>
  <c r="P355" i="13" a="1"/>
  <c r="P354" i="13" a="1"/>
  <c r="N607" i="13"/>
  <c r="O231" i="13"/>
  <c r="Q231" i="13"/>
  <c r="P197" i="13" a="1"/>
  <c r="O355" i="13"/>
  <c r="P355" i="13" l="1"/>
  <c r="T355" i="13"/>
  <c r="S355" i="13"/>
  <c r="P354" i="13"/>
  <c r="T354" i="13"/>
  <c r="S354" i="13"/>
  <c r="P231" i="13"/>
  <c r="T231" i="13"/>
  <c r="S231" i="13"/>
  <c r="P94" i="13"/>
  <c r="T94" i="13"/>
  <c r="S94" i="13"/>
  <c r="P607" i="13"/>
  <c r="S607" i="13"/>
  <c r="T607" i="13"/>
  <c r="P197" i="13"/>
  <c r="T197" i="13"/>
  <c r="S197" i="13"/>
  <c r="U356" i="13"/>
  <c r="V356" i="13"/>
  <c r="U93" i="13"/>
  <c r="V93" i="13"/>
  <c r="V200" i="13"/>
  <c r="U200" i="13"/>
  <c r="V203" i="13"/>
  <c r="U203" i="13"/>
  <c r="V204" i="13"/>
  <c r="U204" i="13"/>
  <c r="V419" i="13"/>
  <c r="U419" i="13"/>
  <c r="U437" i="13" l="1"/>
  <c r="V437" i="13"/>
  <c r="U434" i="13"/>
  <c r="V434" i="13"/>
  <c r="U430" i="13"/>
  <c r="V430" i="13"/>
  <c r="U426" i="13"/>
  <c r="V426" i="13"/>
  <c r="U423" i="13"/>
  <c r="V423" i="13"/>
  <c r="U29" i="13"/>
  <c r="V29" i="13"/>
  <c r="U92" i="13"/>
  <c r="V92" i="13"/>
  <c r="U198" i="13"/>
  <c r="U293" i="13"/>
  <c r="U312" i="13"/>
  <c r="V198" i="13"/>
  <c r="V293" i="13"/>
  <c r="V312" i="13"/>
  <c r="U352" i="13"/>
  <c r="U353" i="13"/>
  <c r="U424" i="13"/>
  <c r="U427" i="13"/>
  <c r="U429" i="13"/>
  <c r="U433" i="13"/>
  <c r="U438" i="13"/>
  <c r="U431" i="13"/>
  <c r="U435" i="13"/>
  <c r="V352" i="13"/>
  <c r="V353" i="13"/>
  <c r="V424" i="13"/>
  <c r="V427" i="13"/>
  <c r="V429" i="13"/>
  <c r="V433" i="13"/>
  <c r="V438" i="13"/>
  <c r="V431" i="13"/>
  <c r="V435" i="13"/>
  <c r="U290" i="13"/>
  <c r="U308" i="13"/>
  <c r="U304" i="13"/>
  <c r="V290" i="13"/>
  <c r="V308" i="13"/>
  <c r="V304" i="13"/>
  <c r="U28" i="13"/>
  <c r="U309" i="13"/>
  <c r="U344" i="13"/>
  <c r="U349" i="13"/>
  <c r="V28" i="13"/>
  <c r="V309" i="13"/>
  <c r="V344" i="13"/>
  <c r="V349" i="13"/>
  <c r="U335" i="13"/>
  <c r="V335" i="13"/>
  <c r="V621" i="13"/>
  <c r="U621" i="13"/>
  <c r="V620" i="13"/>
  <c r="U620" i="13"/>
  <c r="V619" i="13"/>
  <c r="U619" i="13"/>
  <c r="V618" i="13"/>
  <c r="U618" i="13"/>
  <c r="V617" i="13"/>
  <c r="U617" i="13"/>
  <c r="V616" i="13"/>
  <c r="U616" i="13"/>
  <c r="V615" i="13"/>
  <c r="U615" i="13"/>
  <c r="V614" i="13"/>
  <c r="U614" i="13"/>
  <c r="V613" i="13"/>
  <c r="U613" i="13"/>
  <c r="V612" i="13"/>
  <c r="U612" i="13"/>
  <c r="V611" i="13"/>
  <c r="U611" i="13"/>
  <c r="V610" i="13"/>
  <c r="U610" i="13"/>
  <c r="V609" i="13"/>
  <c r="U609" i="13"/>
  <c r="V608" i="13"/>
  <c r="U608" i="13"/>
  <c r="V606" i="13"/>
  <c r="U606" i="13"/>
  <c r="V605" i="13"/>
  <c r="U605" i="13"/>
  <c r="V604" i="13"/>
  <c r="U604" i="13"/>
  <c r="V603" i="13"/>
  <c r="U603" i="13"/>
  <c r="V602" i="13"/>
  <c r="U602" i="13"/>
  <c r="V601" i="13"/>
  <c r="U601" i="13"/>
  <c r="V600" i="13"/>
  <c r="U600" i="13"/>
  <c r="V599" i="13"/>
  <c r="U599" i="13"/>
  <c r="V598" i="13"/>
  <c r="U598" i="13"/>
  <c r="V597" i="13"/>
  <c r="U597" i="13"/>
  <c r="V596" i="13"/>
  <c r="U596" i="13"/>
  <c r="V595" i="13"/>
  <c r="U595" i="13"/>
  <c r="V594" i="13"/>
  <c r="U594" i="13"/>
  <c r="V593" i="13"/>
  <c r="U593" i="13"/>
  <c r="V592" i="13"/>
  <c r="U592" i="13"/>
  <c r="V591" i="13"/>
  <c r="U591" i="13"/>
  <c r="V590" i="13"/>
  <c r="U590" i="13"/>
  <c r="V589" i="13"/>
  <c r="U589" i="13"/>
  <c r="V588" i="13"/>
  <c r="U588" i="13"/>
  <c r="V587" i="13"/>
  <c r="U587" i="13"/>
  <c r="V586" i="13"/>
  <c r="U586" i="13"/>
  <c r="V585" i="13"/>
  <c r="U585" i="13"/>
  <c r="V584" i="13"/>
  <c r="U584" i="13"/>
  <c r="V583" i="13"/>
  <c r="U583" i="13"/>
  <c r="V582" i="13"/>
  <c r="U582" i="13"/>
  <c r="V581" i="13"/>
  <c r="U581" i="13"/>
  <c r="V580" i="13"/>
  <c r="U580" i="13"/>
  <c r="V579" i="13"/>
  <c r="U579" i="13"/>
  <c r="V578" i="13"/>
  <c r="U578" i="13"/>
  <c r="V577" i="13"/>
  <c r="U577" i="13"/>
  <c r="V576" i="13"/>
  <c r="U576" i="13"/>
  <c r="V575" i="13"/>
  <c r="U575" i="13"/>
  <c r="V574" i="13"/>
  <c r="U574" i="13"/>
  <c r="V573" i="13"/>
  <c r="U573" i="13"/>
  <c r="V572" i="13"/>
  <c r="U572" i="13"/>
  <c r="V571" i="13"/>
  <c r="U571" i="13"/>
  <c r="V570" i="13"/>
  <c r="U570" i="13"/>
  <c r="V569" i="13"/>
  <c r="U569" i="13"/>
  <c r="V568" i="13"/>
  <c r="U568" i="13"/>
  <c r="V567" i="13"/>
  <c r="U567" i="13"/>
  <c r="V566" i="13"/>
  <c r="U566" i="13"/>
  <c r="V565" i="13"/>
  <c r="U565" i="13"/>
  <c r="V564" i="13"/>
  <c r="U564" i="13"/>
  <c r="V563" i="13"/>
  <c r="U563" i="13"/>
  <c r="V562" i="13"/>
  <c r="U562" i="13"/>
  <c r="V561" i="13"/>
  <c r="U561" i="13"/>
  <c r="V560" i="13"/>
  <c r="U560" i="13"/>
  <c r="V559" i="13"/>
  <c r="U559" i="13"/>
  <c r="V558" i="13"/>
  <c r="U558" i="13"/>
  <c r="V557" i="13"/>
  <c r="U557" i="13"/>
  <c r="V556" i="13"/>
  <c r="U556" i="13"/>
  <c r="V555" i="13"/>
  <c r="U555" i="13"/>
  <c r="V554" i="13"/>
  <c r="U554" i="13"/>
  <c r="V553" i="13"/>
  <c r="U553" i="13"/>
  <c r="V552" i="13"/>
  <c r="U552" i="13"/>
  <c r="V551" i="13"/>
  <c r="U551" i="13"/>
  <c r="V550" i="13"/>
  <c r="U550" i="13"/>
  <c r="V549" i="13"/>
  <c r="U549" i="13"/>
  <c r="V548" i="13"/>
  <c r="U548" i="13"/>
  <c r="V547" i="13"/>
  <c r="U547" i="13"/>
  <c r="V546" i="13"/>
  <c r="U546" i="13"/>
  <c r="V545" i="13"/>
  <c r="U545" i="13"/>
  <c r="V544" i="13"/>
  <c r="U544" i="13"/>
  <c r="V543" i="13"/>
  <c r="U543" i="13"/>
  <c r="V542" i="13"/>
  <c r="U542" i="13"/>
  <c r="V541" i="13"/>
  <c r="U541" i="13"/>
  <c r="V540" i="13"/>
  <c r="U540" i="13"/>
  <c r="V539" i="13"/>
  <c r="U539" i="13"/>
  <c r="V538" i="13"/>
  <c r="U538" i="13"/>
  <c r="V537" i="13"/>
  <c r="U537" i="13"/>
  <c r="V536" i="13"/>
  <c r="U536" i="13"/>
  <c r="V535" i="13"/>
  <c r="U535" i="13"/>
  <c r="V534" i="13"/>
  <c r="U534" i="13"/>
  <c r="V533" i="13"/>
  <c r="U533" i="13"/>
  <c r="V532" i="13"/>
  <c r="U532" i="13"/>
  <c r="V531" i="13"/>
  <c r="U531" i="13"/>
  <c r="V530" i="13"/>
  <c r="U530" i="13"/>
  <c r="V444" i="13"/>
  <c r="U444" i="13"/>
  <c r="V443" i="13"/>
  <c r="U443" i="13"/>
  <c r="V442" i="13"/>
  <c r="U442" i="13"/>
  <c r="V441" i="13"/>
  <c r="U441" i="13"/>
  <c r="V440" i="13"/>
  <c r="U440" i="13"/>
  <c r="V439" i="13"/>
  <c r="U439" i="13"/>
  <c r="V436" i="13"/>
  <c r="U436" i="13"/>
  <c r="V432" i="13"/>
  <c r="U432" i="13"/>
  <c r="V428" i="13"/>
  <c r="U428" i="13"/>
  <c r="V425" i="13"/>
  <c r="U425" i="13"/>
  <c r="V422" i="13"/>
  <c r="U422" i="13"/>
  <c r="V421" i="13"/>
  <c r="U421" i="13"/>
  <c r="V420" i="13"/>
  <c r="U420" i="13"/>
  <c r="V418" i="13"/>
  <c r="U418" i="13"/>
  <c r="V417" i="13"/>
  <c r="U417" i="13"/>
  <c r="V416" i="13"/>
  <c r="U416" i="13"/>
  <c r="V415" i="13"/>
  <c r="U415" i="13"/>
  <c r="V414" i="13"/>
  <c r="U414" i="13"/>
  <c r="V413" i="13"/>
  <c r="U413" i="13"/>
  <c r="V412" i="13"/>
  <c r="U412" i="13"/>
  <c r="V411" i="13"/>
  <c r="U411" i="13"/>
  <c r="V410" i="13"/>
  <c r="U410" i="13"/>
  <c r="V409" i="13"/>
  <c r="U409" i="13"/>
  <c r="V408" i="13"/>
  <c r="U408" i="13"/>
  <c r="V407" i="13"/>
  <c r="U407" i="13"/>
  <c r="V406" i="13"/>
  <c r="U406" i="13"/>
  <c r="V405" i="13"/>
  <c r="U405" i="13"/>
  <c r="V404" i="13"/>
  <c r="U404" i="13"/>
  <c r="V403" i="13"/>
  <c r="U403" i="13"/>
  <c r="V402" i="13"/>
  <c r="U402" i="13"/>
  <c r="V401" i="13"/>
  <c r="U401" i="13"/>
  <c r="V400" i="13"/>
  <c r="U400" i="13"/>
  <c r="V399" i="13"/>
  <c r="U399" i="13"/>
  <c r="V398" i="13"/>
  <c r="U398" i="13"/>
  <c r="V397" i="13"/>
  <c r="U397" i="13"/>
  <c r="V396" i="13"/>
  <c r="U396" i="13"/>
  <c r="V395" i="13"/>
  <c r="U395" i="13"/>
  <c r="V394" i="13"/>
  <c r="U394" i="13"/>
  <c r="V393" i="13"/>
  <c r="U393" i="13"/>
  <c r="V392" i="13"/>
  <c r="U392" i="13"/>
  <c r="V391" i="13"/>
  <c r="U391" i="13"/>
  <c r="V390" i="13"/>
  <c r="U390" i="13"/>
  <c r="V389" i="13"/>
  <c r="U389" i="13"/>
  <c r="V388" i="13"/>
  <c r="U388" i="13"/>
  <c r="V387" i="13"/>
  <c r="U387" i="13"/>
  <c r="V386" i="13"/>
  <c r="U386" i="13"/>
  <c r="V384" i="13"/>
  <c r="U384" i="13"/>
  <c r="V383" i="13"/>
  <c r="U383" i="13"/>
  <c r="V382" i="13"/>
  <c r="U382" i="13"/>
  <c r="V381" i="13"/>
  <c r="U381" i="13"/>
  <c r="V380" i="13"/>
  <c r="U380" i="13"/>
  <c r="V379" i="13"/>
  <c r="U379" i="13"/>
  <c r="V378" i="13"/>
  <c r="U378" i="13"/>
  <c r="V377" i="13"/>
  <c r="U377" i="13"/>
  <c r="V376" i="13"/>
  <c r="U376" i="13"/>
  <c r="V375" i="13"/>
  <c r="U375" i="13"/>
  <c r="V374" i="13"/>
  <c r="U374" i="13"/>
  <c r="V373" i="13"/>
  <c r="U373" i="13"/>
  <c r="V372" i="13"/>
  <c r="U372" i="13"/>
  <c r="V371" i="13"/>
  <c r="U371" i="13"/>
  <c r="V370" i="13"/>
  <c r="U370" i="13"/>
  <c r="V369" i="13"/>
  <c r="U369" i="13"/>
  <c r="V368" i="13"/>
  <c r="U368" i="13"/>
  <c r="V367" i="13"/>
  <c r="U367" i="13"/>
  <c r="V366" i="13"/>
  <c r="U366" i="13"/>
  <c r="V347" i="13"/>
  <c r="U347" i="13"/>
  <c r="V346" i="13"/>
  <c r="U346" i="13"/>
  <c r="V345" i="13"/>
  <c r="U345" i="13"/>
  <c r="V343" i="13"/>
  <c r="U343" i="13"/>
  <c r="V342" i="13"/>
  <c r="U342" i="13"/>
  <c r="V341" i="13"/>
  <c r="U341" i="13"/>
  <c r="V339" i="13"/>
  <c r="U339" i="13"/>
  <c r="V338" i="13"/>
  <c r="U338" i="13"/>
  <c r="V336" i="13"/>
  <c r="U336" i="13"/>
  <c r="V334" i="13"/>
  <c r="U334" i="13"/>
  <c r="V333" i="13"/>
  <c r="U333" i="13"/>
  <c r="V323" i="13"/>
  <c r="U323" i="13"/>
  <c r="V322" i="13"/>
  <c r="U322" i="13"/>
  <c r="V321" i="13"/>
  <c r="U321" i="13"/>
  <c r="V320" i="13"/>
  <c r="U320" i="13"/>
  <c r="V319" i="13"/>
  <c r="U319" i="13"/>
  <c r="V318" i="13"/>
  <c r="U318" i="13"/>
  <c r="V316" i="13"/>
  <c r="U316" i="13"/>
  <c r="V315" i="13"/>
  <c r="U315" i="13"/>
  <c r="V314" i="13"/>
  <c r="U314" i="13"/>
  <c r="V313" i="13"/>
  <c r="U313" i="13"/>
  <c r="V311" i="13"/>
  <c r="U311" i="13"/>
  <c r="V310" i="13"/>
  <c r="U310" i="13"/>
  <c r="V307" i="13"/>
  <c r="U307" i="13"/>
  <c r="V306" i="13"/>
  <c r="U306" i="13"/>
  <c r="V305" i="13"/>
  <c r="U305" i="13"/>
  <c r="V303" i="13"/>
  <c r="U303" i="13"/>
  <c r="V302" i="13"/>
  <c r="U302" i="13"/>
  <c r="V301" i="13"/>
  <c r="U301" i="13"/>
  <c r="V300" i="13"/>
  <c r="U300" i="13"/>
  <c r="V299" i="13"/>
  <c r="U299" i="13"/>
  <c r="V298" i="13"/>
  <c r="U298" i="13"/>
  <c r="V297" i="13"/>
  <c r="U297" i="13"/>
  <c r="V296" i="13"/>
  <c r="U296" i="13"/>
  <c r="V295" i="13"/>
  <c r="U295" i="13"/>
  <c r="V294" i="13"/>
  <c r="U294" i="13"/>
  <c r="V292" i="13"/>
  <c r="U292" i="13"/>
  <c r="V291" i="13"/>
  <c r="U291" i="13"/>
  <c r="V289" i="13"/>
  <c r="U289" i="13"/>
  <c r="V288" i="13"/>
  <c r="U288" i="13"/>
  <c r="V287" i="13"/>
  <c r="U287" i="13"/>
  <c r="V286" i="13"/>
  <c r="U286" i="13"/>
  <c r="V285" i="13"/>
  <c r="U285" i="13"/>
  <c r="V284" i="13"/>
  <c r="U284" i="13"/>
  <c r="V283" i="13"/>
  <c r="U283" i="13"/>
  <c r="V282" i="13"/>
  <c r="U282" i="13"/>
  <c r="V281" i="13"/>
  <c r="U281" i="13"/>
  <c r="V280" i="13"/>
  <c r="U280" i="13"/>
  <c r="V279" i="13"/>
  <c r="U279" i="13"/>
  <c r="V278" i="13"/>
  <c r="U278" i="13"/>
  <c r="V277" i="13"/>
  <c r="U277" i="13"/>
  <c r="V276" i="13"/>
  <c r="U276" i="13"/>
  <c r="V275" i="13"/>
  <c r="U275" i="13"/>
  <c r="V274" i="13"/>
  <c r="U274" i="13"/>
  <c r="V273" i="13"/>
  <c r="U273" i="13"/>
  <c r="V272" i="13"/>
  <c r="U272" i="13"/>
  <c r="V271" i="13"/>
  <c r="U271" i="13"/>
  <c r="V270" i="13"/>
  <c r="U270" i="13"/>
  <c r="V269" i="13"/>
  <c r="U269" i="13"/>
  <c r="V268" i="13"/>
  <c r="U268" i="13"/>
  <c r="V267" i="13"/>
  <c r="U267" i="13"/>
  <c r="V266" i="13"/>
  <c r="U266" i="13"/>
  <c r="V265" i="13"/>
  <c r="U265" i="13"/>
  <c r="V264" i="13"/>
  <c r="U264" i="13"/>
  <c r="V263" i="13"/>
  <c r="U263" i="13"/>
  <c r="V262" i="13"/>
  <c r="U262" i="13"/>
  <c r="V261" i="13"/>
  <c r="U261" i="13"/>
  <c r="V260" i="13"/>
  <c r="U260" i="13"/>
  <c r="V259" i="13"/>
  <c r="U259" i="13"/>
  <c r="V258" i="13"/>
  <c r="U258" i="13"/>
  <c r="V257" i="13"/>
  <c r="U257" i="13"/>
  <c r="V256" i="13"/>
  <c r="U256" i="13"/>
  <c r="V255" i="13"/>
  <c r="U255" i="13"/>
  <c r="V254" i="13"/>
  <c r="U254" i="13"/>
  <c r="V253" i="13"/>
  <c r="U253" i="13"/>
  <c r="V252" i="13"/>
  <c r="U252" i="13"/>
  <c r="V251" i="13"/>
  <c r="U251" i="13"/>
  <c r="V250" i="13"/>
  <c r="U250" i="13"/>
  <c r="V249" i="13"/>
  <c r="U249" i="13"/>
  <c r="V248" i="13"/>
  <c r="U248" i="13"/>
  <c r="V247" i="13"/>
  <c r="U247" i="13"/>
  <c r="V246" i="13"/>
  <c r="U246" i="13"/>
  <c r="V245" i="13"/>
  <c r="U245" i="13"/>
  <c r="V244" i="13"/>
  <c r="U244" i="13"/>
  <c r="V243" i="13"/>
  <c r="U243" i="13"/>
  <c r="V242" i="13"/>
  <c r="U242" i="13"/>
  <c r="V240" i="13"/>
  <c r="U240" i="13"/>
  <c r="V239" i="13"/>
  <c r="U239" i="13"/>
  <c r="V238" i="13"/>
  <c r="U238" i="13"/>
  <c r="V230" i="13"/>
  <c r="U230" i="13"/>
  <c r="V229" i="13"/>
  <c r="U229" i="13"/>
  <c r="V221" i="13"/>
  <c r="U221" i="13"/>
  <c r="V220" i="13"/>
  <c r="U220" i="13"/>
  <c r="V219" i="13"/>
  <c r="U219" i="13"/>
  <c r="V218" i="13"/>
  <c r="U218" i="13"/>
  <c r="V217" i="13"/>
  <c r="U217" i="13"/>
  <c r="V216" i="13"/>
  <c r="U216" i="13"/>
  <c r="V214" i="13"/>
  <c r="U214" i="13"/>
  <c r="V213" i="13"/>
  <c r="U213" i="13"/>
  <c r="V212" i="13"/>
  <c r="U212" i="13"/>
  <c r="V211" i="13"/>
  <c r="U211" i="13"/>
  <c r="V210" i="13"/>
  <c r="U210" i="13"/>
  <c r="V209" i="13"/>
  <c r="U209" i="13"/>
  <c r="V208" i="13"/>
  <c r="U208" i="13"/>
  <c r="V207" i="13"/>
  <c r="U207" i="13"/>
  <c r="V205" i="13"/>
  <c r="U205" i="13"/>
  <c r="V202" i="13"/>
  <c r="U202" i="13"/>
  <c r="V199" i="13"/>
  <c r="U199" i="13"/>
  <c r="V196" i="13"/>
  <c r="U196" i="13"/>
  <c r="V195" i="13"/>
  <c r="U195" i="13"/>
  <c r="V194" i="13"/>
  <c r="U194" i="13"/>
  <c r="V193" i="13"/>
  <c r="U193" i="13"/>
  <c r="V192" i="13"/>
  <c r="U192" i="13"/>
  <c r="V191" i="13"/>
  <c r="U191" i="13"/>
  <c r="V190" i="13"/>
  <c r="U190" i="13"/>
  <c r="V189" i="13"/>
  <c r="U189" i="13"/>
  <c r="V187" i="13"/>
  <c r="U187" i="13"/>
  <c r="V186" i="13"/>
  <c r="U186" i="13"/>
  <c r="V185" i="13"/>
  <c r="U185" i="13"/>
  <c r="V184" i="13"/>
  <c r="U184" i="13"/>
  <c r="V183" i="13"/>
  <c r="U183" i="13"/>
  <c r="V181" i="13"/>
  <c r="U181" i="13"/>
  <c r="V180" i="13"/>
  <c r="U180" i="13"/>
  <c r="V179" i="13"/>
  <c r="U179" i="13"/>
  <c r="V178" i="13"/>
  <c r="U178" i="13"/>
  <c r="V177" i="13"/>
  <c r="U177" i="13"/>
  <c r="V176" i="13"/>
  <c r="U176" i="13"/>
  <c r="V175" i="13"/>
  <c r="U175" i="13"/>
  <c r="V174" i="13"/>
  <c r="U174" i="13"/>
  <c r="V173" i="13"/>
  <c r="U173" i="13"/>
  <c r="V172" i="13"/>
  <c r="U172" i="13"/>
  <c r="V171" i="13"/>
  <c r="U171" i="13"/>
  <c r="V170" i="13"/>
  <c r="U170" i="13"/>
  <c r="V169" i="13"/>
  <c r="U169" i="13"/>
  <c r="V168" i="13"/>
  <c r="U168" i="13"/>
  <c r="V167" i="13"/>
  <c r="U167" i="13"/>
  <c r="V166" i="13"/>
  <c r="U166" i="13"/>
  <c r="V165" i="13"/>
  <c r="U165" i="13"/>
  <c r="V164" i="13"/>
  <c r="U164" i="13"/>
  <c r="V163" i="13"/>
  <c r="U163" i="13"/>
  <c r="V162" i="13"/>
  <c r="U162" i="13"/>
  <c r="V161" i="13"/>
  <c r="U161" i="13"/>
  <c r="V160" i="13"/>
  <c r="U160" i="13"/>
  <c r="V159" i="13"/>
  <c r="U159" i="13"/>
  <c r="V158" i="13"/>
  <c r="U158" i="13"/>
  <c r="V157" i="13"/>
  <c r="U157" i="13"/>
  <c r="V156" i="13"/>
  <c r="U156" i="13"/>
  <c r="V155" i="13"/>
  <c r="U155" i="13"/>
  <c r="V154" i="13"/>
  <c r="U154" i="13"/>
  <c r="V153" i="13"/>
  <c r="U153" i="13"/>
  <c r="V152" i="13"/>
  <c r="U152" i="13"/>
  <c r="V151" i="13"/>
  <c r="U151" i="13"/>
  <c r="V150" i="13"/>
  <c r="U150" i="13"/>
  <c r="V149" i="13"/>
  <c r="U149" i="13"/>
  <c r="V148" i="13"/>
  <c r="U148" i="13"/>
  <c r="V147" i="13"/>
  <c r="U147" i="13"/>
  <c r="V146" i="13"/>
  <c r="U146" i="13"/>
  <c r="V145" i="13"/>
  <c r="U145" i="13"/>
  <c r="V144" i="13"/>
  <c r="U144" i="13"/>
  <c r="V143" i="13"/>
  <c r="U143" i="13"/>
  <c r="V142" i="13"/>
  <c r="U142" i="13"/>
  <c r="V141" i="13"/>
  <c r="U141" i="13"/>
  <c r="V140" i="13"/>
  <c r="U140" i="13"/>
  <c r="V139" i="13"/>
  <c r="U139" i="13"/>
  <c r="V138" i="13"/>
  <c r="U138" i="13"/>
  <c r="V137" i="13"/>
  <c r="U137" i="13"/>
  <c r="V136" i="13"/>
  <c r="U136" i="13"/>
  <c r="V135" i="13"/>
  <c r="U135" i="13"/>
  <c r="V134" i="13"/>
  <c r="U134" i="13"/>
  <c r="V133" i="13"/>
  <c r="U133" i="13"/>
  <c r="V132" i="13"/>
  <c r="U132" i="13"/>
  <c r="V131" i="13"/>
  <c r="U131" i="13"/>
  <c r="V130" i="13"/>
  <c r="U130" i="13"/>
  <c r="V129" i="13"/>
  <c r="U129" i="13"/>
  <c r="V128" i="13"/>
  <c r="U128" i="13"/>
  <c r="V127" i="13"/>
  <c r="U127" i="13"/>
  <c r="V126" i="13"/>
  <c r="U126" i="13"/>
  <c r="V125" i="13"/>
  <c r="U125" i="13"/>
  <c r="V124" i="13"/>
  <c r="U124" i="13"/>
  <c r="V123" i="13"/>
  <c r="U123" i="13"/>
  <c r="V122" i="13"/>
  <c r="U122" i="13"/>
  <c r="V121" i="13"/>
  <c r="U121" i="13"/>
  <c r="V120" i="13"/>
  <c r="U120" i="13"/>
  <c r="V119" i="13"/>
  <c r="U119" i="13"/>
  <c r="V118" i="13"/>
  <c r="U118" i="13"/>
  <c r="V117" i="13"/>
  <c r="U117" i="13"/>
  <c r="V116" i="13"/>
  <c r="U116" i="13"/>
  <c r="V115" i="13"/>
  <c r="U115" i="13"/>
  <c r="V114" i="13"/>
  <c r="U114" i="13"/>
  <c r="V113" i="13"/>
  <c r="U113" i="13"/>
  <c r="V112" i="13"/>
  <c r="U112" i="13"/>
  <c r="V111" i="13"/>
  <c r="U111" i="13"/>
  <c r="V110" i="13"/>
  <c r="U110" i="13"/>
  <c r="V109" i="13"/>
  <c r="U109" i="13"/>
  <c r="V108" i="13"/>
  <c r="U108" i="13"/>
  <c r="V107" i="13"/>
  <c r="U107" i="13"/>
  <c r="V106" i="13"/>
  <c r="U106" i="13"/>
  <c r="V105" i="13"/>
  <c r="U105" i="13"/>
  <c r="V104" i="13"/>
  <c r="U104" i="13"/>
  <c r="V103" i="13"/>
  <c r="U103" i="13"/>
  <c r="V102" i="13"/>
  <c r="U102" i="13"/>
  <c r="V101" i="13"/>
  <c r="U101" i="13"/>
  <c r="V100" i="13"/>
  <c r="U100" i="13"/>
  <c r="V99" i="13"/>
  <c r="U99" i="13"/>
  <c r="V98" i="13"/>
  <c r="U98" i="13"/>
  <c r="V97" i="13"/>
  <c r="U97" i="13"/>
  <c r="V96" i="13"/>
  <c r="U96" i="13"/>
  <c r="V95" i="13"/>
  <c r="U95" i="13"/>
  <c r="V91" i="13"/>
  <c r="U91" i="13"/>
  <c r="V90" i="13"/>
  <c r="U90" i="13"/>
  <c r="V89" i="13"/>
  <c r="U89" i="13"/>
  <c r="V88" i="13"/>
  <c r="U88" i="13"/>
  <c r="V87" i="13"/>
  <c r="U87" i="13"/>
  <c r="V86" i="13"/>
  <c r="U86" i="13"/>
  <c r="V85" i="13"/>
  <c r="U85" i="13"/>
  <c r="V84" i="13"/>
  <c r="U84" i="13"/>
  <c r="V83" i="13"/>
  <c r="U83" i="13"/>
  <c r="V82" i="13"/>
  <c r="U82" i="13"/>
  <c r="V81" i="13"/>
  <c r="U81" i="13"/>
  <c r="V80" i="13"/>
  <c r="U80" i="13"/>
  <c r="V79" i="13"/>
  <c r="U79" i="13"/>
  <c r="V78" i="13"/>
  <c r="U78" i="13"/>
  <c r="V76" i="13"/>
  <c r="U76" i="13"/>
  <c r="V75" i="13"/>
  <c r="U75" i="13"/>
  <c r="V74" i="13"/>
  <c r="U74" i="13"/>
  <c r="V73" i="13"/>
  <c r="U73" i="13"/>
  <c r="V72" i="13"/>
  <c r="U72" i="13"/>
  <c r="V71" i="13"/>
  <c r="U71" i="13"/>
  <c r="V70" i="13"/>
  <c r="U70" i="13"/>
  <c r="V69" i="13"/>
  <c r="U69" i="13"/>
  <c r="V68" i="13"/>
  <c r="U68" i="13"/>
  <c r="V67" i="13"/>
  <c r="U67" i="13"/>
  <c r="V66" i="13"/>
  <c r="U66" i="13"/>
  <c r="V65" i="13"/>
  <c r="U65" i="13"/>
  <c r="V64" i="13"/>
  <c r="U64" i="13"/>
  <c r="V63" i="13"/>
  <c r="U63" i="13"/>
  <c r="V62" i="13"/>
  <c r="U62" i="13"/>
  <c r="V61" i="13"/>
  <c r="U61" i="13"/>
  <c r="V60" i="13"/>
  <c r="U60" i="13"/>
  <c r="V59" i="13"/>
  <c r="U59" i="13"/>
  <c r="V58" i="13"/>
  <c r="U58" i="13"/>
  <c r="V57" i="13"/>
  <c r="U57" i="13"/>
  <c r="V56" i="13"/>
  <c r="U56" i="13"/>
  <c r="V55" i="13"/>
  <c r="U55" i="13"/>
  <c r="V54" i="13"/>
  <c r="U54" i="13"/>
  <c r="V53" i="13"/>
  <c r="U53" i="13"/>
  <c r="V52" i="13"/>
  <c r="U52" i="13"/>
  <c r="V51" i="13"/>
  <c r="U51" i="13"/>
  <c r="V50" i="13"/>
  <c r="U50" i="13"/>
  <c r="V49" i="13"/>
  <c r="U49" i="13"/>
  <c r="V48" i="13"/>
  <c r="U48" i="13"/>
  <c r="V47" i="13"/>
  <c r="U47" i="13"/>
  <c r="V46" i="13"/>
  <c r="U46" i="13"/>
  <c r="V45" i="13"/>
  <c r="U45" i="13"/>
  <c r="V44" i="13"/>
  <c r="U44" i="13"/>
  <c r="V43" i="13"/>
  <c r="U43" i="13"/>
  <c r="V42" i="13"/>
  <c r="U42" i="13"/>
  <c r="V41" i="13"/>
  <c r="U41" i="13"/>
  <c r="V40" i="13"/>
  <c r="U40" i="13"/>
  <c r="V39" i="13"/>
  <c r="U39" i="13"/>
  <c r="V38" i="13"/>
  <c r="U38" i="13"/>
  <c r="V37" i="13"/>
  <c r="U37" i="13"/>
  <c r="V36" i="13"/>
  <c r="U36" i="13"/>
  <c r="V35" i="13"/>
  <c r="U35" i="13"/>
  <c r="V34" i="13"/>
  <c r="U34" i="13"/>
  <c r="V33" i="13"/>
  <c r="U33" i="13"/>
  <c r="V32" i="13"/>
  <c r="U32" i="13"/>
  <c r="V31" i="13"/>
  <c r="U31" i="13"/>
  <c r="V30" i="13"/>
  <c r="U30" i="13"/>
  <c r="V27" i="13"/>
  <c r="U27" i="13"/>
  <c r="V26" i="13"/>
  <c r="U26" i="13"/>
  <c r="V25" i="13"/>
  <c r="U25" i="13"/>
  <c r="V24" i="13"/>
  <c r="U24" i="13"/>
  <c r="V23" i="13"/>
  <c r="U23" i="13"/>
  <c r="V22" i="13"/>
  <c r="U22" i="13"/>
  <c r="V21" i="13"/>
  <c r="U21" i="13"/>
  <c r="V20" i="13"/>
  <c r="U20" i="13"/>
  <c r="V19" i="13"/>
  <c r="U19" i="13"/>
  <c r="V18" i="13"/>
  <c r="U18" i="13"/>
  <c r="V17" i="13"/>
  <c r="U17" i="13"/>
  <c r="V16" i="13"/>
  <c r="U16" i="13"/>
  <c r="V15" i="13"/>
  <c r="U15" i="13"/>
  <c r="V14" i="13"/>
  <c r="U14" i="13"/>
  <c r="V13" i="13"/>
  <c r="U13" i="13"/>
  <c r="V12" i="13"/>
  <c r="U12" i="13"/>
  <c r="V11" i="13"/>
  <c r="U11" i="13"/>
  <c r="V10" i="13"/>
  <c r="U10" i="13"/>
  <c r="V9" i="13"/>
  <c r="U9" i="13"/>
  <c r="V8" i="13"/>
  <c r="U8" i="13"/>
  <c r="V7" i="13"/>
  <c r="U7" i="13"/>
  <c r="V6" i="13"/>
  <c r="U6" i="13"/>
  <c r="V5" i="13"/>
  <c r="U5" i="13"/>
  <c r="V4" i="13"/>
  <c r="U4" i="13"/>
  <c r="V3" i="13"/>
  <c r="U3" i="13"/>
  <c r="C20" i="17"/>
  <c r="B20" i="17"/>
  <c r="C19" i="17"/>
  <c r="B19" i="17"/>
  <c r="C18" i="17"/>
  <c r="B18" i="17"/>
  <c r="C17" i="17"/>
  <c r="B17" i="17"/>
  <c r="C16" i="17"/>
  <c r="B16" i="17"/>
  <c r="C15" i="17"/>
  <c r="B15" i="17"/>
  <c r="C14" i="17"/>
  <c r="B14" i="17"/>
  <c r="C13" i="17"/>
  <c r="B13" i="17"/>
  <c r="C12" i="17"/>
  <c r="B12" i="17"/>
  <c r="C11" i="17"/>
  <c r="B11" i="17"/>
  <c r="C10" i="17"/>
  <c r="B10" i="17"/>
  <c r="C9" i="17"/>
  <c r="B9" i="17"/>
  <c r="C8" i="17"/>
  <c r="B8" i="17"/>
  <c r="C7" i="17"/>
  <c r="B7" i="17"/>
  <c r="C6" i="17"/>
  <c r="C5" i="17"/>
  <c r="B5" i="17"/>
  <c r="O589" i="13" l="1"/>
  <c r="T589" i="13" s="1"/>
  <c r="O588" i="13"/>
  <c r="T588" i="13" s="1"/>
  <c r="O587" i="13"/>
  <c r="T587" i="13" s="1"/>
  <c r="O604" i="13"/>
  <c r="T604" i="13" s="1"/>
  <c r="O603" i="13"/>
  <c r="T603" i="13" s="1"/>
  <c r="O602" i="13"/>
  <c r="T602" i="13" s="1"/>
  <c r="O601" i="13"/>
  <c r="T601" i="13" s="1"/>
  <c r="O595" i="13"/>
  <c r="T595" i="13" s="1"/>
  <c r="O594" i="13"/>
  <c r="T594" i="13" s="1"/>
  <c r="O593" i="13"/>
  <c r="T593" i="13" s="1"/>
  <c r="O596" i="13"/>
  <c r="T596" i="13" s="1"/>
  <c r="N604" i="13"/>
  <c r="S604" i="13" s="1"/>
  <c r="N603" i="13"/>
  <c r="S603" i="13" s="1"/>
  <c r="N602" i="13"/>
  <c r="S602" i="13" s="1"/>
  <c r="N601" i="13"/>
  <c r="S601" i="13" s="1"/>
  <c r="N596" i="13"/>
  <c r="S596" i="13" s="1"/>
  <c r="N595" i="13"/>
  <c r="S595" i="13" s="1"/>
  <c r="N594" i="13"/>
  <c r="S594" i="13" s="1"/>
  <c r="N593" i="13"/>
  <c r="S593" i="13" s="1"/>
  <c r="N589" i="13"/>
  <c r="S589" i="13" s="1"/>
  <c r="N588" i="13"/>
  <c r="S588" i="13" s="1"/>
  <c r="N587" i="13"/>
  <c r="S587" i="13" s="1"/>
  <c r="O524" i="13"/>
  <c r="N473" i="13"/>
  <c r="N447" i="13"/>
  <c r="N504" i="13"/>
  <c r="O483" i="13"/>
  <c r="P464" i="13" a="1"/>
  <c r="Q463" i="13"/>
  <c r="P502" i="13" a="1"/>
  <c r="N200" i="13"/>
  <c r="O466" i="13"/>
  <c r="O508" i="13"/>
  <c r="P451" i="13" a="1"/>
  <c r="P518" i="13" a="1"/>
  <c r="P449" i="13" a="1"/>
  <c r="O487" i="13"/>
  <c r="Q446" i="13"/>
  <c r="P504" i="13" a="1"/>
  <c r="N455" i="13"/>
  <c r="P445" i="13" a="1"/>
  <c r="O490" i="13"/>
  <c r="Q527" i="13"/>
  <c r="Q458" i="13"/>
  <c r="Q350" i="13"/>
  <c r="O458" i="13"/>
  <c r="O489" i="13"/>
  <c r="N203" i="13"/>
  <c r="Q501" i="13"/>
  <c r="Q496" i="13"/>
  <c r="Q461" i="13"/>
  <c r="N445" i="13"/>
  <c r="N484" i="13"/>
  <c r="P475" i="13" a="1"/>
  <c r="P241" i="13" a="1"/>
  <c r="N501" i="13"/>
  <c r="N456" i="13"/>
  <c r="O480" i="13"/>
  <c r="P524" i="13" a="1"/>
  <c r="N497" i="13"/>
  <c r="Q510" i="13"/>
  <c r="P500" i="13" a="1"/>
  <c r="Q506" i="13"/>
  <c r="P419" i="13" a="1"/>
  <c r="Q513" i="13"/>
  <c r="P473" i="13" a="1"/>
  <c r="Q93" i="13"/>
  <c r="O517" i="13"/>
  <c r="P477" i="13" a="1"/>
  <c r="O478" i="13"/>
  <c r="Q507" i="13"/>
  <c r="N529" i="13"/>
  <c r="O469" i="13"/>
  <c r="P526" i="13" a="1"/>
  <c r="P479" i="13" a="1"/>
  <c r="Q200" i="13"/>
  <c r="O454" i="13"/>
  <c r="Q448" i="13"/>
  <c r="Q514" i="13"/>
  <c r="O513" i="13"/>
  <c r="O461" i="13"/>
  <c r="O485" i="13"/>
  <c r="Q486" i="13"/>
  <c r="N471" i="13"/>
  <c r="O497" i="13"/>
  <c r="P512" i="13" a="1"/>
  <c r="N524" i="13"/>
  <c r="P462" i="13" a="1"/>
  <c r="O451" i="13"/>
  <c r="P505" i="13" a="1"/>
  <c r="O445" i="13"/>
  <c r="N489" i="13"/>
  <c r="Q488" i="13"/>
  <c r="N478" i="13"/>
  <c r="N510" i="13"/>
  <c r="O468" i="13"/>
  <c r="P474" i="13" a="1"/>
  <c r="Q465" i="13"/>
  <c r="Q493" i="13"/>
  <c r="P460" i="13" a="1"/>
  <c r="P455" i="13" a="1"/>
  <c r="P509" i="13" a="1"/>
  <c r="P465" i="13" a="1"/>
  <c r="O500" i="13"/>
  <c r="P351" i="13" a="1"/>
  <c r="O523" i="13"/>
  <c r="P484" i="13" a="1"/>
  <c r="Q491" i="13"/>
  <c r="Q521" i="13"/>
  <c r="N503" i="13"/>
  <c r="N516" i="13"/>
  <c r="N507" i="13"/>
  <c r="P486" i="13" a="1"/>
  <c r="N508" i="13"/>
  <c r="Q528" i="13"/>
  <c r="N452" i="13"/>
  <c r="Q523" i="13"/>
  <c r="Q487" i="13"/>
  <c r="O481" i="13"/>
  <c r="N512" i="13"/>
  <c r="O492" i="13"/>
  <c r="O93" i="13"/>
  <c r="N451" i="13"/>
  <c r="P463" i="13" a="1"/>
  <c r="N182" i="13"/>
  <c r="P517" i="13" a="1"/>
  <c r="O457" i="13"/>
  <c r="P468" i="13" a="1"/>
  <c r="Q502" i="13"/>
  <c r="N232" i="13"/>
  <c r="N490" i="13"/>
  <c r="Q223" i="13"/>
  <c r="P528" i="13" a="1"/>
  <c r="Q462" i="13"/>
  <c r="N477" i="13"/>
  <c r="P467" i="13" a="1"/>
  <c r="Q504" i="13"/>
  <c r="P93" i="13" a="1"/>
  <c r="N93" i="13"/>
  <c r="Q497" i="13"/>
  <c r="Q204" i="13"/>
  <c r="O470" i="13"/>
  <c r="O488" i="13"/>
  <c r="O456" i="13"/>
  <c r="O486" i="13"/>
  <c r="P350" i="13" a="1"/>
  <c r="O450" i="13"/>
  <c r="N491" i="13"/>
  <c r="N517" i="13"/>
  <c r="P521" i="13" a="1"/>
  <c r="O465" i="13"/>
  <c r="P453" i="13" a="1"/>
  <c r="Q203" i="13"/>
  <c r="Q452" i="13"/>
  <c r="N450" i="13"/>
  <c r="P515" i="13" a="1"/>
  <c r="Q464" i="13"/>
  <c r="Q526" i="13"/>
  <c r="O504" i="13"/>
  <c r="Q466" i="13"/>
  <c r="O495" i="13"/>
  <c r="N499" i="13"/>
  <c r="O467" i="13"/>
  <c r="P514" i="13" a="1"/>
  <c r="P457" i="13" a="1"/>
  <c r="P487" i="13" a="1"/>
  <c r="P483" i="13" a="1"/>
  <c r="P519" i="13" a="1"/>
  <c r="N465" i="13"/>
  <c r="Q492" i="13"/>
  <c r="Q241" i="13"/>
  <c r="N496" i="13"/>
  <c r="N466" i="13"/>
  <c r="Q475" i="13"/>
  <c r="O449" i="13"/>
  <c r="O476" i="13"/>
  <c r="O521" i="13"/>
  <c r="P496" i="13" a="1"/>
  <c r="Q515" i="13"/>
  <c r="P490" i="13" a="1"/>
  <c r="Q524" i="13"/>
  <c r="P182" i="13" a="1"/>
  <c r="Q474" i="13"/>
  <c r="N467" i="13"/>
  <c r="N453" i="13"/>
  <c r="Q480" i="13"/>
  <c r="N527" i="13"/>
  <c r="N480" i="13"/>
  <c r="N454" i="13"/>
  <c r="Q472" i="13"/>
  <c r="N204" i="13"/>
  <c r="P493" i="13" a="1"/>
  <c r="O463" i="13"/>
  <c r="N525" i="13"/>
  <c r="P454" i="13" a="1"/>
  <c r="N476" i="13"/>
  <c r="O446" i="13"/>
  <c r="N460" i="13"/>
  <c r="Q522" i="13"/>
  <c r="N485" i="13"/>
  <c r="O520" i="13"/>
  <c r="Q445" i="13"/>
  <c r="Q453" i="13"/>
  <c r="O509" i="13"/>
  <c r="Q516" i="13"/>
  <c r="N518" i="13"/>
  <c r="Q471" i="13"/>
  <c r="P492" i="13" a="1"/>
  <c r="Q469" i="13"/>
  <c r="P200" i="13" a="1"/>
  <c r="P204" i="13" a="1"/>
  <c r="N448" i="13"/>
  <c r="N519" i="13"/>
  <c r="O232" i="13"/>
  <c r="N515" i="13"/>
  <c r="O350" i="13"/>
  <c r="P356" i="13" a="1"/>
  <c r="Q473" i="13"/>
  <c r="N500" i="13"/>
  <c r="O494" i="13"/>
  <c r="O503" i="13"/>
  <c r="Q500" i="13"/>
  <c r="Q470" i="13"/>
  <c r="O510" i="13"/>
  <c r="P498" i="13" a="1"/>
  <c r="Q450" i="13"/>
  <c r="N493" i="13"/>
  <c r="O464" i="13"/>
  <c r="O203" i="13"/>
  <c r="P447" i="13" a="1"/>
  <c r="P203" i="13" a="1"/>
  <c r="O356" i="13"/>
  <c r="P452" i="13" a="1"/>
  <c r="Q520" i="13"/>
  <c r="O482" i="13"/>
  <c r="O522" i="13"/>
  <c r="O223" i="13"/>
  <c r="P503" i="13" a="1"/>
  <c r="P523" i="13" a="1"/>
  <c r="Q451" i="13"/>
  <c r="Q499" i="13"/>
  <c r="N464" i="13"/>
  <c r="N482" i="13"/>
  <c r="Q512" i="13"/>
  <c r="P476" i="13" a="1"/>
  <c r="P461" i="13" a="1"/>
  <c r="P525" i="13" a="1"/>
  <c r="N505" i="13"/>
  <c r="N487" i="13"/>
  <c r="O515" i="13"/>
  <c r="N481" i="13"/>
  <c r="P471" i="13" a="1"/>
  <c r="P527" i="13" a="1"/>
  <c r="O498" i="13"/>
  <c r="Q356" i="13"/>
  <c r="P469" i="13" a="1"/>
  <c r="O472" i="13"/>
  <c r="Q490" i="13"/>
  <c r="O528" i="13"/>
  <c r="Q511" i="13"/>
  <c r="Q483" i="13"/>
  <c r="Q494" i="13"/>
  <c r="P472" i="13" a="1"/>
  <c r="O241" i="13"/>
  <c r="N520" i="13"/>
  <c r="O453" i="13"/>
  <c r="O473" i="13"/>
  <c r="Q351" i="13"/>
  <c r="N513" i="13"/>
  <c r="O512" i="13"/>
  <c r="N502" i="13"/>
  <c r="N521" i="13"/>
  <c r="N523" i="13"/>
  <c r="O506" i="13"/>
  <c r="P499" i="13" a="1"/>
  <c r="N419" i="13"/>
  <c r="N463" i="13"/>
  <c r="O501" i="13"/>
  <c r="Q508" i="13"/>
  <c r="O496" i="13"/>
  <c r="Q478" i="13"/>
  <c r="O519" i="13"/>
  <c r="P511" i="13" a="1"/>
  <c r="O462" i="13"/>
  <c r="O507" i="13"/>
  <c r="O514" i="13"/>
  <c r="Q232" i="13"/>
  <c r="Q482" i="13"/>
  <c r="Q498" i="13"/>
  <c r="P458" i="13" a="1"/>
  <c r="N486" i="13"/>
  <c r="N488" i="13"/>
  <c r="N514" i="13"/>
  <c r="P485" i="13" a="1"/>
  <c r="P510" i="13" a="1"/>
  <c r="O471" i="13"/>
  <c r="P480" i="13" a="1"/>
  <c r="N472" i="13"/>
  <c r="Q477" i="13"/>
  <c r="Q456" i="13"/>
  <c r="O474" i="13"/>
  <c r="Q489" i="13"/>
  <c r="P459" i="13" a="1"/>
  <c r="N469" i="13"/>
  <c r="O200" i="13"/>
  <c r="O526" i="13"/>
  <c r="P488" i="13" a="1"/>
  <c r="N528" i="13"/>
  <c r="P494" i="13" a="1"/>
  <c r="N351" i="13"/>
  <c r="Q419" i="13"/>
  <c r="Q525" i="13"/>
  <c r="P456" i="13" a="1"/>
  <c r="O505" i="13"/>
  <c r="N526" i="13"/>
  <c r="O491" i="13"/>
  <c r="Q529" i="13"/>
  <c r="Q481" i="13"/>
  <c r="P232" i="13" a="1"/>
  <c r="O447" i="13"/>
  <c r="P508" i="13" a="1"/>
  <c r="O518" i="13"/>
  <c r="N223" i="13"/>
  <c r="Q447" i="13"/>
  <c r="O475" i="13"/>
  <c r="P507" i="13" a="1"/>
  <c r="Q485" i="13"/>
  <c r="N509" i="13"/>
  <c r="N470" i="13"/>
  <c r="O204" i="13"/>
  <c r="N462" i="13"/>
  <c r="Q455" i="13"/>
  <c r="O182" i="13"/>
  <c r="N459" i="13"/>
  <c r="O511" i="13"/>
  <c r="O448" i="13"/>
  <c r="N483" i="13"/>
  <c r="O477" i="13"/>
  <c r="P223" i="13" a="1"/>
  <c r="Q505" i="13"/>
  <c r="P466" i="13" a="1"/>
  <c r="P446" i="13" a="1"/>
  <c r="O499" i="13"/>
  <c r="N457" i="13"/>
  <c r="Q503" i="13"/>
  <c r="O351" i="13"/>
  <c r="P529" i="13" a="1"/>
  <c r="Q182" i="13"/>
  <c r="P520" i="13" a="1"/>
  <c r="Q468" i="13"/>
  <c r="N474" i="13"/>
  <c r="N511" i="13"/>
  <c r="O516" i="13"/>
  <c r="N475" i="13"/>
  <c r="P497" i="13" a="1"/>
  <c r="P482" i="13" a="1"/>
  <c r="Q479" i="13"/>
  <c r="N506" i="13"/>
  <c r="Q459" i="13"/>
  <c r="O502" i="13"/>
  <c r="O460" i="13"/>
  <c r="O479" i="13"/>
  <c r="Q495" i="13"/>
  <c r="Q467" i="13"/>
  <c r="P501" i="13" a="1"/>
  <c r="N492" i="13"/>
  <c r="N458" i="13"/>
  <c r="N494" i="13"/>
  <c r="N446" i="13"/>
  <c r="P522" i="13" a="1"/>
  <c r="N241" i="13"/>
  <c r="Q517" i="13"/>
  <c r="P506" i="13" a="1"/>
  <c r="O529" i="13"/>
  <c r="P491" i="13" a="1"/>
  <c r="P516" i="13" a="1"/>
  <c r="N356" i="13"/>
  <c r="O452" i="13"/>
  <c r="P448" i="13" a="1"/>
  <c r="N461" i="13"/>
  <c r="Q476" i="13"/>
  <c r="O525" i="13"/>
  <c r="N468" i="13"/>
  <c r="Q449" i="13"/>
  <c r="N495" i="13"/>
  <c r="N449" i="13"/>
  <c r="P478" i="13" a="1"/>
  <c r="N479" i="13"/>
  <c r="O493" i="13"/>
  <c r="N350" i="13"/>
  <c r="O484" i="13"/>
  <c r="O527" i="13"/>
  <c r="Q518" i="13"/>
  <c r="N522" i="13"/>
  <c r="P513" i="13" a="1"/>
  <c r="Q460" i="13"/>
  <c r="P450" i="13" a="1"/>
  <c r="Q509" i="13"/>
  <c r="O455" i="13"/>
  <c r="Q454" i="13"/>
  <c r="N498" i="13"/>
  <c r="O459" i="13"/>
  <c r="Q484" i="13"/>
  <c r="P489" i="13" a="1"/>
  <c r="O419" i="13"/>
  <c r="P481" i="13" a="1"/>
  <c r="P495" i="13" a="1"/>
  <c r="P470" i="13" a="1"/>
  <c r="Q519" i="13"/>
  <c r="Q457" i="13"/>
  <c r="P462" i="13" l="1"/>
  <c r="T465" i="13"/>
  <c r="S514" i="13"/>
  <c r="T93" i="13"/>
  <c r="P526" i="13"/>
  <c r="S519" i="13"/>
  <c r="T489" i="13"/>
  <c r="P93" i="13"/>
  <c r="P463" i="13"/>
  <c r="P464" i="13"/>
  <c r="P419" i="13"/>
  <c r="T449" i="13"/>
  <c r="P480" i="13"/>
  <c r="T523" i="13"/>
  <c r="T498" i="13"/>
  <c r="T499" i="13"/>
  <c r="P514" i="13"/>
  <c r="P477" i="13"/>
  <c r="T350" i="13"/>
  <c r="P454" i="13"/>
  <c r="T525" i="13"/>
  <c r="P465" i="13"/>
  <c r="S459" i="13"/>
  <c r="T473" i="13"/>
  <c r="S453" i="13"/>
  <c r="S497" i="13"/>
  <c r="S470" i="13"/>
  <c r="P493" i="13"/>
  <c r="T494" i="13"/>
  <c r="T501" i="13"/>
  <c r="S468" i="13"/>
  <c r="T500" i="13"/>
  <c r="T527" i="13"/>
  <c r="P232" i="13"/>
  <c r="P488" i="13"/>
  <c r="S478" i="13"/>
  <c r="P491" i="13"/>
  <c r="S502" i="13"/>
  <c r="T514" i="13"/>
  <c r="P501" i="13"/>
  <c r="P456" i="13"/>
  <c r="P513" i="13"/>
  <c r="T472" i="13"/>
  <c r="P515" i="13"/>
  <c r="S487" i="13"/>
  <c r="P472" i="13"/>
  <c r="T356" i="13"/>
  <c r="T493" i="13"/>
  <c r="S467" i="13"/>
  <c r="P473" i="13"/>
  <c r="T447" i="13"/>
  <c r="S510" i="13"/>
  <c r="P499" i="13"/>
  <c r="T529" i="13"/>
  <c r="P446" i="13"/>
  <c r="S461" i="13"/>
  <c r="T496" i="13"/>
  <c r="T460" i="13"/>
  <c r="S520" i="13"/>
  <c r="S480" i="13"/>
  <c r="T469" i="13"/>
  <c r="P500" i="13"/>
  <c r="T505" i="13"/>
  <c r="P517" i="13"/>
  <c r="S182" i="13"/>
  <c r="P528" i="13"/>
  <c r="T515" i="13"/>
  <c r="P521" i="13"/>
  <c r="T484" i="13"/>
  <c r="S504" i="13"/>
  <c r="P451" i="13"/>
  <c r="S241" i="13"/>
  <c r="P498" i="13"/>
  <c r="P350" i="13"/>
  <c r="P482" i="13"/>
  <c r="T492" i="13"/>
  <c r="S490" i="13"/>
  <c r="S232" i="13"/>
  <c r="T223" i="13"/>
  <c r="P524" i="13"/>
  <c r="T459" i="13"/>
  <c r="S482" i="13"/>
  <c r="S518" i="13"/>
  <c r="T518" i="13"/>
  <c r="P204" i="13"/>
  <c r="P455" i="13"/>
  <c r="T503" i="13"/>
  <c r="P518" i="13"/>
  <c r="P527" i="13"/>
  <c r="S493" i="13"/>
  <c r="S488" i="13"/>
  <c r="T490" i="13"/>
  <c r="P504" i="13"/>
  <c r="S463" i="13"/>
  <c r="P497" i="13"/>
  <c r="S501" i="13"/>
  <c r="P503" i="13"/>
  <c r="P507" i="13"/>
  <c r="T232" i="13"/>
  <c r="P486" i="13"/>
  <c r="S93" i="13"/>
  <c r="P467" i="13"/>
  <c r="S527" i="13"/>
  <c r="T502" i="13"/>
  <c r="P512" i="13"/>
  <c r="S513" i="13"/>
  <c r="S465" i="13"/>
  <c r="S448" i="13"/>
  <c r="P452" i="13"/>
  <c r="S454" i="13"/>
  <c r="T475" i="13"/>
  <c r="P492" i="13"/>
  <c r="P519" i="13"/>
  <c r="P510" i="13"/>
  <c r="P459" i="13"/>
  <c r="T463" i="13"/>
  <c r="S512" i="13"/>
  <c r="P356" i="13"/>
  <c r="P496" i="13"/>
  <c r="S471" i="13"/>
  <c r="P505" i="13"/>
  <c r="T479" i="13"/>
  <c r="P484" i="13"/>
  <c r="P487" i="13"/>
  <c r="S526" i="13"/>
  <c r="T448" i="13"/>
  <c r="T519" i="13"/>
  <c r="P490" i="13"/>
  <c r="T451" i="13"/>
  <c r="P506" i="13"/>
  <c r="T453" i="13"/>
  <c r="S506" i="13"/>
  <c r="S474" i="13"/>
  <c r="T455" i="13"/>
  <c r="P182" i="13"/>
  <c r="T495" i="13"/>
  <c r="P485" i="13"/>
  <c r="S475" i="13"/>
  <c r="S516" i="13"/>
  <c r="P449" i="13"/>
  <c r="S203" i="13"/>
  <c r="S515" i="13"/>
  <c r="S492" i="13"/>
  <c r="T486" i="13"/>
  <c r="S464" i="13"/>
  <c r="S481" i="13"/>
  <c r="T470" i="13"/>
  <c r="T471" i="13"/>
  <c r="P448" i="13"/>
  <c r="P511" i="13"/>
  <c r="P476" i="13"/>
  <c r="S507" i="13"/>
  <c r="T508" i="13"/>
  <c r="P223" i="13"/>
  <c r="S460" i="13"/>
  <c r="T458" i="13"/>
  <c r="P453" i="13"/>
  <c r="T468" i="13"/>
  <c r="S500" i="13"/>
  <c r="S523" i="13"/>
  <c r="S452" i="13"/>
  <c r="T456" i="13"/>
  <c r="S469" i="13"/>
  <c r="S484" i="13"/>
  <c r="S451" i="13"/>
  <c r="T462" i="13"/>
  <c r="S525" i="13"/>
  <c r="T200" i="13"/>
  <c r="T474" i="13"/>
  <c r="S477" i="13"/>
  <c r="T478" i="13"/>
  <c r="T454" i="13"/>
  <c r="T480" i="13"/>
  <c r="T481" i="13"/>
  <c r="S446" i="13"/>
  <c r="T487" i="13"/>
  <c r="S462" i="13"/>
  <c r="P478" i="13"/>
  <c r="S505" i="13"/>
  <c r="P471" i="13"/>
  <c r="P523" i="13"/>
  <c r="T507" i="13"/>
  <c r="T483" i="13"/>
  <c r="S529" i="13"/>
  <c r="S508" i="13"/>
  <c r="P445" i="13"/>
  <c r="T511" i="13"/>
  <c r="P529" i="13"/>
  <c r="S223" i="13"/>
  <c r="S447" i="13"/>
  <c r="P457" i="13"/>
  <c r="T203" i="13"/>
  <c r="S494" i="13"/>
  <c r="P495" i="13"/>
  <c r="S351" i="13"/>
  <c r="T445" i="13"/>
  <c r="S524" i="13"/>
  <c r="S445" i="13"/>
  <c r="T491" i="13"/>
  <c r="P458" i="13"/>
  <c r="S521" i="13"/>
  <c r="T506" i="13"/>
  <c r="P468" i="13"/>
  <c r="T521" i="13"/>
  <c r="T482" i="13"/>
  <c r="T520" i="13"/>
  <c r="T513" i="13"/>
  <c r="P460" i="13"/>
  <c r="S457" i="13"/>
  <c r="T419" i="13"/>
  <c r="S511" i="13"/>
  <c r="P474" i="13"/>
  <c r="T504" i="13"/>
  <c r="P502" i="13"/>
  <c r="P481" i="13"/>
  <c r="P509" i="13"/>
  <c r="S486" i="13"/>
  <c r="T351" i="13"/>
  <c r="T450" i="13"/>
  <c r="T516" i="13"/>
  <c r="S503" i="13"/>
  <c r="S498" i="13"/>
  <c r="S204" i="13"/>
  <c r="T510" i="13"/>
  <c r="T526" i="13"/>
  <c r="P469" i="13"/>
  <c r="S491" i="13"/>
  <c r="P494" i="13"/>
  <c r="T522" i="13"/>
  <c r="P466" i="13"/>
  <c r="P470" i="13"/>
  <c r="S479" i="13"/>
  <c r="S449" i="13"/>
  <c r="P483" i="13"/>
  <c r="P450" i="13"/>
  <c r="S456" i="13"/>
  <c r="P522" i="13"/>
  <c r="P475" i="13"/>
  <c r="S517" i="13"/>
  <c r="P520" i="13"/>
  <c r="P351" i="13"/>
  <c r="S485" i="13"/>
  <c r="P461" i="13"/>
  <c r="S419" i="13"/>
  <c r="T464" i="13"/>
  <c r="S200" i="13"/>
  <c r="P447" i="13"/>
  <c r="P489" i="13"/>
  <c r="T452" i="13"/>
  <c r="S356" i="13"/>
  <c r="S455" i="13"/>
  <c r="S472" i="13"/>
  <c r="P241" i="13"/>
  <c r="S483" i="13"/>
  <c r="P508" i="13"/>
  <c r="S466" i="13"/>
  <c r="P525" i="13"/>
  <c r="T204" i="13"/>
  <c r="T485" i="13"/>
  <c r="S509" i="13"/>
  <c r="T476" i="13"/>
  <c r="S528" i="13"/>
  <c r="T182" i="13"/>
  <c r="T509" i="13"/>
  <c r="S495" i="13"/>
  <c r="T467" i="13"/>
  <c r="T461" i="13"/>
  <c r="S476" i="13"/>
  <c r="T517" i="13"/>
  <c r="T466" i="13"/>
  <c r="T512" i="13"/>
  <c r="S458" i="13"/>
  <c r="T488" i="13"/>
  <c r="P203" i="13"/>
  <c r="T497" i="13"/>
  <c r="T446" i="13"/>
  <c r="P200" i="13"/>
  <c r="S450" i="13"/>
  <c r="T457" i="13"/>
  <c r="S350" i="13"/>
  <c r="T241" i="13"/>
  <c r="S489" i="13"/>
  <c r="T477" i="13"/>
  <c r="P516" i="13"/>
  <c r="T524" i="13"/>
  <c r="S473" i="13"/>
  <c r="S496" i="13"/>
  <c r="T528" i="13"/>
  <c r="S499" i="13"/>
  <c r="S522" i="13"/>
  <c r="P479" i="13"/>
  <c r="D9" i="17"/>
  <c r="D12" i="17"/>
  <c r="D10" i="17"/>
  <c r="D15" i="17"/>
  <c r="D16" i="17"/>
  <c r="D7" i="17"/>
  <c r="D18" i="17"/>
  <c r="D14" i="17"/>
  <c r="D11" i="17"/>
  <c r="D6" i="17"/>
  <c r="D20" i="17"/>
  <c r="D19" i="17"/>
  <c r="D8" i="17"/>
  <c r="D17" i="17"/>
  <c r="D13" i="17"/>
  <c r="D5" i="17" l="1"/>
  <c r="T606" i="13" l="1"/>
  <c r="S606" i="13"/>
  <c r="N397" i="13" l="1"/>
  <c r="Q115" i="13"/>
  <c r="O403" i="13"/>
  <c r="N305" i="13"/>
  <c r="Q374" i="13"/>
  <c r="N170" i="13"/>
  <c r="O128" i="13"/>
  <c r="Q316" i="13"/>
  <c r="O220" i="13"/>
  <c r="O258" i="13"/>
  <c r="N399" i="13"/>
  <c r="O96" i="13"/>
  <c r="Q210" i="13"/>
  <c r="Q34" i="13"/>
  <c r="Q567" i="13"/>
  <c r="N612" i="13"/>
  <c r="N598" i="13"/>
  <c r="N247" i="13"/>
  <c r="N368" i="13"/>
  <c r="Q48" i="13"/>
  <c r="O546" i="13"/>
  <c r="O80" i="13"/>
  <c r="N576" i="13"/>
  <c r="N175" i="13"/>
  <c r="P417" i="13" a="1"/>
  <c r="P240" i="13" a="1"/>
  <c r="O198" i="13"/>
  <c r="Q597" i="13"/>
  <c r="O299" i="13"/>
  <c r="O4" i="13"/>
  <c r="N262" i="13"/>
  <c r="O610" i="13"/>
  <c r="O154" i="13"/>
  <c r="Q407" i="13"/>
  <c r="N402" i="13"/>
  <c r="Q314" i="13"/>
  <c r="P279" i="13" a="1"/>
  <c r="P444" i="13" a="1"/>
  <c r="Q535" i="13"/>
  <c r="O140" i="13"/>
  <c r="P273" i="13" a="1"/>
  <c r="N546" i="13"/>
  <c r="Q159" i="13"/>
  <c r="N616" i="13"/>
  <c r="N95" i="13"/>
  <c r="Q162" i="13"/>
  <c r="P216" i="13" a="1"/>
  <c r="O599" i="13"/>
  <c r="P62" i="13" a="1"/>
  <c r="P16" i="13" a="1"/>
  <c r="O33" i="13"/>
  <c r="N597" i="13"/>
  <c r="P574" i="13" a="1"/>
  <c r="P346" i="13" a="1"/>
  <c r="O372" i="13"/>
  <c r="N617" i="13"/>
  <c r="O611" i="13"/>
  <c r="P65" i="13" a="1"/>
  <c r="O425" i="13"/>
  <c r="O189" i="13"/>
  <c r="Q536" i="13"/>
  <c r="N38" i="13"/>
  <c r="N334" i="13"/>
  <c r="N531" i="13"/>
  <c r="O64" i="13"/>
  <c r="Q312" i="13"/>
  <c r="N311" i="13"/>
  <c r="Q294" i="13"/>
  <c r="P48" i="13" a="1"/>
  <c r="O555" i="13"/>
  <c r="Q599" i="13"/>
  <c r="Q436" i="13"/>
  <c r="O32" i="13"/>
  <c r="N580" i="13"/>
  <c r="Q219" i="13"/>
  <c r="P165" i="13" a="1"/>
  <c r="N202" i="13"/>
  <c r="N22" i="13"/>
  <c r="O538" i="13"/>
  <c r="N424" i="13"/>
  <c r="P109" i="13" a="1"/>
  <c r="O129" i="13"/>
  <c r="O301" i="13"/>
  <c r="Q127" i="13"/>
  <c r="P570" i="13" a="1"/>
  <c r="O429" i="13"/>
  <c r="P378" i="13" a="1"/>
  <c r="P144" i="13" a="1"/>
  <c r="Q559" i="13"/>
  <c r="O86" i="13"/>
  <c r="Q52" i="13"/>
  <c r="P311" i="13" a="1"/>
  <c r="P591" i="13" a="1"/>
  <c r="P67" i="13" a="1"/>
  <c r="N281" i="13"/>
  <c r="Q591" i="13"/>
  <c r="O545" i="13"/>
  <c r="O172" i="13"/>
  <c r="O252" i="13"/>
  <c r="O217" i="13"/>
  <c r="N313" i="13"/>
  <c r="P611" i="13" a="1"/>
  <c r="N564" i="13"/>
  <c r="N420" i="13"/>
  <c r="Q129" i="13"/>
  <c r="P556" i="13" a="1"/>
  <c r="Q46" i="13"/>
  <c r="Q273" i="13"/>
  <c r="Q258" i="13"/>
  <c r="O95" i="13"/>
  <c r="Q341" i="13"/>
  <c r="N78" i="13"/>
  <c r="O163" i="13"/>
  <c r="N106" i="13"/>
  <c r="N541" i="13"/>
  <c r="Q424" i="13"/>
  <c r="N349" i="13"/>
  <c r="N180" i="13"/>
  <c r="N557" i="13"/>
  <c r="N430" i="13"/>
  <c r="P411" i="13" a="1"/>
  <c r="P24" i="13" a="1"/>
  <c r="N585" i="13"/>
  <c r="Q37" i="13"/>
  <c r="O617" i="13"/>
  <c r="P401" i="13" a="1"/>
  <c r="Q386" i="13"/>
  <c r="Q562" i="13"/>
  <c r="Q433" i="13"/>
  <c r="N551" i="13"/>
  <c r="O28" i="13"/>
  <c r="Q211" i="13"/>
  <c r="Q183" i="13"/>
  <c r="O366" i="13"/>
  <c r="O412" i="13"/>
  <c r="N400" i="13"/>
  <c r="Q120" i="13"/>
  <c r="Q580" i="13"/>
  <c r="N20" i="13"/>
  <c r="P90" i="13" a="1"/>
  <c r="Q25" i="13"/>
  <c r="Q23" i="13"/>
  <c r="P441" i="13" a="1"/>
  <c r="P390" i="13" a="1"/>
  <c r="Q605" i="13"/>
  <c r="Q163" i="13"/>
  <c r="P406" i="13" a="1"/>
  <c r="O612" i="13"/>
  <c r="Q257" i="13"/>
  <c r="Q542" i="13"/>
  <c r="Q292" i="13"/>
  <c r="O87" i="13"/>
  <c r="P57" i="13" a="1"/>
  <c r="O400" i="13"/>
  <c r="O17" i="13"/>
  <c r="P443" i="13" a="1"/>
  <c r="P285" i="13" a="1"/>
  <c r="O39" i="13"/>
  <c r="Q70" i="13"/>
  <c r="P290" i="13" a="1"/>
  <c r="N255" i="13"/>
  <c r="N165" i="13"/>
  <c r="N550" i="13"/>
  <c r="N68" i="13"/>
  <c r="Q74" i="13"/>
  <c r="Q65" i="13"/>
  <c r="N194" i="13"/>
  <c r="N584" i="13"/>
  <c r="N295" i="13"/>
  <c r="O371" i="13"/>
  <c r="Q42" i="13"/>
  <c r="N169" i="13"/>
  <c r="Q281" i="13"/>
  <c r="O105" i="13"/>
  <c r="O530" i="13"/>
  <c r="Q335" i="13"/>
  <c r="O547" i="13"/>
  <c r="N614" i="13"/>
  <c r="Q54" i="13"/>
  <c r="O40" i="13"/>
  <c r="N163" i="13"/>
  <c r="N70" i="13"/>
  <c r="N406" i="13"/>
  <c r="O106" i="13"/>
  <c r="P196" i="13" a="1"/>
  <c r="N39" i="13"/>
  <c r="P158" i="13" a="1"/>
  <c r="N347" i="13"/>
  <c r="P605" i="13" a="1"/>
  <c r="P66" i="13" a="1"/>
  <c r="O250" i="13"/>
  <c r="N408" i="13"/>
  <c r="N615" i="13"/>
  <c r="Q608" i="13"/>
  <c r="P294" i="13" a="1"/>
  <c r="O574" i="13"/>
  <c r="Q378" i="13"/>
  <c r="O56" i="13"/>
  <c r="P261" i="13" a="1"/>
  <c r="Q92" i="13"/>
  <c r="Q271" i="13"/>
  <c r="O212" i="13"/>
  <c r="O69" i="13"/>
  <c r="N157" i="13"/>
  <c r="N66" i="13"/>
  <c r="O269" i="13"/>
  <c r="O79" i="13"/>
  <c r="N307" i="13"/>
  <c r="N581" i="13"/>
  <c r="Q311" i="13"/>
  <c r="Q150" i="13"/>
  <c r="N577" i="13"/>
  <c r="N71" i="13"/>
  <c r="O180" i="13"/>
  <c r="N53" i="13"/>
  <c r="P202" i="13" a="1"/>
  <c r="P80" i="13" a="1"/>
  <c r="P58" i="13" a="1"/>
  <c r="Q57" i="13"/>
  <c r="O27" i="13"/>
  <c r="P621" i="13" a="1"/>
  <c r="P562" i="13" a="1"/>
  <c r="O5" i="13"/>
  <c r="P242" i="13" a="1"/>
  <c r="O591" i="13"/>
  <c r="O434" i="13"/>
  <c r="P87" i="13" a="1"/>
  <c r="O556" i="13"/>
  <c r="O443" i="13"/>
  <c r="N335" i="13"/>
  <c r="O559" i="13"/>
  <c r="O572" i="13"/>
  <c r="N107" i="13"/>
  <c r="Q55" i="13"/>
  <c r="O292" i="13"/>
  <c r="P253" i="13" a="1"/>
  <c r="N198" i="13"/>
  <c r="Q406" i="13"/>
  <c r="O374" i="13"/>
  <c r="P392" i="13" a="1"/>
  <c r="P278" i="13" a="1"/>
  <c r="O75" i="13"/>
  <c r="P572" i="13" a="1"/>
  <c r="N562" i="13"/>
  <c r="O310" i="13"/>
  <c r="Q18" i="13"/>
  <c r="N124" i="13"/>
  <c r="Q577" i="13"/>
  <c r="N130" i="13"/>
  <c r="P92" i="13" a="1"/>
  <c r="P434" i="13" a="1"/>
  <c r="Q285" i="13"/>
  <c r="Q613" i="13"/>
  <c r="O421" i="13"/>
  <c r="O100" i="13"/>
  <c r="P105" i="13" a="1"/>
  <c r="Q252" i="13"/>
  <c r="Q584" i="13"/>
  <c r="N276" i="13"/>
  <c r="Q617" i="13"/>
  <c r="Q136" i="13"/>
  <c r="Q618" i="13"/>
  <c r="O399" i="13"/>
  <c r="P21" i="13" a="1"/>
  <c r="P34" i="13" a="1"/>
  <c r="N320" i="13"/>
  <c r="P412" i="13" a="1"/>
  <c r="P162" i="13" a="1"/>
  <c r="N600" i="13"/>
  <c r="P164" i="13" a="1"/>
  <c r="N559" i="13"/>
  <c r="N192" i="13"/>
  <c r="Q548" i="13"/>
  <c r="Q101" i="13"/>
  <c r="O303" i="13"/>
  <c r="N345" i="13"/>
  <c r="Q420" i="13"/>
  <c r="N292" i="13"/>
  <c r="Q15" i="13"/>
  <c r="O532" i="13"/>
  <c r="N379" i="13"/>
  <c r="Q338" i="13"/>
  <c r="O60" i="13"/>
  <c r="N56" i="13"/>
  <c r="N160" i="13"/>
  <c r="P117" i="13" a="1"/>
  <c r="O150" i="13"/>
  <c r="Q35" i="13"/>
  <c r="N156" i="13"/>
  <c r="P175" i="13" a="1"/>
  <c r="Q138" i="13"/>
  <c r="Q568" i="13"/>
  <c r="O306" i="13"/>
  <c r="O247" i="13"/>
  <c r="Q220" i="13"/>
  <c r="N85" i="13"/>
  <c r="Q334" i="13"/>
  <c r="O615" i="13"/>
  <c r="N69" i="13"/>
  <c r="N285" i="13"/>
  <c r="P138" i="13" a="1"/>
  <c r="O352" i="13"/>
  <c r="P547" i="13" a="1"/>
  <c r="N207" i="13"/>
  <c r="Q349" i="13"/>
  <c r="Q67" i="13"/>
  <c r="N322" i="13"/>
  <c r="N76" i="13"/>
  <c r="P286" i="13" a="1"/>
  <c r="N273" i="13"/>
  <c r="P439" i="13" a="1"/>
  <c r="P139" i="13" a="1"/>
  <c r="P302" i="13" a="1"/>
  <c r="N303" i="13"/>
  <c r="O13" i="13"/>
  <c r="P163" i="13" a="1"/>
  <c r="Q269" i="13"/>
  <c r="O261" i="13"/>
  <c r="Q8" i="13"/>
  <c r="O263" i="13"/>
  <c r="O564" i="13"/>
  <c r="Q3" i="13"/>
  <c r="P50" i="13" a="1"/>
  <c r="N411" i="13"/>
  <c r="O383" i="13"/>
  <c r="Q169" i="13"/>
  <c r="O83" i="13"/>
  <c r="N372" i="13"/>
  <c r="Q321" i="13"/>
  <c r="O113" i="13"/>
  <c r="N190" i="13"/>
  <c r="Q261" i="13"/>
  <c r="Q147" i="13"/>
  <c r="Q571" i="13"/>
  <c r="Q549" i="13"/>
  <c r="N55" i="13"/>
  <c r="N302" i="13"/>
  <c r="N139" i="13"/>
  <c r="P344" i="13" a="1"/>
  <c r="N17" i="13"/>
  <c r="Q280" i="13"/>
  <c r="O42" i="13"/>
  <c r="O418" i="13"/>
  <c r="Q431" i="13"/>
  <c r="O41" i="13"/>
  <c r="Q380" i="13"/>
  <c r="O432" i="13"/>
  <c r="Q161" i="13"/>
  <c r="O379" i="13"/>
  <c r="P38" i="13" a="1"/>
  <c r="Q90" i="13"/>
  <c r="P372" i="13" a="1"/>
  <c r="P152" i="13" a="1"/>
  <c r="O367" i="13"/>
  <c r="N252" i="13"/>
  <c r="Q376" i="13"/>
  <c r="O304" i="13"/>
  <c r="P111" i="13" a="1"/>
  <c r="P190" i="13" a="1"/>
  <c r="N583" i="13"/>
  <c r="N150" i="13"/>
  <c r="O614" i="13"/>
  <c r="N82" i="13"/>
  <c r="Q240" i="13"/>
  <c r="Q245" i="13"/>
  <c r="Q409" i="13"/>
  <c r="Q413" i="13"/>
  <c r="P430" i="13" a="1"/>
  <c r="N353" i="13"/>
  <c r="Q443" i="13"/>
  <c r="N312" i="13"/>
  <c r="N609" i="13"/>
  <c r="Q278" i="13"/>
  <c r="P28" i="13" a="1"/>
  <c r="P96" i="13" a="1"/>
  <c r="P120" i="13" a="1"/>
  <c r="O438" i="13"/>
  <c r="Q165" i="13"/>
  <c r="N185" i="13"/>
  <c r="N193" i="13"/>
  <c r="P255" i="13" a="1"/>
  <c r="O35" i="13"/>
  <c r="P114" i="13" a="1"/>
  <c r="P221" i="13" a="1"/>
  <c r="Q175" i="13"/>
  <c r="O289" i="13"/>
  <c r="N122" i="13"/>
  <c r="O120" i="13"/>
  <c r="N140" i="13"/>
  <c r="Q583" i="13"/>
  <c r="N294" i="13"/>
  <c r="O605" i="13"/>
  <c r="O59" i="13"/>
  <c r="P307" i="13" a="1"/>
  <c r="O562" i="13"/>
  <c r="N19" i="13"/>
  <c r="O382" i="13"/>
  <c r="N582" i="13"/>
  <c r="N217" i="13"/>
  <c r="P259" i="13" a="1"/>
  <c r="P103" i="13" a="1"/>
  <c r="P37" i="13" a="1"/>
  <c r="O202" i="13"/>
  <c r="P616" i="13" a="1"/>
  <c r="Q391" i="13"/>
  <c r="Q425" i="13"/>
  <c r="P377" i="13" a="1"/>
  <c r="Q423" i="13"/>
  <c r="Q190" i="13"/>
  <c r="N543" i="13"/>
  <c r="Q381" i="13"/>
  <c r="O26" i="13"/>
  <c r="O597" i="13"/>
  <c r="O373" i="13"/>
  <c r="N310" i="13"/>
  <c r="N21" i="13"/>
  <c r="Q298" i="13"/>
  <c r="O390" i="13"/>
  <c r="Q259" i="13"/>
  <c r="N229" i="13"/>
  <c r="O137" i="13"/>
  <c r="Q205" i="13"/>
  <c r="Q550" i="13"/>
  <c r="O389" i="13"/>
  <c r="Q393" i="13"/>
  <c r="O254" i="13"/>
  <c r="O8" i="13"/>
  <c r="N111" i="13"/>
  <c r="O207" i="13"/>
  <c r="Q249" i="13"/>
  <c r="O177" i="13"/>
  <c r="P213" i="13" a="1"/>
  <c r="N592" i="13"/>
  <c r="N265" i="13"/>
  <c r="P198" i="13" a="1"/>
  <c r="Q333" i="13"/>
  <c r="N136" i="13"/>
  <c r="N196" i="13"/>
  <c r="N166" i="13"/>
  <c r="N563" i="13"/>
  <c r="Q242" i="13"/>
  <c r="Q600" i="13"/>
  <c r="N553" i="13"/>
  <c r="O539" i="13"/>
  <c r="Q97" i="13"/>
  <c r="P366" i="13" a="1"/>
  <c r="O88" i="13"/>
  <c r="P159" i="13" a="1"/>
  <c r="Q31" i="13"/>
  <c r="O195" i="13"/>
  <c r="N58" i="13"/>
  <c r="N18" i="13"/>
  <c r="O266" i="13"/>
  <c r="N162" i="13"/>
  <c r="Q263" i="13"/>
  <c r="N288" i="13"/>
  <c r="O135" i="13"/>
  <c r="Q371" i="13"/>
  <c r="O393" i="13"/>
  <c r="N212" i="13"/>
  <c r="P426" i="13" a="1"/>
  <c r="N248" i="13"/>
  <c r="N216" i="13"/>
  <c r="Q167" i="13"/>
  <c r="Q239" i="13"/>
  <c r="Q108" i="13"/>
  <c r="O82" i="13"/>
  <c r="Q157" i="13"/>
  <c r="Q146" i="13"/>
  <c r="O239" i="13"/>
  <c r="O417" i="13"/>
  <c r="N46" i="13"/>
  <c r="Q561" i="13"/>
  <c r="N437" i="13"/>
  <c r="Q367" i="13"/>
  <c r="O9" i="13"/>
  <c r="O381" i="13"/>
  <c r="P333" i="13" a="1"/>
  <c r="P323" i="13" a="1"/>
  <c r="P192" i="13" a="1"/>
  <c r="O101" i="13"/>
  <c r="N65" i="13"/>
  <c r="P125" i="13" a="1"/>
  <c r="O73" i="13"/>
  <c r="Q38" i="13"/>
  <c r="O600" i="13"/>
  <c r="P554" i="13" a="1"/>
  <c r="Q306" i="13"/>
  <c r="N89" i="13"/>
  <c r="Q404" i="13"/>
  <c r="N422" i="13"/>
  <c r="N542" i="13"/>
  <c r="O409" i="13"/>
  <c r="O428" i="13"/>
  <c r="Q545" i="13"/>
  <c r="O391" i="13"/>
  <c r="Q99" i="13"/>
  <c r="N376" i="13"/>
  <c r="Q437" i="13"/>
  <c r="Q134" i="13"/>
  <c r="N346" i="13"/>
  <c r="N99" i="13"/>
  <c r="O613" i="13"/>
  <c r="P335" i="13" a="1"/>
  <c r="O171" i="13"/>
  <c r="O123" i="13"/>
  <c r="O98" i="13"/>
  <c r="N158" i="13"/>
  <c r="Q540" i="13"/>
  <c r="P262" i="13" a="1"/>
  <c r="N380" i="13"/>
  <c r="P181" i="13" a="1"/>
  <c r="O265" i="13"/>
  <c r="Q213" i="13"/>
  <c r="P153" i="13" a="1"/>
  <c r="Q581" i="13"/>
  <c r="O262" i="13"/>
  <c r="P280" i="13" a="1"/>
  <c r="O108" i="13"/>
  <c r="P270" i="13" a="1"/>
  <c r="O537" i="13"/>
  <c r="P575" i="13" a="1"/>
  <c r="P400" i="13" a="1"/>
  <c r="Q82" i="13"/>
  <c r="Q295" i="13"/>
  <c r="P590" i="13" a="1"/>
  <c r="Q171" i="13"/>
  <c r="N116" i="13"/>
  <c r="N249" i="13"/>
  <c r="Q246" i="13"/>
  <c r="N118" i="13"/>
  <c r="O199" i="13"/>
  <c r="N172" i="13"/>
  <c r="Q209" i="13"/>
  <c r="N568" i="13"/>
  <c r="O194" i="13"/>
  <c r="P157" i="13" a="1"/>
  <c r="O302" i="13"/>
  <c r="Q344" i="13"/>
  <c r="P405" i="13" a="1"/>
  <c r="P218" i="13" a="1"/>
  <c r="O286" i="13"/>
  <c r="N278" i="13"/>
  <c r="P108" i="13" a="1"/>
  <c r="N31" i="13"/>
  <c r="N382" i="13"/>
  <c r="Q191" i="13"/>
  <c r="N63" i="13"/>
  <c r="P60" i="13" a="1"/>
  <c r="Q121" i="13"/>
  <c r="N244" i="13"/>
  <c r="O99" i="13"/>
  <c r="P25" i="13" a="1"/>
  <c r="P532" i="13" a="1"/>
  <c r="P578" i="13" a="1"/>
  <c r="O275" i="13"/>
  <c r="P52" i="13" a="1"/>
  <c r="N415" i="13"/>
  <c r="P35" i="13" a="1"/>
  <c r="P54" i="13" a="1"/>
  <c r="Q98" i="13"/>
  <c r="P26" i="13" a="1"/>
  <c r="Q4" i="13"/>
  <c r="N533" i="13"/>
  <c r="P55" i="13" a="1"/>
  <c r="O65" i="13"/>
  <c r="P145" i="13" a="1"/>
  <c r="N57" i="13"/>
  <c r="N613" i="13"/>
  <c r="O339" i="13"/>
  <c r="P246" i="13" a="1"/>
  <c r="O294" i="13"/>
  <c r="N88" i="13"/>
  <c r="O268" i="13"/>
  <c r="O272" i="13"/>
  <c r="O377" i="13"/>
  <c r="P156" i="13" a="1"/>
  <c r="P171" i="13" a="1"/>
  <c r="Q296" i="13"/>
  <c r="P600" i="13" a="1"/>
  <c r="Q390" i="13"/>
  <c r="Q243" i="13"/>
  <c r="Q537" i="13"/>
  <c r="O308" i="13"/>
  <c r="P53" i="13" a="1"/>
  <c r="Q254" i="13"/>
  <c r="O147" i="13"/>
  <c r="N338" i="13"/>
  <c r="Q320" i="13"/>
  <c r="N427" i="13"/>
  <c r="Q543" i="13"/>
  <c r="Q563" i="13"/>
  <c r="N75" i="13"/>
  <c r="O533" i="13"/>
  <c r="P542" i="13" a="1"/>
  <c r="N384" i="13"/>
  <c r="P185" i="13" a="1"/>
  <c r="O433" i="13"/>
  <c r="Q297" i="13"/>
  <c r="P409" i="13" a="1"/>
  <c r="P592" i="13" a="1"/>
  <c r="O89" i="13"/>
  <c r="P95" i="13" a="1"/>
  <c r="N544" i="13"/>
  <c r="O76" i="13"/>
  <c r="P112" i="13" a="1"/>
  <c r="O318" i="13"/>
  <c r="O341" i="13"/>
  <c r="O345" i="13"/>
  <c r="P353" i="13" a="1"/>
  <c r="P178" i="13" a="1"/>
  <c r="O387" i="13"/>
  <c r="Q116" i="13"/>
  <c r="N413" i="13"/>
  <c r="O156" i="13"/>
  <c r="P173" i="13" a="1"/>
  <c r="P414" i="13" a="1"/>
  <c r="O164" i="13"/>
  <c r="N268" i="13"/>
  <c r="Q59" i="13"/>
  <c r="O571" i="13"/>
  <c r="O62" i="13"/>
  <c r="O411" i="13"/>
  <c r="O107" i="13"/>
  <c r="N409" i="13"/>
  <c r="O256" i="13"/>
  <c r="P535" i="13" a="1"/>
  <c r="P258" i="13" a="1"/>
  <c r="P129" i="13" a="1"/>
  <c r="N109" i="13"/>
  <c r="Q104" i="13"/>
  <c r="Q49" i="13"/>
  <c r="Q21" i="13"/>
  <c r="P43" i="13" a="1"/>
  <c r="Q384" i="13"/>
  <c r="O92" i="13"/>
  <c r="Q534" i="13"/>
  <c r="N4" i="13"/>
  <c r="P251" i="13" a="1"/>
  <c r="Q319" i="13"/>
  <c r="Q336" i="13"/>
  <c r="Q253" i="13"/>
  <c r="P615" i="13" a="1"/>
  <c r="P551" i="13" a="1"/>
  <c r="Q164" i="13"/>
  <c r="P102" i="13" a="1"/>
  <c r="N401" i="13"/>
  <c r="Q610" i="13"/>
  <c r="P387" i="13" a="1"/>
  <c r="P543" i="13" a="1"/>
  <c r="Q620" i="13"/>
  <c r="P8" i="13" a="1"/>
  <c r="O621" i="13"/>
  <c r="P249" i="13" a="1"/>
  <c r="O218" i="13"/>
  <c r="P347" i="13" a="1"/>
  <c r="O51" i="13"/>
  <c r="N267" i="13"/>
  <c r="O242" i="13"/>
  <c r="O179" i="13"/>
  <c r="Q366" i="13"/>
  <c r="P376" i="13" a="1"/>
  <c r="N571" i="13"/>
  <c r="P597" i="13" a="1"/>
  <c r="N261" i="13"/>
  <c r="Q112" i="13"/>
  <c r="O540" i="13"/>
  <c r="O566" i="13"/>
  <c r="O378" i="13"/>
  <c r="P271" i="13" a="1"/>
  <c r="Q301" i="13"/>
  <c r="O149" i="13"/>
  <c r="P421" i="13" a="1"/>
  <c r="O277" i="13"/>
  <c r="P30" i="13" a="1"/>
  <c r="P391" i="13" a="1"/>
  <c r="N117" i="13"/>
  <c r="N566" i="13"/>
  <c r="N309" i="13"/>
  <c r="O267" i="13"/>
  <c r="Q221" i="13"/>
  <c r="Q86" i="13"/>
  <c r="P560" i="13" a="1"/>
  <c r="N177" i="13"/>
  <c r="Q416" i="13"/>
  <c r="P10" i="13" a="1"/>
  <c r="P429" i="13" a="1"/>
  <c r="P546" i="13" a="1"/>
  <c r="O285" i="13"/>
  <c r="O174" i="13"/>
  <c r="P161" i="13" a="1"/>
  <c r="O143" i="13"/>
  <c r="O44" i="13"/>
  <c r="O398" i="13"/>
  <c r="Q260" i="13"/>
  <c r="P169" i="13" a="1"/>
  <c r="N333" i="13"/>
  <c r="N383" i="13"/>
  <c r="O424" i="13"/>
  <c r="P268" i="13" a="1"/>
  <c r="Q383" i="13"/>
  <c r="O155" i="13"/>
  <c r="P399" i="13" a="1"/>
  <c r="Q265" i="13"/>
  <c r="Q279" i="13"/>
  <c r="Q122" i="13"/>
  <c r="O127" i="13"/>
  <c r="N530" i="13"/>
  <c r="N605" i="13"/>
  <c r="N114" i="13"/>
  <c r="O168" i="13"/>
  <c r="Q199" i="13"/>
  <c r="N3" i="13"/>
  <c r="Q421" i="13"/>
  <c r="O278" i="13"/>
  <c r="O116" i="13"/>
  <c r="P170" i="13" a="1"/>
  <c r="Q130" i="13"/>
  <c r="Q615" i="13"/>
  <c r="Q62" i="13"/>
  <c r="Q565" i="13"/>
  <c r="Q382" i="13"/>
  <c r="O85" i="13"/>
  <c r="Q582" i="13"/>
  <c r="P275" i="13" a="1"/>
  <c r="Q575" i="13"/>
  <c r="Q576" i="13"/>
  <c r="N98" i="13"/>
  <c r="P155" i="13" a="1"/>
  <c r="Q290" i="13"/>
  <c r="P41" i="13" a="1"/>
  <c r="O273" i="13"/>
  <c r="N149" i="13"/>
  <c r="Q186" i="13"/>
  <c r="O422" i="13"/>
  <c r="P51" i="13" a="1"/>
  <c r="P219" i="13" a="1"/>
  <c r="N79" i="13"/>
  <c r="Q397" i="13"/>
  <c r="N321" i="13"/>
  <c r="N556" i="13"/>
  <c r="P245" i="13" a="1"/>
  <c r="N62" i="13"/>
  <c r="P9" i="13" a="1"/>
  <c r="P292" i="13" a="1"/>
  <c r="P266" i="13" a="1"/>
  <c r="N416" i="13"/>
  <c r="N578" i="13"/>
  <c r="Q178" i="13"/>
  <c r="P83" i="13" a="1"/>
  <c r="O608" i="13"/>
  <c r="N52" i="13"/>
  <c r="P370" i="13" a="1"/>
  <c r="O569" i="13"/>
  <c r="N336" i="13"/>
  <c r="Q105" i="13"/>
  <c r="N151" i="13"/>
  <c r="O193" i="13"/>
  <c r="Q126" i="13"/>
  <c r="N113" i="13"/>
  <c r="Q531" i="13"/>
  <c r="O315" i="13"/>
  <c r="N105" i="13"/>
  <c r="O557" i="13"/>
  <c r="O110" i="13"/>
  <c r="Q118" i="13"/>
  <c r="O238" i="13"/>
  <c r="P127" i="13" a="1"/>
  <c r="O298" i="13"/>
  <c r="N395" i="13"/>
  <c r="N392" i="13"/>
  <c r="Q403" i="13"/>
  <c r="P316" i="13" a="1"/>
  <c r="Q398" i="13"/>
  <c r="O346" i="13"/>
  <c r="P550" i="13" a="1"/>
  <c r="O53" i="13"/>
  <c r="P404" i="13" a="1"/>
  <c r="P99" i="13" a="1"/>
  <c r="Q106" i="13"/>
  <c r="N83" i="13"/>
  <c r="N277" i="13"/>
  <c r="P442" i="13" a="1"/>
  <c r="Q95" i="13"/>
  <c r="O122" i="13"/>
  <c r="O554" i="13"/>
  <c r="N586" i="13"/>
  <c r="O138" i="13"/>
  <c r="P254" i="13" a="1"/>
  <c r="N84" i="13"/>
  <c r="P334" i="13" a="1"/>
  <c r="O125" i="13"/>
  <c r="P239" i="13" a="1"/>
  <c r="P100" i="13" a="1"/>
  <c r="N208" i="13"/>
  <c r="O70" i="13"/>
  <c r="P609" i="13" a="1"/>
  <c r="P300" i="13" a="1"/>
  <c r="O305" i="13"/>
  <c r="N137" i="13"/>
  <c r="O139" i="13"/>
  <c r="Q149" i="13"/>
  <c r="N565" i="13"/>
  <c r="P568" i="13" a="1"/>
  <c r="P539" i="13" a="1"/>
  <c r="Q30" i="13"/>
  <c r="Q5" i="13"/>
  <c r="Q78" i="13"/>
  <c r="O290" i="13"/>
  <c r="O165" i="13"/>
  <c r="O576" i="13"/>
  <c r="P274" i="13" a="1"/>
  <c r="O19" i="13"/>
  <c r="N147" i="13"/>
  <c r="N570" i="13"/>
  <c r="N125" i="13"/>
  <c r="N254" i="13"/>
  <c r="Q313" i="13"/>
  <c r="N5" i="13"/>
  <c r="O560" i="13"/>
  <c r="O284" i="13"/>
  <c r="O309" i="13"/>
  <c r="Q432" i="13"/>
  <c r="N439" i="13"/>
  <c r="N146" i="13"/>
  <c r="Q156" i="13"/>
  <c r="Q117" i="13"/>
  <c r="P166" i="13" a="1"/>
  <c r="O541" i="13"/>
  <c r="Q322" i="13"/>
  <c r="N618" i="13"/>
  <c r="P318" i="13" a="1"/>
  <c r="O620" i="13"/>
  <c r="P552" i="13" a="1"/>
  <c r="N142" i="13"/>
  <c r="P537" i="13" a="1"/>
  <c r="Q185" i="13"/>
  <c r="N343" i="13"/>
  <c r="P381" i="13" a="1"/>
  <c r="N318" i="13"/>
  <c r="P32" i="13" a="1"/>
  <c r="P576" i="13" a="1"/>
  <c r="P59" i="13" a="1"/>
  <c r="P123" i="13" a="1"/>
  <c r="P267" i="13" a="1"/>
  <c r="N119" i="13"/>
  <c r="P564" i="13" a="1"/>
  <c r="N282" i="13"/>
  <c r="P81" i="13" a="1"/>
  <c r="P563" i="13" a="1"/>
  <c r="N572" i="13"/>
  <c r="P599" i="13" a="1"/>
  <c r="O296" i="13"/>
  <c r="O416" i="13"/>
  <c r="N26" i="13"/>
  <c r="N306" i="13"/>
  <c r="N403" i="13"/>
  <c r="O334" i="13"/>
  <c r="O335" i="13"/>
  <c r="Q20" i="13"/>
  <c r="P312" i="13" a="1"/>
  <c r="O90" i="13"/>
  <c r="N64" i="13"/>
  <c r="N112" i="13"/>
  <c r="O112" i="13"/>
  <c r="N599" i="13"/>
  <c r="O558" i="13"/>
  <c r="Q110" i="13"/>
  <c r="P533" i="13" a="1"/>
  <c r="P142" i="13" a="1"/>
  <c r="P183" i="13" a="1"/>
  <c r="N238" i="13"/>
  <c r="Q346" i="13"/>
  <c r="O205" i="13"/>
  <c r="Q428" i="13"/>
  <c r="Q251" i="13"/>
  <c r="N410" i="13"/>
  <c r="P148" i="13" a="1"/>
  <c r="O230" i="13"/>
  <c r="O111" i="13"/>
  <c r="Q300" i="13"/>
  <c r="P352" i="13" a="1"/>
  <c r="P343" i="13" a="1"/>
  <c r="P71" i="13" a="1"/>
  <c r="O81" i="13"/>
  <c r="O384" i="13"/>
  <c r="Q218" i="13"/>
  <c r="Q557" i="13"/>
  <c r="Q32" i="13"/>
  <c r="N417" i="13"/>
  <c r="N199" i="13"/>
  <c r="N10" i="13"/>
  <c r="N308" i="13"/>
  <c r="Q248" i="13"/>
  <c r="N538" i="13"/>
  <c r="O293" i="13"/>
  <c r="N92" i="13"/>
  <c r="O54" i="13"/>
  <c r="O575" i="13"/>
  <c r="N619" i="13"/>
  <c r="Q267" i="13"/>
  <c r="N167" i="13"/>
  <c r="O401" i="13"/>
  <c r="P422" i="13" a="1"/>
  <c r="P432" i="13" a="1"/>
  <c r="Q308" i="13"/>
  <c r="P140" i="13" a="1"/>
  <c r="N101" i="13"/>
  <c r="O20" i="13"/>
  <c r="Q179" i="13"/>
  <c r="O580" i="13"/>
  <c r="N547" i="13"/>
  <c r="O48" i="13"/>
  <c r="O386" i="13"/>
  <c r="N54" i="13"/>
  <c r="O18" i="13"/>
  <c r="P186" i="13" a="1"/>
  <c r="N611" i="13"/>
  <c r="N366" i="13"/>
  <c r="N375" i="13"/>
  <c r="Q546" i="13"/>
  <c r="N407" i="13"/>
  <c r="Q91" i="13"/>
  <c r="O287" i="13"/>
  <c r="O442" i="13"/>
  <c r="O568" i="13"/>
  <c r="Q100" i="13"/>
  <c r="O133" i="13"/>
  <c r="P44" i="13" a="1"/>
  <c r="O435" i="13"/>
  <c r="O21" i="13"/>
  <c r="P287" i="13" a="1"/>
  <c r="O104" i="13"/>
  <c r="Q63" i="13"/>
  <c r="O338" i="13"/>
  <c r="P220" i="13" a="1"/>
  <c r="O441" i="13"/>
  <c r="O6" i="13"/>
  <c r="Q343" i="13"/>
  <c r="P435" i="13" a="1"/>
  <c r="Q19" i="13"/>
  <c r="Q119" i="13"/>
  <c r="O15" i="13"/>
  <c r="Q84" i="13"/>
  <c r="O313" i="13"/>
  <c r="P69" i="13" a="1"/>
  <c r="N159" i="13"/>
  <c r="Q262" i="13"/>
  <c r="N591" i="13"/>
  <c r="Q140" i="13"/>
  <c r="O405" i="13"/>
  <c r="N213" i="13"/>
  <c r="P288" i="13" a="1"/>
  <c r="O380" i="13"/>
  <c r="P384" i="13" a="1"/>
  <c r="N620" i="13"/>
  <c r="N555" i="13"/>
  <c r="O58" i="13"/>
  <c r="N369" i="13"/>
  <c r="O388" i="13"/>
  <c r="Q133" i="13"/>
  <c r="Q444" i="13"/>
  <c r="Q181" i="13"/>
  <c r="N315" i="13"/>
  <c r="P187" i="13" a="1"/>
  <c r="O609" i="13"/>
  <c r="P416" i="13" a="1"/>
  <c r="O321" i="13"/>
  <c r="N418" i="13"/>
  <c r="O300" i="13"/>
  <c r="Q609" i="13"/>
  <c r="O142" i="13"/>
  <c r="N271" i="13"/>
  <c r="Q155" i="13"/>
  <c r="N15" i="13"/>
  <c r="Q396" i="13"/>
  <c r="P70" i="13" a="1"/>
  <c r="N534" i="13"/>
  <c r="P338" i="13" a="1"/>
  <c r="N537" i="13"/>
  <c r="Q412" i="13"/>
  <c r="N440" i="13"/>
  <c r="O47" i="13"/>
  <c r="Q541" i="13"/>
  <c r="Q71" i="13"/>
  <c r="Q60" i="13"/>
  <c r="O84" i="13"/>
  <c r="Q558" i="13"/>
  <c r="P73" i="13" a="1"/>
  <c r="O109" i="13"/>
  <c r="P134" i="13" a="1"/>
  <c r="P29" i="13" a="1"/>
  <c r="P566" i="13" a="1"/>
  <c r="O251" i="13"/>
  <c r="P252" i="13" a="1"/>
  <c r="O244" i="13"/>
  <c r="O16" i="13"/>
  <c r="N90" i="13"/>
  <c r="Q430" i="13"/>
  <c r="N301" i="13"/>
  <c r="P124" i="13" a="1"/>
  <c r="Q176" i="13"/>
  <c r="P184" i="13" a="1"/>
  <c r="N548" i="13"/>
  <c r="N441" i="13"/>
  <c r="O394" i="13"/>
  <c r="Q401" i="13"/>
  <c r="Q73" i="13"/>
  <c r="Q153" i="13"/>
  <c r="N86" i="13"/>
  <c r="P84" i="13" a="1"/>
  <c r="O43" i="13"/>
  <c r="N126" i="13"/>
  <c r="Q442" i="13"/>
  <c r="Q264" i="13"/>
  <c r="O274" i="13"/>
  <c r="O426" i="13"/>
  <c r="P379" i="13" a="1"/>
  <c r="O295" i="13"/>
  <c r="O229" i="13"/>
  <c r="P176" i="13" a="1"/>
  <c r="Q427" i="13"/>
  <c r="Q189" i="13"/>
  <c r="N567" i="13"/>
  <c r="Q611" i="13"/>
  <c r="N179" i="13"/>
  <c r="N16" i="13"/>
  <c r="Q87" i="13"/>
  <c r="N299" i="13"/>
  <c r="O245" i="13"/>
  <c r="N304" i="13"/>
  <c r="N218" i="13"/>
  <c r="O618" i="13"/>
  <c r="P167" i="13" a="1"/>
  <c r="O534" i="13"/>
  <c r="Q202" i="13"/>
  <c r="O57" i="13"/>
  <c r="N344" i="13"/>
  <c r="Q250" i="13"/>
  <c r="Q342" i="13"/>
  <c r="Q26" i="13"/>
  <c r="P395" i="13" a="1"/>
  <c r="N48" i="13"/>
  <c r="N24" i="13"/>
  <c r="Q554" i="13"/>
  <c r="Q102" i="13"/>
  <c r="P118" i="13" a="1"/>
  <c r="P403" i="13" a="1"/>
  <c r="Q422" i="13"/>
  <c r="P72" i="13" a="1"/>
  <c r="O121" i="13"/>
  <c r="P309" i="13" a="1"/>
  <c r="Q592" i="13"/>
  <c r="P45" i="13" a="1"/>
  <c r="N373" i="13"/>
  <c r="Q47" i="13"/>
  <c r="O240" i="13"/>
  <c r="Q158" i="13"/>
  <c r="Q109" i="13"/>
  <c r="P295" i="13" a="1"/>
  <c r="N245" i="13"/>
  <c r="O342" i="13"/>
  <c r="P383" i="13" a="1"/>
  <c r="P298" i="13" a="1"/>
  <c r="Q56" i="13"/>
  <c r="O183" i="13"/>
  <c r="N404" i="13"/>
  <c r="Q288" i="13"/>
  <c r="N181" i="13"/>
  <c r="O260" i="13"/>
  <c r="O397" i="13"/>
  <c r="O166" i="13"/>
  <c r="N389" i="13"/>
  <c r="N246" i="13"/>
  <c r="P433" i="13" a="1"/>
  <c r="Q598" i="13"/>
  <c r="P121" i="13" a="1"/>
  <c r="O316" i="13"/>
  <c r="P276" i="13" a="1"/>
  <c r="O102" i="13"/>
  <c r="N221" i="13"/>
  <c r="P88" i="13" a="1"/>
  <c r="P193" i="13" a="1"/>
  <c r="O160" i="13"/>
  <c r="P212" i="13" a="1"/>
  <c r="P174" i="13" a="1"/>
  <c r="N148" i="13"/>
  <c r="P345" i="13" a="1"/>
  <c r="O404" i="13"/>
  <c r="Q187" i="13"/>
  <c r="P614" i="13" a="1"/>
  <c r="Q566" i="13"/>
  <c r="O347" i="13"/>
  <c r="P582" i="13" a="1"/>
  <c r="O431" i="13"/>
  <c r="P367" i="13" a="1"/>
  <c r="Q293" i="13"/>
  <c r="Q144" i="13"/>
  <c r="N102" i="13"/>
  <c r="P132" i="13" a="1"/>
  <c r="O311" i="13"/>
  <c r="N40" i="13"/>
  <c r="N239" i="13"/>
  <c r="O190" i="13"/>
  <c r="N103" i="13"/>
  <c r="O550" i="13"/>
  <c r="N391" i="13"/>
  <c r="P247" i="13" a="1"/>
  <c r="N6" i="13"/>
  <c r="O141" i="13"/>
  <c r="O259" i="13"/>
  <c r="O279" i="13"/>
  <c r="Q6" i="13"/>
  <c r="O117" i="13"/>
  <c r="P136" i="13" a="1"/>
  <c r="P373" i="13" a="1"/>
  <c r="Q304" i="13"/>
  <c r="P613" i="13" a="1"/>
  <c r="P56" i="13" a="1"/>
  <c r="O561" i="13"/>
  <c r="P319" i="13" a="1"/>
  <c r="O583" i="13"/>
  <c r="N14" i="13"/>
  <c r="Q207" i="13"/>
  <c r="P407" i="13" a="1"/>
  <c r="P33" i="13" a="1"/>
  <c r="O616" i="13"/>
  <c r="N23" i="13"/>
  <c r="P541" i="13" a="1"/>
  <c r="P573" i="13" a="1"/>
  <c r="N42" i="13"/>
  <c r="Q125" i="13"/>
  <c r="P293" i="13" a="1"/>
  <c r="P619" i="13" a="1"/>
  <c r="Q339" i="13"/>
  <c r="N28" i="13"/>
  <c r="Q552" i="13"/>
  <c r="P194" i="13" a="1"/>
  <c r="Q148" i="13"/>
  <c r="P299" i="13" a="1"/>
  <c r="P97" i="13" a="1"/>
  <c r="Q29" i="13"/>
  <c r="P82" i="13" a="1"/>
  <c r="Q124" i="13"/>
  <c r="N41" i="13"/>
  <c r="O271" i="13"/>
  <c r="N284" i="13"/>
  <c r="Q310" i="13"/>
  <c r="P18" i="13" a="1"/>
  <c r="O414" i="13"/>
  <c r="P75" i="13" a="1"/>
  <c r="Q44" i="13"/>
  <c r="Q238" i="13"/>
  <c r="O66" i="13"/>
  <c r="N47" i="13"/>
  <c r="Q12" i="13"/>
  <c r="O210" i="13"/>
  <c r="O67" i="13"/>
  <c r="Q16" i="13"/>
  <c r="O323" i="13"/>
  <c r="O598" i="13"/>
  <c r="Q168" i="13"/>
  <c r="N184" i="13"/>
  <c r="P141" i="13" a="1"/>
  <c r="Q395" i="13"/>
  <c r="P78" i="13" a="1"/>
  <c r="P579" i="13" a="1"/>
  <c r="N120" i="13"/>
  <c r="N370" i="13"/>
  <c r="P79" i="13" a="1"/>
  <c r="Q68" i="13"/>
  <c r="P393" i="13" a="1"/>
  <c r="N621" i="13"/>
  <c r="O565" i="13"/>
  <c r="N341" i="13"/>
  <c r="O535" i="13"/>
  <c r="O30" i="13"/>
  <c r="Q151" i="13"/>
  <c r="P410" i="13" a="1"/>
  <c r="Q10" i="13"/>
  <c r="O114" i="13"/>
  <c r="N426" i="13"/>
  <c r="P128" i="13" a="1"/>
  <c r="P91" i="13" a="1"/>
  <c r="N290" i="13"/>
  <c r="P238" i="13" a="1"/>
  <c r="P63" i="13" a="1"/>
  <c r="O291" i="13"/>
  <c r="N388" i="13"/>
  <c r="N257" i="13"/>
  <c r="P6" i="13" a="1"/>
  <c r="O146" i="13"/>
  <c r="P425" i="13" a="1"/>
  <c r="Q585" i="13"/>
  <c r="O281" i="13"/>
  <c r="N209" i="13"/>
  <c r="Q533" i="13"/>
  <c r="O420" i="13"/>
  <c r="O243" i="13"/>
  <c r="Q429" i="13"/>
  <c r="Q347" i="13"/>
  <c r="P191" i="13" a="1"/>
  <c r="Q11" i="13"/>
  <c r="N316" i="13"/>
  <c r="N243" i="13"/>
  <c r="N45" i="13"/>
  <c r="Q96" i="13"/>
  <c r="O157" i="13"/>
  <c r="O161" i="13"/>
  <c r="O578" i="13"/>
  <c r="Q556" i="13"/>
  <c r="N242" i="13"/>
  <c r="N250" i="13"/>
  <c r="P19" i="13" a="1"/>
  <c r="P149" i="13" a="1"/>
  <c r="Q270" i="13"/>
  <c r="N421" i="13"/>
  <c r="Q299" i="13"/>
  <c r="O248" i="13"/>
  <c r="N121" i="13"/>
  <c r="P106" i="13" a="1"/>
  <c r="Q616" i="13"/>
  <c r="Q394" i="13"/>
  <c r="O577" i="13"/>
  <c r="N342" i="13"/>
  <c r="P250" i="13" a="1"/>
  <c r="N535" i="13"/>
  <c r="N220" i="13"/>
  <c r="N286" i="13"/>
  <c r="P612" i="13" a="1"/>
  <c r="O553" i="13"/>
  <c r="P147" i="13" a="1"/>
  <c r="Q353" i="13"/>
  <c r="Q83" i="13"/>
  <c r="O78" i="13"/>
  <c r="O253" i="13"/>
  <c r="O536" i="13"/>
  <c r="P320" i="13" a="1"/>
  <c r="P210" i="13" a="1"/>
  <c r="P113" i="13" a="1"/>
  <c r="Q399" i="13"/>
  <c r="Q560" i="13"/>
  <c r="O167" i="13"/>
  <c r="N291" i="13"/>
  <c r="Q103" i="13"/>
  <c r="P281" i="13" a="1"/>
  <c r="Q303" i="13"/>
  <c r="N434" i="13"/>
  <c r="O25" i="13"/>
  <c r="Q538" i="13"/>
  <c r="Q318" i="13"/>
  <c r="N80" i="13"/>
  <c r="Q532" i="13"/>
  <c r="Q405" i="13"/>
  <c r="P31" i="13" a="1"/>
  <c r="P209" i="13" a="1"/>
  <c r="Q410" i="13"/>
  <c r="O216" i="13"/>
  <c r="Q440" i="13"/>
  <c r="O63" i="13"/>
  <c r="O151" i="13"/>
  <c r="Q166" i="13"/>
  <c r="O430" i="13"/>
  <c r="N186" i="13"/>
  <c r="P369" i="13" a="1"/>
  <c r="O407" i="13"/>
  <c r="O590" i="13"/>
  <c r="Q387" i="13"/>
  <c r="N96" i="13"/>
  <c r="O214" i="13"/>
  <c r="Q51" i="13"/>
  <c r="Q377" i="13"/>
  <c r="P98" i="13" a="1"/>
  <c r="Q114" i="13"/>
  <c r="N25" i="13"/>
  <c r="N240" i="13"/>
  <c r="Q287" i="13"/>
  <c r="O3" i="13"/>
  <c r="O74" i="13"/>
  <c r="O423" i="13"/>
  <c r="P336" i="13" a="1"/>
  <c r="P553" i="13" a="1"/>
  <c r="N30" i="13"/>
  <c r="N251" i="13"/>
  <c r="Q139" i="13"/>
  <c r="Q389" i="13"/>
  <c r="O144" i="13"/>
  <c r="N405" i="13"/>
  <c r="Q36" i="13"/>
  <c r="N296" i="13"/>
  <c r="Q214" i="13"/>
  <c r="Q418" i="13"/>
  <c r="Q379" i="13"/>
  <c r="O581" i="13"/>
  <c r="Q612" i="13"/>
  <c r="P23" i="13" a="1"/>
  <c r="N9" i="13"/>
  <c r="P101" i="13" a="1"/>
  <c r="O579" i="13"/>
  <c r="P208" i="13" a="1"/>
  <c r="N37" i="13"/>
  <c r="N300" i="13"/>
  <c r="O173" i="13"/>
  <c r="P214" i="13" a="1"/>
  <c r="Q315" i="13"/>
  <c r="P428" i="13" a="1"/>
  <c r="Q392" i="13"/>
  <c r="O61" i="13"/>
  <c r="P415" i="13" a="1"/>
  <c r="N425" i="13"/>
  <c r="O91" i="13"/>
  <c r="O592" i="13"/>
  <c r="P418" i="13" a="1"/>
  <c r="O119" i="13"/>
  <c r="Q132" i="13"/>
  <c r="P427" i="13" a="1"/>
  <c r="Q177" i="13"/>
  <c r="N270" i="13"/>
  <c r="O134" i="13"/>
  <c r="N259" i="13"/>
  <c r="N319" i="13"/>
  <c r="O392" i="13"/>
  <c r="N123" i="13"/>
  <c r="N7" i="13"/>
  <c r="O72" i="13"/>
  <c r="N442" i="13"/>
  <c r="Q272" i="13"/>
  <c r="P389" i="13" a="1"/>
  <c r="Q578" i="13"/>
  <c r="N549" i="13"/>
  <c r="N545" i="13"/>
  <c r="Q573" i="13"/>
  <c r="Q69" i="13"/>
  <c r="O544" i="13"/>
  <c r="P440" i="13" a="1"/>
  <c r="P126" i="13" a="1"/>
  <c r="Q417" i="13"/>
  <c r="O444" i="13"/>
  <c r="O38" i="13"/>
  <c r="P301" i="13" a="1"/>
  <c r="N171" i="13"/>
  <c r="N134" i="13"/>
  <c r="P565" i="13" a="1"/>
  <c r="Q61" i="13"/>
  <c r="O29" i="13"/>
  <c r="Q75" i="13"/>
  <c r="O264" i="13"/>
  <c r="P130" i="13" a="1"/>
  <c r="Q289" i="13"/>
  <c r="P380" i="13" a="1"/>
  <c r="P561" i="13" a="1"/>
  <c r="P143" i="13" a="1"/>
  <c r="O246" i="13"/>
  <c r="Q22" i="13"/>
  <c r="Q128" i="13"/>
  <c r="N386" i="13"/>
  <c r="P534" i="13" a="1"/>
  <c r="P243" i="13" a="1"/>
  <c r="N132" i="13"/>
  <c r="P548" i="13" a="1"/>
  <c r="P42" i="13" a="1"/>
  <c r="N144" i="13"/>
  <c r="N189" i="13"/>
  <c r="N49" i="13"/>
  <c r="N579" i="13"/>
  <c r="Q85" i="13"/>
  <c r="O152" i="13"/>
  <c r="P382" i="13" a="1"/>
  <c r="O14" i="13"/>
  <c r="N128" i="13"/>
  <c r="O31" i="13"/>
  <c r="N13" i="13"/>
  <c r="Q614" i="13"/>
  <c r="P122" i="13" a="1"/>
  <c r="Q184" i="13"/>
  <c r="P314" i="13" a="1"/>
  <c r="P321" i="13" a="1"/>
  <c r="Q41" i="13"/>
  <c r="O153" i="13"/>
  <c r="O551" i="13"/>
  <c r="Q375" i="13"/>
  <c r="N269" i="13"/>
  <c r="P74" i="13" a="1"/>
  <c r="N211" i="13"/>
  <c r="N129" i="13"/>
  <c r="O158" i="13"/>
  <c r="P538" i="13" a="1"/>
  <c r="P374" i="13" a="1"/>
  <c r="O427" i="13"/>
  <c r="Q544" i="13"/>
  <c r="Q441" i="13"/>
  <c r="P431" i="13" a="1"/>
  <c r="O320" i="13"/>
  <c r="O307" i="13"/>
  <c r="N131" i="13"/>
  <c r="Q439" i="13"/>
  <c r="N390" i="13"/>
  <c r="N272" i="13"/>
  <c r="P313" i="13" a="1"/>
  <c r="P610" i="13" a="1"/>
  <c r="O567" i="13"/>
  <c r="O37" i="13"/>
  <c r="O297" i="13"/>
  <c r="P620" i="13" a="1"/>
  <c r="O314" i="13"/>
  <c r="Q81" i="13"/>
  <c r="Q80" i="13"/>
  <c r="Q438" i="13"/>
  <c r="O343" i="13"/>
  <c r="O586" i="13"/>
  <c r="P172" i="13" a="1"/>
  <c r="P291" i="13" a="1"/>
  <c r="O549" i="13"/>
  <c r="O191" i="13"/>
  <c r="O573" i="13"/>
  <c r="O619" i="13"/>
  <c r="O145" i="13"/>
  <c r="P368" i="13" a="1"/>
  <c r="N532" i="13"/>
  <c r="N352" i="13"/>
  <c r="N263" i="13"/>
  <c r="P536" i="13" a="1"/>
  <c r="P618" i="13" a="1"/>
  <c r="O170" i="13"/>
  <c r="Q154" i="13"/>
  <c r="P308" i="13" a="1"/>
  <c r="N72" i="13"/>
  <c r="Q286" i="13"/>
  <c r="Q195" i="13"/>
  <c r="Q111" i="13"/>
  <c r="Q208" i="13"/>
  <c r="O175" i="13"/>
  <c r="Q152" i="13"/>
  <c r="Q28" i="13"/>
  <c r="P15" i="13" a="1"/>
  <c r="O439" i="13"/>
  <c r="Q160" i="13"/>
  <c r="O552" i="13"/>
  <c r="Q539" i="13"/>
  <c r="P257" i="13" a="1"/>
  <c r="O148" i="13"/>
  <c r="P571" i="13" a="1"/>
  <c r="P339" i="13" a="1"/>
  <c r="P322" i="13" a="1"/>
  <c r="O186" i="13"/>
  <c r="O353" i="13"/>
  <c r="O130" i="13"/>
  <c r="P315" i="13" a="1"/>
  <c r="Q131" i="13"/>
  <c r="N561" i="13"/>
  <c r="O45" i="13"/>
  <c r="N260" i="13"/>
  <c r="Q345" i="13"/>
  <c r="O209" i="13"/>
  <c r="N145" i="13"/>
  <c r="Q229" i="13"/>
  <c r="O375" i="13"/>
  <c r="P179" i="13" a="1"/>
  <c r="P545" i="13" a="1"/>
  <c r="N414" i="13"/>
  <c r="Q107" i="13"/>
  <c r="Q173" i="13"/>
  <c r="P549" i="13" a="1"/>
  <c r="Q411" i="13"/>
  <c r="N575" i="13"/>
  <c r="O221" i="13"/>
  <c r="O333" i="13"/>
  <c r="Q590" i="13"/>
  <c r="N378" i="13"/>
  <c r="O370" i="13"/>
  <c r="N183" i="13"/>
  <c r="P5" i="13" a="1"/>
  <c r="N176" i="13"/>
  <c r="N8" i="13"/>
  <c r="O11" i="13"/>
  <c r="O255" i="13"/>
  <c r="P104" i="13" a="1"/>
  <c r="Q569" i="13"/>
  <c r="Q170" i="13"/>
  <c r="Q13" i="13"/>
  <c r="P577" i="13" a="1"/>
  <c r="N432" i="13"/>
  <c r="Q621" i="13"/>
  <c r="Q50" i="13"/>
  <c r="P207" i="13" a="1"/>
  <c r="O118" i="13"/>
  <c r="P567" i="13" a="1"/>
  <c r="P244" i="13" a="1"/>
  <c r="N11" i="13"/>
  <c r="Q276" i="13"/>
  <c r="Q194" i="13"/>
  <c r="Q193" i="13"/>
  <c r="N387" i="13"/>
  <c r="Q369" i="13"/>
  <c r="O196" i="13"/>
  <c r="Q572" i="13"/>
  <c r="N283" i="13"/>
  <c r="Q274" i="13"/>
  <c r="N608" i="13"/>
  <c r="O132" i="13"/>
  <c r="O257" i="13"/>
  <c r="N164" i="13"/>
  <c r="Q586" i="13"/>
  <c r="P229" i="13" a="1"/>
  <c r="O542" i="13"/>
  <c r="P47" i="13" a="1"/>
  <c r="N289" i="13"/>
  <c r="Q7" i="13"/>
  <c r="P189" i="13" a="1"/>
  <c r="P420" i="13" a="1"/>
  <c r="N104" i="13"/>
  <c r="N280" i="13"/>
  <c r="O219" i="13"/>
  <c r="P22" i="13" a="1"/>
  <c r="N431" i="13"/>
  <c r="O402" i="13"/>
  <c r="P580" i="13" a="1"/>
  <c r="P11" i="13" a="1"/>
  <c r="N12" i="13"/>
  <c r="Q24" i="13"/>
  <c r="Q435" i="13"/>
  <c r="P150" i="13" a="1"/>
  <c r="P107" i="13" a="1"/>
  <c r="P305" i="13" a="1"/>
  <c r="Q180" i="13"/>
  <c r="Q217" i="13"/>
  <c r="O159" i="13"/>
  <c r="Q123" i="13"/>
  <c r="Q579" i="13"/>
  <c r="N438" i="13"/>
  <c r="O410" i="13"/>
  <c r="Q135" i="13"/>
  <c r="Q40" i="13"/>
  <c r="O585" i="13"/>
  <c r="O349" i="13"/>
  <c r="O115" i="13"/>
  <c r="P12" i="13" a="1"/>
  <c r="N143" i="13"/>
  <c r="O22" i="13"/>
  <c r="N161" i="13"/>
  <c r="N539" i="13"/>
  <c r="Q192" i="13"/>
  <c r="N560" i="13"/>
  <c r="Q142" i="13"/>
  <c r="P310" i="13" a="1"/>
  <c r="P265" i="13" a="1"/>
  <c r="Q309" i="13"/>
  <c r="O192" i="13"/>
  <c r="P289" i="13" a="1"/>
  <c r="O548" i="13"/>
  <c r="N29" i="13"/>
  <c r="N155" i="13"/>
  <c r="Q255" i="13"/>
  <c r="O71" i="13"/>
  <c r="N219" i="13"/>
  <c r="Q266" i="13"/>
  <c r="N297" i="13"/>
  <c r="N423" i="13"/>
  <c r="N154" i="13"/>
  <c r="O136" i="13"/>
  <c r="O415" i="13"/>
  <c r="O208" i="13"/>
  <c r="Q79" i="13"/>
  <c r="Q305" i="13"/>
  <c r="N554" i="13"/>
  <c r="N287" i="13"/>
  <c r="P375" i="13" a="1"/>
  <c r="O187" i="13"/>
  <c r="O437" i="13"/>
  <c r="P230" i="13" a="1"/>
  <c r="N574" i="13"/>
  <c r="Q400" i="13"/>
  <c r="N33" i="13"/>
  <c r="P168" i="13" a="1"/>
  <c r="N266" i="13"/>
  <c r="P342" i="13" a="1"/>
  <c r="O46" i="13"/>
  <c r="Q553" i="13"/>
  <c r="P49" i="13" a="1"/>
  <c r="P40" i="13" a="1"/>
  <c r="Q277" i="13"/>
  <c r="N396" i="13"/>
  <c r="Q14" i="13"/>
  <c r="N412" i="13"/>
  <c r="N135" i="13"/>
  <c r="Q291" i="13"/>
  <c r="O336" i="13"/>
  <c r="P583" i="13" a="1"/>
  <c r="P260" i="13" a="1"/>
  <c r="O582" i="13"/>
  <c r="N141" i="13"/>
  <c r="Q216" i="13"/>
  <c r="N32" i="13"/>
  <c r="Q370" i="13"/>
  <c r="P277" i="13" a="1"/>
  <c r="Q570" i="13"/>
  <c r="N153" i="13"/>
  <c r="N187" i="13"/>
  <c r="O563" i="13"/>
  <c r="P151" i="13" a="1"/>
  <c r="Q402" i="13"/>
  <c r="P555" i="13" a="1"/>
  <c r="Q76" i="13"/>
  <c r="P557" i="13" a="1"/>
  <c r="Q230" i="13"/>
  <c r="P61" i="13" a="1"/>
  <c r="Q244" i="13"/>
  <c r="O213" i="13"/>
  <c r="N97" i="13"/>
  <c r="P133" i="13" a="1"/>
  <c r="P211" i="13" a="1"/>
  <c r="P272" i="13" a="1"/>
  <c r="P7" i="13" a="1"/>
  <c r="P217" i="13" a="1"/>
  <c r="Q547" i="13"/>
  <c r="Q323" i="13"/>
  <c r="O36" i="13"/>
  <c r="O34" i="13"/>
  <c r="P68" i="13" a="1"/>
  <c r="N256" i="13"/>
  <c r="P46" i="13" a="1"/>
  <c r="Q352" i="13"/>
  <c r="P617" i="13" a="1"/>
  <c r="P544" i="13" a="1"/>
  <c r="N195" i="13"/>
  <c r="N178" i="13"/>
  <c r="Q174" i="13"/>
  <c r="O276" i="13"/>
  <c r="O49" i="13"/>
  <c r="O7" i="13"/>
  <c r="N393" i="13"/>
  <c r="P586" i="13" a="1"/>
  <c r="N214" i="13"/>
  <c r="N610" i="13"/>
  <c r="O178" i="13"/>
  <c r="P85" i="13" a="1"/>
  <c r="P89" i="13" a="1"/>
  <c r="P349" i="13" a="1"/>
  <c r="O440" i="13"/>
  <c r="P256" i="13" a="1"/>
  <c r="Q58" i="13"/>
  <c r="Q53" i="13"/>
  <c r="Q137" i="13"/>
  <c r="P402" i="13" a="1"/>
  <c r="Q27" i="13"/>
  <c r="N44" i="13"/>
  <c r="N274" i="13"/>
  <c r="P154" i="13" a="1"/>
  <c r="Q415" i="13"/>
  <c r="O12" i="13"/>
  <c r="N115" i="13"/>
  <c r="Q64" i="13"/>
  <c r="N191" i="13"/>
  <c r="Q388" i="13"/>
  <c r="Q268" i="13"/>
  <c r="N371" i="13"/>
  <c r="Q373" i="13"/>
  <c r="Q17" i="13"/>
  <c r="N298" i="13"/>
  <c r="Q39" i="13"/>
  <c r="N59" i="13"/>
  <c r="P110" i="13" a="1"/>
  <c r="O436" i="13"/>
  <c r="O169" i="13"/>
  <c r="Q302" i="13"/>
  <c r="O570" i="13"/>
  <c r="P180" i="13" a="1"/>
  <c r="N81" i="13"/>
  <c r="P86" i="13" a="1"/>
  <c r="N377" i="13"/>
  <c r="N205" i="13"/>
  <c r="P39" i="13" a="1"/>
  <c r="O584" i="13"/>
  <c r="Q256" i="13"/>
  <c r="Q619" i="13"/>
  <c r="P396" i="13" a="1"/>
  <c r="P205" i="13" a="1"/>
  <c r="O322" i="13"/>
  <c r="O211" i="13"/>
  <c r="Q530" i="13"/>
  <c r="N27" i="13"/>
  <c r="Q88" i="13"/>
  <c r="P264" i="13" a="1"/>
  <c r="Q426" i="13"/>
  <c r="P306" i="13" a="1"/>
  <c r="Q198" i="13"/>
  <c r="P27" i="13" a="1"/>
  <c r="N100" i="13"/>
  <c r="Q408" i="13"/>
  <c r="O270" i="13"/>
  <c r="P386" i="13" a="1"/>
  <c r="P608" i="13" a="1"/>
  <c r="O543" i="13"/>
  <c r="P137" i="13" a="1"/>
  <c r="Q89" i="13"/>
  <c r="P119" i="13" a="1"/>
  <c r="Q141" i="13"/>
  <c r="Q196" i="13"/>
  <c r="N74" i="13"/>
  <c r="P297" i="13" a="1"/>
  <c r="Q283" i="13"/>
  <c r="N279" i="13"/>
  <c r="O395" i="13"/>
  <c r="Q434" i="13"/>
  <c r="P263" i="13" a="1"/>
  <c r="Q212" i="13"/>
  <c r="P283" i="13" a="1"/>
  <c r="P424" i="13" a="1"/>
  <c r="N230" i="13"/>
  <c r="O162" i="13"/>
  <c r="P3" i="13" a="1"/>
  <c r="N34" i="13"/>
  <c r="N43" i="13"/>
  <c r="P388" i="13" a="1"/>
  <c r="O10" i="13"/>
  <c r="P115" i="13" a="1"/>
  <c r="Q172" i="13"/>
  <c r="N433" i="13"/>
  <c r="P531" i="13" a="1"/>
  <c r="Q33" i="13"/>
  <c r="P4" i="13" a="1"/>
  <c r="O344" i="13"/>
  <c r="Q66" i="13"/>
  <c r="N35" i="13"/>
  <c r="P76" i="13" a="1"/>
  <c r="Q45" i="13"/>
  <c r="N536" i="13"/>
  <c r="P248" i="13" a="1"/>
  <c r="P436" i="13" a="1"/>
  <c r="N61" i="13"/>
  <c r="N36" i="13"/>
  <c r="O396" i="13"/>
  <c r="P146" i="13" a="1"/>
  <c r="O288" i="13"/>
  <c r="P341" i="13" a="1"/>
  <c r="P413" i="13" a="1"/>
  <c r="Q145" i="13"/>
  <c r="N210" i="13"/>
  <c r="P269" i="13" a="1"/>
  <c r="O131" i="13"/>
  <c r="P398" i="13" a="1"/>
  <c r="P116" i="13" a="1"/>
  <c r="Q284" i="13"/>
  <c r="N444" i="13"/>
  <c r="P64" i="13" a="1"/>
  <c r="N60" i="13"/>
  <c r="O124" i="13"/>
  <c r="N138" i="13"/>
  <c r="N152" i="13"/>
  <c r="Q43" i="13"/>
  <c r="P569" i="13" a="1"/>
  <c r="P135" i="13" a="1"/>
  <c r="P177" i="13" a="1"/>
  <c r="N173" i="13"/>
  <c r="P598" i="13" a="1"/>
  <c r="Q9" i="13"/>
  <c r="Q143" i="13"/>
  <c r="P20" i="13" a="1"/>
  <c r="P296" i="13" a="1"/>
  <c r="P160" i="13" a="1"/>
  <c r="P284" i="13" a="1"/>
  <c r="N133" i="13"/>
  <c r="Q555" i="13"/>
  <c r="P304" i="13" a="1"/>
  <c r="O52" i="13"/>
  <c r="N314" i="13"/>
  <c r="N429" i="13"/>
  <c r="O413" i="13"/>
  <c r="N398" i="13"/>
  <c r="N443" i="13"/>
  <c r="Q551" i="13"/>
  <c r="Q564" i="13"/>
  <c r="N552" i="13"/>
  <c r="Q247" i="13"/>
  <c r="O369" i="13"/>
  <c r="P36" i="13" a="1"/>
  <c r="O126" i="13"/>
  <c r="O319" i="13"/>
  <c r="N127" i="13"/>
  <c r="Q368" i="13"/>
  <c r="N51" i="13"/>
  <c r="O184" i="13"/>
  <c r="O408" i="13"/>
  <c r="P438" i="13" a="1"/>
  <c r="P408" i="13" a="1"/>
  <c r="Q372" i="13"/>
  <c r="N50" i="13"/>
  <c r="P585" i="13" a="1"/>
  <c r="P423" i="13" a="1"/>
  <c r="P371" i="13" a="1"/>
  <c r="N168" i="13"/>
  <c r="O406" i="13"/>
  <c r="O103" i="13"/>
  <c r="O283" i="13"/>
  <c r="N590" i="13"/>
  <c r="P131" i="13" a="1"/>
  <c r="O97" i="13"/>
  <c r="Q72" i="13"/>
  <c r="N253" i="13"/>
  <c r="N435" i="13"/>
  <c r="N293" i="13"/>
  <c r="N67" i="13"/>
  <c r="N367" i="13"/>
  <c r="Q574" i="13"/>
  <c r="P303" i="13" a="1"/>
  <c r="P199" i="13" a="1"/>
  <c r="N275" i="13"/>
  <c r="N540" i="13"/>
  <c r="O23" i="13"/>
  <c r="O181" i="13"/>
  <c r="O249" i="13"/>
  <c r="O368" i="13"/>
  <c r="O185" i="13"/>
  <c r="P394" i="13" a="1"/>
  <c r="N108" i="13"/>
  <c r="N87" i="13"/>
  <c r="N573" i="13"/>
  <c r="P581" i="13" a="1"/>
  <c r="P559" i="13" a="1"/>
  <c r="N174" i="13"/>
  <c r="Q113" i="13"/>
  <c r="Q307" i="13"/>
  <c r="N110" i="13"/>
  <c r="P584" i="13" a="1"/>
  <c r="O376" i="13"/>
  <c r="N73" i="13"/>
  <c r="O282" i="13"/>
  <c r="P437" i="13" a="1"/>
  <c r="O50" i="13"/>
  <c r="O176" i="13"/>
  <c r="N264" i="13"/>
  <c r="Q414" i="13"/>
  <c r="N258" i="13"/>
  <c r="Q275" i="13"/>
  <c r="N381" i="13"/>
  <c r="O280" i="13"/>
  <c r="N339" i="13"/>
  <c r="N428" i="13"/>
  <c r="N558" i="13"/>
  <c r="P397" i="13" a="1"/>
  <c r="P530" i="13" a="1"/>
  <c r="P540" i="13" a="1"/>
  <c r="N569" i="13"/>
  <c r="O55" i="13"/>
  <c r="P282" i="13" a="1"/>
  <c r="N436" i="13"/>
  <c r="P13" i="13" a="1"/>
  <c r="P195" i="13" a="1"/>
  <c r="N374" i="13"/>
  <c r="N91" i="13"/>
  <c r="N323" i="13"/>
  <c r="O312" i="13"/>
  <c r="P14" i="13" a="1"/>
  <c r="P17" i="13" a="1"/>
  <c r="O531" i="13"/>
  <c r="Q282" i="13"/>
  <c r="N394" i="13"/>
  <c r="O68" i="13"/>
  <c r="P558" i="13" a="1"/>
  <c r="O24" i="13"/>
  <c r="T24" i="13" l="1"/>
  <c r="P558" i="13"/>
  <c r="T68" i="13"/>
  <c r="S394" i="13"/>
  <c r="T531" i="13"/>
  <c r="P17" i="13"/>
  <c r="P14" i="13"/>
  <c r="T312" i="13"/>
  <c r="S323" i="13"/>
  <c r="S91" i="13"/>
  <c r="S374" i="13"/>
  <c r="P195" i="13"/>
  <c r="P13" i="13"/>
  <c r="S436" i="13"/>
  <c r="P282" i="13"/>
  <c r="T55" i="13"/>
  <c r="S569" i="13"/>
  <c r="P540" i="13"/>
  <c r="P530" i="13"/>
  <c r="P397" i="13"/>
  <c r="S558" i="13"/>
  <c r="S428" i="13"/>
  <c r="S339" i="13"/>
  <c r="T280" i="13"/>
  <c r="S381" i="13"/>
  <c r="S258" i="13"/>
  <c r="S264" i="13"/>
  <c r="T176" i="13"/>
  <c r="T50" i="13"/>
  <c r="P437" i="13"/>
  <c r="T282" i="13"/>
  <c r="S73" i="13"/>
  <c r="T376" i="13"/>
  <c r="P584" i="13"/>
  <c r="S110" i="13"/>
  <c r="S174" i="13"/>
  <c r="P559" i="13"/>
  <c r="P581" i="13"/>
  <c r="S573" i="13"/>
  <c r="S87" i="13"/>
  <c r="S108" i="13"/>
  <c r="P394" i="13"/>
  <c r="T185" i="13"/>
  <c r="T368" i="13"/>
  <c r="T249" i="13"/>
  <c r="T181" i="13"/>
  <c r="T23" i="13"/>
  <c r="S540" i="13"/>
  <c r="S275" i="13"/>
  <c r="P199" i="13"/>
  <c r="P303" i="13"/>
  <c r="S367" i="13"/>
  <c r="S67" i="13"/>
  <c r="S293" i="13"/>
  <c r="S435" i="13"/>
  <c r="S253" i="13"/>
  <c r="T97" i="13"/>
  <c r="P131" i="13"/>
  <c r="S590" i="13"/>
  <c r="T283" i="13"/>
  <c r="T103" i="13"/>
  <c r="T406" i="13"/>
  <c r="S168" i="13"/>
  <c r="P371" i="13"/>
  <c r="P423" i="13"/>
  <c r="P585" i="13"/>
  <c r="S50" i="13"/>
  <c r="P408" i="13"/>
  <c r="P438" i="13"/>
  <c r="T408" i="13"/>
  <c r="T184" i="13"/>
  <c r="S51" i="13"/>
  <c r="S127" i="13"/>
  <c r="T319" i="13"/>
  <c r="T126" i="13"/>
  <c r="P36" i="13"/>
  <c r="T369" i="13"/>
  <c r="S552" i="13"/>
  <c r="S443" i="13"/>
  <c r="S398" i="13"/>
  <c r="T413" i="13"/>
  <c r="S429" i="13"/>
  <c r="S314" i="13"/>
  <c r="T52" i="13"/>
  <c r="P304" i="13"/>
  <c r="S133" i="13"/>
  <c r="P284" i="13"/>
  <c r="P160" i="13"/>
  <c r="P296" i="13"/>
  <c r="P20" i="13"/>
  <c r="P598" i="13"/>
  <c r="S173" i="13"/>
  <c r="P177" i="13"/>
  <c r="P135" i="13"/>
  <c r="P569" i="13"/>
  <c r="S152" i="13"/>
  <c r="S138" i="13"/>
  <c r="T124" i="13"/>
  <c r="S60" i="13"/>
  <c r="P64" i="13"/>
  <c r="S444" i="13"/>
  <c r="P116" i="13"/>
  <c r="P398" i="13"/>
  <c r="T131" i="13"/>
  <c r="P269" i="13"/>
  <c r="S210" i="13"/>
  <c r="P413" i="13"/>
  <c r="P341" i="13"/>
  <c r="T288" i="13"/>
  <c r="P146" i="13"/>
  <c r="T396" i="13"/>
  <c r="S36" i="13"/>
  <c r="S61" i="13"/>
  <c r="P436" i="13"/>
  <c r="P248" i="13"/>
  <c r="S536" i="13"/>
  <c r="P76" i="13"/>
  <c r="S35" i="13"/>
  <c r="T344" i="13"/>
  <c r="P4" i="13"/>
  <c r="P531" i="13"/>
  <c r="S433" i="13"/>
  <c r="P115" i="13"/>
  <c r="T10" i="13"/>
  <c r="P388" i="13"/>
  <c r="S43" i="13"/>
  <c r="S34" i="13"/>
  <c r="P3" i="13"/>
  <c r="T162" i="13"/>
  <c r="S230" i="13"/>
  <c r="P424" i="13"/>
  <c r="P283" i="13"/>
  <c r="P263" i="13"/>
  <c r="T395" i="13"/>
  <c r="S279" i="13"/>
  <c r="P297" i="13"/>
  <c r="S74" i="13"/>
  <c r="P119" i="13"/>
  <c r="P137" i="13"/>
  <c r="T543" i="13"/>
  <c r="P608" i="13"/>
  <c r="P386" i="13"/>
  <c r="T270" i="13"/>
  <c r="S100" i="13"/>
  <c r="P27" i="13"/>
  <c r="P306" i="13"/>
  <c r="P264" i="13"/>
  <c r="S27" i="13"/>
  <c r="T211" i="13"/>
  <c r="T322" i="13"/>
  <c r="P205" i="13"/>
  <c r="P396" i="13"/>
  <c r="T584" i="13"/>
  <c r="P39" i="13"/>
  <c r="S205" i="13"/>
  <c r="S377" i="13"/>
  <c r="P86" i="13"/>
  <c r="S81" i="13"/>
  <c r="P180" i="13"/>
  <c r="T570" i="13"/>
  <c r="T169" i="13"/>
  <c r="T436" i="13"/>
  <c r="P110" i="13"/>
  <c r="S59" i="13"/>
  <c r="S298" i="13"/>
  <c r="S371" i="13"/>
  <c r="S191" i="13"/>
  <c r="S115" i="13"/>
  <c r="T12" i="13"/>
  <c r="P154" i="13"/>
  <c r="S274" i="13"/>
  <c r="S44" i="13"/>
  <c r="P402" i="13"/>
  <c r="P256" i="13"/>
  <c r="T440" i="13"/>
  <c r="P349" i="13"/>
  <c r="P89" i="13"/>
  <c r="P85" i="13"/>
  <c r="T178" i="13"/>
  <c r="S610" i="13"/>
  <c r="S214" i="13"/>
  <c r="P586" i="13"/>
  <c r="S393" i="13"/>
  <c r="T7" i="13"/>
  <c r="T49" i="13"/>
  <c r="T276" i="13"/>
  <c r="S178" i="13"/>
  <c r="S195" i="13"/>
  <c r="P544" i="13"/>
  <c r="P617" i="13"/>
  <c r="P46" i="13"/>
  <c r="S256" i="13"/>
  <c r="P68" i="13"/>
  <c r="T34" i="13"/>
  <c r="T36" i="13"/>
  <c r="P217" i="13"/>
  <c r="P7" i="13"/>
  <c r="P272" i="13"/>
  <c r="P211" i="13"/>
  <c r="P133" i="13"/>
  <c r="S97" i="13"/>
  <c r="T213" i="13"/>
  <c r="P61" i="13"/>
  <c r="P557" i="13"/>
  <c r="P555" i="13"/>
  <c r="P151" i="13"/>
  <c r="T563" i="13"/>
  <c r="S187" i="13"/>
  <c r="S153" i="13"/>
  <c r="P277" i="13"/>
  <c r="S32" i="13"/>
  <c r="S141" i="13"/>
  <c r="T582" i="13"/>
  <c r="P260" i="13"/>
  <c r="P583" i="13"/>
  <c r="T336" i="13"/>
  <c r="S135" i="13"/>
  <c r="S412" i="13"/>
  <c r="S396" i="13"/>
  <c r="P40" i="13"/>
  <c r="P49" i="13"/>
  <c r="T46" i="13"/>
  <c r="P342" i="13"/>
  <c r="S266" i="13"/>
  <c r="P168" i="13"/>
  <c r="S33" i="13"/>
  <c r="S574" i="13"/>
  <c r="P230" i="13"/>
  <c r="T437" i="13"/>
  <c r="T187" i="13"/>
  <c r="P375" i="13"/>
  <c r="S287" i="13"/>
  <c r="S554" i="13"/>
  <c r="T208" i="13"/>
  <c r="T415" i="13"/>
  <c r="T136" i="13"/>
  <c r="S154" i="13"/>
  <c r="S423" i="13"/>
  <c r="S297" i="13"/>
  <c r="S219" i="13"/>
  <c r="T71" i="13"/>
  <c r="S155" i="13"/>
  <c r="S29" i="13"/>
  <c r="T548" i="13"/>
  <c r="P289" i="13"/>
  <c r="T192" i="13"/>
  <c r="P265" i="13"/>
  <c r="P310" i="13"/>
  <c r="S560" i="13"/>
  <c r="S539" i="13"/>
  <c r="S161" i="13"/>
  <c r="T22" i="13"/>
  <c r="S143" i="13"/>
  <c r="P12" i="13"/>
  <c r="T115" i="13"/>
  <c r="T349" i="13"/>
  <c r="T585" i="13"/>
  <c r="T410" i="13"/>
  <c r="S438" i="13"/>
  <c r="T159" i="13"/>
  <c r="P305" i="13"/>
  <c r="P107" i="13"/>
  <c r="P150" i="13"/>
  <c r="S12" i="13"/>
  <c r="P11" i="13"/>
  <c r="P580" i="13"/>
  <c r="T402" i="13"/>
  <c r="S431" i="13"/>
  <c r="P22" i="13"/>
  <c r="T219" i="13"/>
  <c r="S280" i="13"/>
  <c r="S104" i="13"/>
  <c r="P420" i="13"/>
  <c r="P189" i="13"/>
  <c r="S289" i="13"/>
  <c r="P47" i="13"/>
  <c r="T542" i="13"/>
  <c r="P229" i="13"/>
  <c r="S164" i="13"/>
  <c r="T257" i="13"/>
  <c r="T132" i="13"/>
  <c r="S608" i="13"/>
  <c r="S283" i="13"/>
  <c r="T196" i="13"/>
  <c r="S387" i="13"/>
  <c r="S11" i="13"/>
  <c r="P244" i="13"/>
  <c r="P567" i="13"/>
  <c r="T118" i="13"/>
  <c r="P207" i="13"/>
  <c r="S432" i="13"/>
  <c r="P577" i="13"/>
  <c r="P104" i="13"/>
  <c r="T255" i="13"/>
  <c r="T11" i="13"/>
  <c r="S8" i="13"/>
  <c r="S176" i="13"/>
  <c r="P5" i="13"/>
  <c r="S183" i="13"/>
  <c r="T370" i="13"/>
  <c r="S378" i="13"/>
  <c r="T333" i="13"/>
  <c r="T221" i="13"/>
  <c r="S575" i="13"/>
  <c r="P549" i="13"/>
  <c r="S414" i="13"/>
  <c r="P545" i="13"/>
  <c r="P179" i="13"/>
  <c r="T375" i="13"/>
  <c r="S145" i="13"/>
  <c r="T209" i="13"/>
  <c r="S260" i="13"/>
  <c r="T45" i="13"/>
  <c r="S561" i="13"/>
  <c r="P315" i="13"/>
  <c r="T130" i="13"/>
  <c r="T353" i="13"/>
  <c r="T186" i="13"/>
  <c r="P322" i="13"/>
  <c r="P339" i="13"/>
  <c r="P571" i="13"/>
  <c r="T148" i="13"/>
  <c r="P257" i="13"/>
  <c r="T552" i="13"/>
  <c r="T439" i="13"/>
  <c r="P15" i="13"/>
  <c r="T175" i="13"/>
  <c r="S72" i="13"/>
  <c r="P308" i="13"/>
  <c r="T170" i="13"/>
  <c r="P618" i="13"/>
  <c r="P536" i="13"/>
  <c r="S263" i="13"/>
  <c r="S352" i="13"/>
  <c r="S532" i="13"/>
  <c r="P368" i="13"/>
  <c r="T145" i="13"/>
  <c r="T619" i="13"/>
  <c r="T573" i="13"/>
  <c r="T191" i="13"/>
  <c r="T549" i="13"/>
  <c r="P291" i="13"/>
  <c r="P172" i="13"/>
  <c r="T586" i="13"/>
  <c r="T343" i="13"/>
  <c r="T314" i="13"/>
  <c r="P620" i="13"/>
  <c r="T297" i="13"/>
  <c r="T37" i="13"/>
  <c r="T567" i="13"/>
  <c r="P610" i="13"/>
  <c r="P313" i="13"/>
  <c r="S272" i="13"/>
  <c r="S390" i="13"/>
  <c r="S131" i="13"/>
  <c r="T307" i="13"/>
  <c r="T320" i="13"/>
  <c r="P431" i="13"/>
  <c r="T427" i="13"/>
  <c r="P374" i="13"/>
  <c r="P538" i="13"/>
  <c r="T158" i="13"/>
  <c r="S129" i="13"/>
  <c r="S211" i="13"/>
  <c r="P74" i="13"/>
  <c r="S269" i="13"/>
  <c r="T551" i="13"/>
  <c r="T153" i="13"/>
  <c r="P321" i="13"/>
  <c r="P314" i="13"/>
  <c r="P122" i="13"/>
  <c r="S13" i="13"/>
  <c r="T31" i="13"/>
  <c r="S128" i="13"/>
  <c r="T14" i="13"/>
  <c r="P382" i="13"/>
  <c r="T152" i="13"/>
  <c r="S579" i="13"/>
  <c r="S49" i="13"/>
  <c r="S189" i="13"/>
  <c r="S144" i="13"/>
  <c r="P42" i="13"/>
  <c r="P548" i="13"/>
  <c r="S132" i="13"/>
  <c r="P243" i="13"/>
  <c r="P534" i="13"/>
  <c r="S386" i="13"/>
  <c r="T246" i="13"/>
  <c r="P143" i="13"/>
  <c r="P561" i="13"/>
  <c r="P380" i="13"/>
  <c r="P130" i="13"/>
  <c r="T264" i="13"/>
  <c r="T29" i="13"/>
  <c r="P565" i="13"/>
  <c r="S134" i="13"/>
  <c r="S171" i="13"/>
  <c r="P301" i="13"/>
  <c r="T38" i="13"/>
  <c r="T444" i="13"/>
  <c r="P126" i="13"/>
  <c r="P440" i="13"/>
  <c r="T544" i="13"/>
  <c r="S545" i="13"/>
  <c r="S549" i="13"/>
  <c r="P389" i="13"/>
  <c r="S442" i="13"/>
  <c r="T72" i="13"/>
  <c r="S7" i="13"/>
  <c r="S123" i="13"/>
  <c r="T392" i="13"/>
  <c r="S319" i="13"/>
  <c r="S259" i="13"/>
  <c r="T134" i="13"/>
  <c r="S270" i="13"/>
  <c r="P427" i="13"/>
  <c r="T119" i="13"/>
  <c r="P418" i="13"/>
  <c r="T592" i="13"/>
  <c r="T91" i="13"/>
  <c r="S425" i="13"/>
  <c r="P415" i="13"/>
  <c r="T61" i="13"/>
  <c r="P428" i="13"/>
  <c r="P214" i="13"/>
  <c r="T173" i="13"/>
  <c r="S300" i="13"/>
  <c r="S37" i="13"/>
  <c r="P208" i="13"/>
  <c r="T579" i="13"/>
  <c r="P101" i="13"/>
  <c r="S9" i="13"/>
  <c r="P23" i="13"/>
  <c r="T581" i="13"/>
  <c r="S296" i="13"/>
  <c r="S405" i="13"/>
  <c r="T144" i="13"/>
  <c r="S251" i="13"/>
  <c r="S30" i="13"/>
  <c r="P553" i="13"/>
  <c r="P336" i="13"/>
  <c r="T423" i="13"/>
  <c r="T74" i="13"/>
  <c r="T3" i="13"/>
  <c r="S240" i="13"/>
  <c r="S25" i="13"/>
  <c r="P98" i="13"/>
  <c r="T214" i="13"/>
  <c r="S96" i="13"/>
  <c r="T590" i="13"/>
  <c r="T407" i="13"/>
  <c r="P369" i="13"/>
  <c r="S186" i="13"/>
  <c r="T430" i="13"/>
  <c r="T151" i="13"/>
  <c r="T63" i="13"/>
  <c r="T216" i="13"/>
  <c r="P209" i="13"/>
  <c r="P31" i="13"/>
  <c r="S80" i="13"/>
  <c r="T25" i="13"/>
  <c r="S434" i="13"/>
  <c r="P281" i="13"/>
  <c r="S291" i="13"/>
  <c r="T167" i="13"/>
  <c r="P113" i="13"/>
  <c r="P210" i="13"/>
  <c r="P320" i="13"/>
  <c r="T536" i="13"/>
  <c r="T253" i="13"/>
  <c r="T78" i="13"/>
  <c r="P147" i="13"/>
  <c r="T553" i="13"/>
  <c r="P612" i="13"/>
  <c r="S286" i="13"/>
  <c r="S220" i="13"/>
  <c r="S535" i="13"/>
  <c r="P250" i="13"/>
  <c r="S342" i="13"/>
  <c r="T577" i="13"/>
  <c r="P106" i="13"/>
  <c r="S121" i="13"/>
  <c r="T248" i="13"/>
  <c r="S421" i="13"/>
  <c r="P149" i="13"/>
  <c r="P19" i="13"/>
  <c r="S250" i="13"/>
  <c r="S242" i="13"/>
  <c r="T578" i="13"/>
  <c r="T161" i="13"/>
  <c r="T157" i="13"/>
  <c r="S45" i="13"/>
  <c r="S243" i="13"/>
  <c r="S316" i="13"/>
  <c r="P191" i="13"/>
  <c r="T243" i="13"/>
  <c r="T420" i="13"/>
  <c r="S209" i="13"/>
  <c r="T281" i="13"/>
  <c r="P425" i="13"/>
  <c r="T146" i="13"/>
  <c r="P6" i="13"/>
  <c r="S257" i="13"/>
  <c r="S388" i="13"/>
  <c r="T291" i="13"/>
  <c r="P63" i="13"/>
  <c r="P238" i="13"/>
  <c r="S290" i="13"/>
  <c r="P91" i="13"/>
  <c r="P128" i="13"/>
  <c r="S426" i="13"/>
  <c r="T114" i="13"/>
  <c r="P410" i="13"/>
  <c r="T30" i="13"/>
  <c r="T535" i="13"/>
  <c r="S341" i="13"/>
  <c r="T565" i="13"/>
  <c r="S621" i="13"/>
  <c r="P393" i="13"/>
  <c r="P79" i="13"/>
  <c r="S370" i="13"/>
  <c r="S120" i="13"/>
  <c r="P579" i="13"/>
  <c r="P78" i="13"/>
  <c r="P141" i="13"/>
  <c r="S184" i="13"/>
  <c r="T598" i="13"/>
  <c r="T323" i="13"/>
  <c r="T67" i="13"/>
  <c r="T210" i="13"/>
  <c r="S47" i="13"/>
  <c r="T66" i="13"/>
  <c r="P75" i="13"/>
  <c r="T414" i="13"/>
  <c r="P18" i="13"/>
  <c r="S284" i="13"/>
  <c r="T271" i="13"/>
  <c r="S41" i="13"/>
  <c r="P82" i="13"/>
  <c r="P97" i="13"/>
  <c r="P299" i="13"/>
  <c r="P194" i="13"/>
  <c r="S28" i="13"/>
  <c r="P619" i="13"/>
  <c r="P293" i="13"/>
  <c r="S42" i="13"/>
  <c r="P573" i="13"/>
  <c r="P541" i="13"/>
  <c r="S23" i="13"/>
  <c r="T616" i="13"/>
  <c r="P33" i="13"/>
  <c r="P407" i="13"/>
  <c r="S14" i="13"/>
  <c r="T583" i="13"/>
  <c r="P319" i="13"/>
  <c r="T561" i="13"/>
  <c r="P56" i="13"/>
  <c r="P613" i="13"/>
  <c r="P373" i="13"/>
  <c r="P136" i="13"/>
  <c r="T117" i="13"/>
  <c r="T279" i="13"/>
  <c r="T259" i="13"/>
  <c r="T141" i="13"/>
  <c r="S6" i="13"/>
  <c r="P247" i="13"/>
  <c r="S391" i="13"/>
  <c r="T550" i="13"/>
  <c r="S103" i="13"/>
  <c r="T190" i="13"/>
  <c r="S239" i="13"/>
  <c r="S40" i="13"/>
  <c r="T311" i="13"/>
  <c r="P132" i="13"/>
  <c r="S102" i="13"/>
  <c r="P367" i="13"/>
  <c r="T431" i="13"/>
  <c r="P582" i="13"/>
  <c r="T347" i="13"/>
  <c r="P614" i="13"/>
  <c r="T404" i="13"/>
  <c r="P345" i="13"/>
  <c r="S148" i="13"/>
  <c r="P174" i="13"/>
  <c r="P212" i="13"/>
  <c r="T160" i="13"/>
  <c r="P193" i="13"/>
  <c r="P88" i="13"/>
  <c r="S221" i="13"/>
  <c r="T102" i="13"/>
  <c r="P276" i="13"/>
  <c r="T316" i="13"/>
  <c r="P121" i="13"/>
  <c r="P433" i="13"/>
  <c r="S246" i="13"/>
  <c r="S389" i="13"/>
  <c r="T166" i="13"/>
  <c r="T397" i="13"/>
  <c r="T260" i="13"/>
  <c r="S181" i="13"/>
  <c r="S404" i="13"/>
  <c r="T183" i="13"/>
  <c r="P298" i="13"/>
  <c r="P383" i="13"/>
  <c r="T342" i="13"/>
  <c r="S245" i="13"/>
  <c r="P295" i="13"/>
  <c r="T240" i="13"/>
  <c r="S373" i="13"/>
  <c r="P45" i="13"/>
  <c r="P309" i="13"/>
  <c r="T121" i="13"/>
  <c r="P72" i="13"/>
  <c r="P403" i="13"/>
  <c r="P118" i="13"/>
  <c r="S24" i="13"/>
  <c r="S48" i="13"/>
  <c r="P395" i="13"/>
  <c r="S344" i="13"/>
  <c r="T57" i="13"/>
  <c r="T534" i="13"/>
  <c r="P167" i="13"/>
  <c r="T618" i="13"/>
  <c r="S218" i="13"/>
  <c r="S304" i="13"/>
  <c r="T245" i="13"/>
  <c r="S299" i="13"/>
  <c r="S16" i="13"/>
  <c r="S179" i="13"/>
  <c r="S567" i="13"/>
  <c r="P176" i="13"/>
  <c r="T229" i="13"/>
  <c r="T295" i="13"/>
  <c r="P379" i="13"/>
  <c r="T426" i="13"/>
  <c r="T274" i="13"/>
  <c r="S126" i="13"/>
  <c r="T43" i="13"/>
  <c r="P84" i="13"/>
  <c r="S86" i="13"/>
  <c r="T394" i="13"/>
  <c r="S441" i="13"/>
  <c r="S548" i="13"/>
  <c r="P184" i="13"/>
  <c r="P124" i="13"/>
  <c r="S301" i="13"/>
  <c r="S90" i="13"/>
  <c r="T16" i="13"/>
  <c r="T244" i="13"/>
  <c r="P252" i="13"/>
  <c r="T251" i="13"/>
  <c r="P566" i="13"/>
  <c r="P29" i="13"/>
  <c r="P134" i="13"/>
  <c r="T109" i="13"/>
  <c r="P73" i="13"/>
  <c r="T84" i="13"/>
  <c r="T47" i="13"/>
  <c r="S440" i="13"/>
  <c r="S537" i="13"/>
  <c r="P338" i="13"/>
  <c r="S534" i="13"/>
  <c r="P70" i="13"/>
  <c r="S15" i="13"/>
  <c r="S271" i="13"/>
  <c r="T142" i="13"/>
  <c r="T300" i="13"/>
  <c r="S418" i="13"/>
  <c r="T321" i="13"/>
  <c r="P416" i="13"/>
  <c r="T609" i="13"/>
  <c r="P187" i="13"/>
  <c r="S315" i="13"/>
  <c r="T388" i="13"/>
  <c r="S369" i="13"/>
  <c r="T58" i="13"/>
  <c r="S555" i="13"/>
  <c r="S620" i="13"/>
  <c r="P384" i="13"/>
  <c r="T380" i="13"/>
  <c r="P288" i="13"/>
  <c r="S213" i="13"/>
  <c r="T405" i="13"/>
  <c r="S591" i="13"/>
  <c r="S159" i="13"/>
  <c r="P69" i="13"/>
  <c r="T313" i="13"/>
  <c r="T15" i="13"/>
  <c r="P435" i="13"/>
  <c r="T6" i="13"/>
  <c r="T441" i="13"/>
  <c r="P220" i="13"/>
  <c r="T338" i="13"/>
  <c r="T104" i="13"/>
  <c r="P287" i="13"/>
  <c r="T21" i="13"/>
  <c r="T435" i="13"/>
  <c r="P44" i="13"/>
  <c r="T133" i="13"/>
  <c r="T568" i="13"/>
  <c r="T442" i="13"/>
  <c r="T287" i="13"/>
  <c r="S407" i="13"/>
  <c r="S375" i="13"/>
  <c r="S366" i="13"/>
  <c r="S611" i="13"/>
  <c r="P186" i="13"/>
  <c r="T18" i="13"/>
  <c r="S54" i="13"/>
  <c r="T386" i="13"/>
  <c r="T48" i="13"/>
  <c r="S547" i="13"/>
  <c r="T580" i="13"/>
  <c r="T20" i="13"/>
  <c r="S101" i="13"/>
  <c r="P140" i="13"/>
  <c r="P432" i="13"/>
  <c r="P422" i="13"/>
  <c r="T401" i="13"/>
  <c r="S167" i="13"/>
  <c r="S619" i="13"/>
  <c r="T575" i="13"/>
  <c r="T54" i="13"/>
  <c r="S92" i="13"/>
  <c r="T293" i="13"/>
  <c r="S538" i="13"/>
  <c r="S308" i="13"/>
  <c r="S10" i="13"/>
  <c r="S199" i="13"/>
  <c r="S417" i="13"/>
  <c r="T384" i="13"/>
  <c r="T81" i="13"/>
  <c r="P71" i="13"/>
  <c r="P343" i="13"/>
  <c r="P352" i="13"/>
  <c r="T111" i="13"/>
  <c r="T230" i="13"/>
  <c r="P148" i="13"/>
  <c r="S410" i="13"/>
  <c r="T205" i="13"/>
  <c r="S238" i="13"/>
  <c r="P183" i="13"/>
  <c r="P142" i="13"/>
  <c r="P533" i="13"/>
  <c r="T558" i="13"/>
  <c r="S599" i="13"/>
  <c r="T112" i="13"/>
  <c r="S112" i="13"/>
  <c r="S64" i="13"/>
  <c r="T90" i="13"/>
  <c r="P312" i="13"/>
  <c r="T335" i="13"/>
  <c r="T334" i="13"/>
  <c r="S403" i="13"/>
  <c r="S306" i="13"/>
  <c r="S26" i="13"/>
  <c r="T416" i="13"/>
  <c r="T296" i="13"/>
  <c r="P599" i="13"/>
  <c r="S572" i="13"/>
  <c r="P563" i="13"/>
  <c r="P81" i="13"/>
  <c r="S282" i="13"/>
  <c r="P564" i="13"/>
  <c r="S119" i="13"/>
  <c r="P267" i="13"/>
  <c r="P123" i="13"/>
  <c r="P59" i="13"/>
  <c r="P576" i="13"/>
  <c r="P32" i="13"/>
  <c r="S318" i="13"/>
  <c r="P381" i="13"/>
  <c r="S343" i="13"/>
  <c r="P537" i="13"/>
  <c r="S142" i="13"/>
  <c r="P552" i="13"/>
  <c r="T620" i="13"/>
  <c r="P318" i="13"/>
  <c r="S618" i="13"/>
  <c r="T541" i="13"/>
  <c r="P166" i="13"/>
  <c r="S146" i="13"/>
  <c r="S439" i="13"/>
  <c r="T309" i="13"/>
  <c r="T284" i="13"/>
  <c r="T560" i="13"/>
  <c r="S5" i="13"/>
  <c r="S254" i="13"/>
  <c r="S125" i="13"/>
  <c r="S570" i="13"/>
  <c r="S147" i="13"/>
  <c r="T19" i="13"/>
  <c r="P274" i="13"/>
  <c r="T576" i="13"/>
  <c r="T165" i="13"/>
  <c r="T290" i="13"/>
  <c r="P539" i="13"/>
  <c r="P568" i="13"/>
  <c r="S565" i="13"/>
  <c r="T139" i="13"/>
  <c r="S137" i="13"/>
  <c r="T305" i="13"/>
  <c r="P300" i="13"/>
  <c r="P609" i="13"/>
  <c r="T70" i="13"/>
  <c r="S208" i="13"/>
  <c r="P100" i="13"/>
  <c r="P239" i="13"/>
  <c r="T125" i="13"/>
  <c r="P334" i="13"/>
  <c r="S84" i="13"/>
  <c r="P254" i="13"/>
  <c r="T138" i="13"/>
  <c r="S586" i="13"/>
  <c r="T554" i="13"/>
  <c r="T122" i="13"/>
  <c r="P442" i="13"/>
  <c r="S277" i="13"/>
  <c r="S83" i="13"/>
  <c r="P99" i="13"/>
  <c r="P404" i="13"/>
  <c r="T53" i="13"/>
  <c r="P550" i="13"/>
  <c r="T346" i="13"/>
  <c r="P316" i="13"/>
  <c r="S392" i="13"/>
  <c r="S395" i="13"/>
  <c r="T298" i="13"/>
  <c r="P127" i="13"/>
  <c r="T238" i="13"/>
  <c r="T110" i="13"/>
  <c r="T557" i="13"/>
  <c r="S105" i="13"/>
  <c r="T315" i="13"/>
  <c r="S113" i="13"/>
  <c r="T193" i="13"/>
  <c r="S151" i="13"/>
  <c r="S336" i="13"/>
  <c r="T569" i="13"/>
  <c r="P370" i="13"/>
  <c r="S52" i="13"/>
  <c r="T608" i="13"/>
  <c r="P83" i="13"/>
  <c r="S578" i="13"/>
  <c r="S416" i="13"/>
  <c r="P266" i="13"/>
  <c r="P292" i="13"/>
  <c r="P9" i="13"/>
  <c r="S62" i="13"/>
  <c r="P245" i="13"/>
  <c r="S556" i="13"/>
  <c r="S321" i="13"/>
  <c r="S79" i="13"/>
  <c r="P219" i="13"/>
  <c r="P51" i="13"/>
  <c r="T422" i="13"/>
  <c r="S149" i="13"/>
  <c r="T273" i="13"/>
  <c r="P41" i="13"/>
  <c r="P155" i="13"/>
  <c r="S98" i="13"/>
  <c r="P275" i="13"/>
  <c r="T85" i="13"/>
  <c r="P170" i="13"/>
  <c r="T116" i="13"/>
  <c r="T278" i="13"/>
  <c r="S3" i="13"/>
  <c r="T168" i="13"/>
  <c r="S114" i="13"/>
  <c r="S605" i="13"/>
  <c r="S530" i="13"/>
  <c r="T127" i="13"/>
  <c r="P399" i="13"/>
  <c r="T155" i="13"/>
  <c r="P268" i="13"/>
  <c r="T424" i="13"/>
  <c r="S383" i="13"/>
  <c r="S333" i="13"/>
  <c r="P169" i="13"/>
  <c r="T398" i="13"/>
  <c r="T44" i="13"/>
  <c r="T143" i="13"/>
  <c r="P161" i="13"/>
  <c r="T174" i="13"/>
  <c r="T285" i="13"/>
  <c r="P546" i="13"/>
  <c r="P429" i="13"/>
  <c r="P10" i="13"/>
  <c r="S177" i="13"/>
  <c r="P560" i="13"/>
  <c r="T267" i="13"/>
  <c r="S309" i="13"/>
  <c r="S566" i="13"/>
  <c r="S117" i="13"/>
  <c r="P391" i="13"/>
  <c r="P30" i="13"/>
  <c r="T277" i="13"/>
  <c r="P421" i="13"/>
  <c r="T149" i="13"/>
  <c r="P271" i="13"/>
  <c r="T378" i="13"/>
  <c r="T566" i="13"/>
  <c r="T540" i="13"/>
  <c r="S261" i="13"/>
  <c r="P597" i="13"/>
  <c r="S571" i="13"/>
  <c r="P376" i="13"/>
  <c r="T179" i="13"/>
  <c r="T242" i="13"/>
  <c r="S267" i="13"/>
  <c r="T51" i="13"/>
  <c r="P347" i="13"/>
  <c r="T218" i="13"/>
  <c r="P249" i="13"/>
  <c r="T621" i="13"/>
  <c r="P8" i="13"/>
  <c r="P543" i="13"/>
  <c r="P387" i="13"/>
  <c r="S401" i="13"/>
  <c r="P102" i="13"/>
  <c r="P551" i="13"/>
  <c r="P615" i="13"/>
  <c r="P251" i="13"/>
  <c r="S4" i="13"/>
  <c r="T92" i="13"/>
  <c r="P43" i="13"/>
  <c r="S109" i="13"/>
  <c r="P129" i="13"/>
  <c r="P258" i="13"/>
  <c r="P535" i="13"/>
  <c r="T256" i="13"/>
  <c r="S409" i="13"/>
  <c r="T107" i="13"/>
  <c r="T411" i="13"/>
  <c r="T62" i="13"/>
  <c r="T571" i="13"/>
  <c r="S268" i="13"/>
  <c r="T164" i="13"/>
  <c r="P414" i="13"/>
  <c r="P173" i="13"/>
  <c r="T156" i="13"/>
  <c r="S413" i="13"/>
  <c r="T387" i="13"/>
  <c r="P178" i="13"/>
  <c r="P353" i="13"/>
  <c r="T345" i="13"/>
  <c r="T341" i="13"/>
  <c r="T318" i="13"/>
  <c r="P112" i="13"/>
  <c r="T76" i="13"/>
  <c r="S544" i="13"/>
  <c r="P95" i="13"/>
  <c r="T89" i="13"/>
  <c r="P592" i="13"/>
  <c r="P409" i="13"/>
  <c r="T433" i="13"/>
  <c r="P185" i="13"/>
  <c r="S384" i="13"/>
  <c r="P542" i="13"/>
  <c r="T533" i="13"/>
  <c r="S75" i="13"/>
  <c r="S427" i="13"/>
  <c r="S338" i="13"/>
  <c r="T147" i="13"/>
  <c r="P53" i="13"/>
  <c r="T308" i="13"/>
  <c r="P600" i="13"/>
  <c r="P171" i="13"/>
  <c r="P156" i="13"/>
  <c r="T377" i="13"/>
  <c r="T272" i="13"/>
  <c r="T268" i="13"/>
  <c r="S88" i="13"/>
  <c r="T294" i="13"/>
  <c r="P246" i="13"/>
  <c r="T339" i="13"/>
  <c r="S613" i="13"/>
  <c r="S57" i="13"/>
  <c r="P145" i="13"/>
  <c r="T65" i="13"/>
  <c r="P55" i="13"/>
  <c r="S533" i="13"/>
  <c r="P26" i="13"/>
  <c r="P54" i="13"/>
  <c r="P35" i="13"/>
  <c r="S415" i="13"/>
  <c r="P52" i="13"/>
  <c r="T275" i="13"/>
  <c r="P578" i="13"/>
  <c r="P532" i="13"/>
  <c r="P25" i="13"/>
  <c r="T99" i="13"/>
  <c r="S244" i="13"/>
  <c r="P60" i="13"/>
  <c r="S63" i="13"/>
  <c r="S382" i="13"/>
  <c r="S31" i="13"/>
  <c r="P108" i="13"/>
  <c r="S278" i="13"/>
  <c r="T286" i="13"/>
  <c r="P218" i="13"/>
  <c r="P405" i="13"/>
  <c r="T302" i="13"/>
  <c r="P157" i="13"/>
  <c r="T194" i="13"/>
  <c r="S568" i="13"/>
  <c r="S172" i="13"/>
  <c r="T199" i="13"/>
  <c r="S118" i="13"/>
  <c r="S249" i="13"/>
  <c r="S116" i="13"/>
  <c r="P590" i="13"/>
  <c r="P400" i="13"/>
  <c r="P575" i="13"/>
  <c r="T537" i="13"/>
  <c r="P270" i="13"/>
  <c r="T108" i="13"/>
  <c r="P280" i="13"/>
  <c r="T262" i="13"/>
  <c r="P153" i="13"/>
  <c r="T265" i="13"/>
  <c r="P181" i="13"/>
  <c r="S380" i="13"/>
  <c r="P262" i="13"/>
  <c r="S158" i="13"/>
  <c r="T98" i="13"/>
  <c r="T123" i="13"/>
  <c r="T171" i="13"/>
  <c r="P335" i="13"/>
  <c r="T613" i="13"/>
  <c r="S99" i="13"/>
  <c r="S346" i="13"/>
  <c r="S376" i="13"/>
  <c r="T391" i="13"/>
  <c r="T428" i="13"/>
  <c r="T409" i="13"/>
  <c r="S542" i="13"/>
  <c r="S422" i="13"/>
  <c r="S89" i="13"/>
  <c r="P554" i="13"/>
  <c r="T600" i="13"/>
  <c r="T73" i="13"/>
  <c r="P125" i="13"/>
  <c r="S65" i="13"/>
  <c r="T101" i="13"/>
  <c r="P192" i="13"/>
  <c r="P323" i="13"/>
  <c r="P333" i="13"/>
  <c r="T381" i="13"/>
  <c r="T9" i="13"/>
  <c r="S437" i="13"/>
  <c r="S46" i="13"/>
  <c r="T417" i="13"/>
  <c r="T239" i="13"/>
  <c r="T82" i="13"/>
  <c r="S216" i="13"/>
  <c r="S248" i="13"/>
  <c r="P426" i="13"/>
  <c r="S212" i="13"/>
  <c r="T393" i="13"/>
  <c r="T135" i="13"/>
  <c r="S288" i="13"/>
  <c r="S162" i="13"/>
  <c r="T266" i="13"/>
  <c r="S18" i="13"/>
  <c r="S58" i="13"/>
  <c r="T195" i="13"/>
  <c r="P159" i="13"/>
  <c r="T88" i="13"/>
  <c r="P366" i="13"/>
  <c r="T539" i="13"/>
  <c r="S553" i="13"/>
  <c r="S563" i="13"/>
  <c r="S166" i="13"/>
  <c r="S196" i="13"/>
  <c r="S136" i="13"/>
  <c r="P198" i="13"/>
  <c r="S265" i="13"/>
  <c r="S592" i="13"/>
  <c r="P213" i="13"/>
  <c r="T177" i="13"/>
  <c r="T207" i="13"/>
  <c r="S111" i="13"/>
  <c r="T8" i="13"/>
  <c r="T254" i="13"/>
  <c r="T389" i="13"/>
  <c r="T137" i="13"/>
  <c r="S229" i="13"/>
  <c r="T390" i="13"/>
  <c r="S21" i="13"/>
  <c r="S310" i="13"/>
  <c r="T373" i="13"/>
  <c r="T597" i="13"/>
  <c r="T26" i="13"/>
  <c r="S543" i="13"/>
  <c r="P377" i="13"/>
  <c r="P616" i="13"/>
  <c r="T202" i="13"/>
  <c r="P37" i="13"/>
  <c r="P103" i="13"/>
  <c r="P259" i="13"/>
  <c r="S217" i="13"/>
  <c r="S582" i="13"/>
  <c r="T382" i="13"/>
  <c r="S19" i="13"/>
  <c r="T562" i="13"/>
  <c r="P307" i="13"/>
  <c r="T59" i="13"/>
  <c r="T605" i="13"/>
  <c r="S294" i="13"/>
  <c r="S140" i="13"/>
  <c r="T120" i="13"/>
  <c r="S122" i="13"/>
  <c r="T289" i="13"/>
  <c r="P221" i="13"/>
  <c r="P114" i="13"/>
  <c r="T35" i="13"/>
  <c r="P255" i="13"/>
  <c r="S193" i="13"/>
  <c r="S185" i="13"/>
  <c r="T438" i="13"/>
  <c r="P120" i="13"/>
  <c r="P96" i="13"/>
  <c r="P28" i="13"/>
  <c r="S609" i="13"/>
  <c r="S312" i="13"/>
  <c r="S353" i="13"/>
  <c r="P430" i="13"/>
  <c r="S82" i="13"/>
  <c r="T614" i="13"/>
  <c r="S150" i="13"/>
  <c r="S583" i="13"/>
  <c r="P190" i="13"/>
  <c r="P111" i="13"/>
  <c r="T304" i="13"/>
  <c r="S252" i="13"/>
  <c r="T367" i="13"/>
  <c r="P152" i="13"/>
  <c r="P372" i="13"/>
  <c r="P38" i="13"/>
  <c r="T379" i="13"/>
  <c r="T432" i="13"/>
  <c r="T41" i="13"/>
  <c r="T418" i="13"/>
  <c r="T42" i="13"/>
  <c r="S17" i="13"/>
  <c r="P344" i="13"/>
  <c r="S139" i="13"/>
  <c r="S302" i="13"/>
  <c r="S55" i="13"/>
  <c r="S190" i="13"/>
  <c r="T113" i="13"/>
  <c r="S372" i="13"/>
  <c r="T83" i="13"/>
  <c r="T383" i="13"/>
  <c r="S411" i="13"/>
  <c r="P50" i="13"/>
  <c r="T564" i="13"/>
  <c r="T263" i="13"/>
  <c r="T261" i="13"/>
  <c r="P163" i="13"/>
  <c r="T13" i="13"/>
  <c r="S303" i="13"/>
  <c r="P302" i="13"/>
  <c r="P139" i="13"/>
  <c r="P439" i="13"/>
  <c r="S273" i="13"/>
  <c r="P286" i="13"/>
  <c r="S76" i="13"/>
  <c r="S322" i="13"/>
  <c r="S207" i="13"/>
  <c r="P547" i="13"/>
  <c r="T352" i="13"/>
  <c r="P138" i="13"/>
  <c r="S285" i="13"/>
  <c r="S69" i="13"/>
  <c r="T615" i="13"/>
  <c r="S85" i="13"/>
  <c r="T247" i="13"/>
  <c r="T306" i="13"/>
  <c r="P175" i="13"/>
  <c r="S156" i="13"/>
  <c r="T150" i="13"/>
  <c r="P117" i="13"/>
  <c r="S160" i="13"/>
  <c r="S56" i="13"/>
  <c r="T60" i="13"/>
  <c r="S379" i="13"/>
  <c r="T532" i="13"/>
  <c r="S292" i="13"/>
  <c r="S345" i="13"/>
  <c r="T303" i="13"/>
  <c r="S192" i="13"/>
  <c r="S559" i="13"/>
  <c r="P164" i="13"/>
  <c r="S600" i="13"/>
  <c r="P162" i="13"/>
  <c r="P412" i="13"/>
  <c r="S320" i="13"/>
  <c r="P34" i="13"/>
  <c r="P21" i="13"/>
  <c r="T399" i="13"/>
  <c r="S276" i="13"/>
  <c r="P105" i="13"/>
  <c r="T100" i="13"/>
  <c r="T421" i="13"/>
  <c r="P434" i="13"/>
  <c r="P92" i="13"/>
  <c r="S130" i="13"/>
  <c r="S124" i="13"/>
  <c r="T310" i="13"/>
  <c r="S562" i="13"/>
  <c r="P572" i="13"/>
  <c r="T75" i="13"/>
  <c r="P278" i="13"/>
  <c r="P392" i="13"/>
  <c r="T374" i="13"/>
  <c r="S198" i="13"/>
  <c r="P253" i="13"/>
  <c r="T292" i="13"/>
  <c r="S107" i="13"/>
  <c r="T572" i="13"/>
  <c r="T559" i="13"/>
  <c r="S335" i="13"/>
  <c r="T443" i="13"/>
  <c r="T556" i="13"/>
  <c r="P87" i="13"/>
  <c r="T434" i="13"/>
  <c r="T591" i="13"/>
  <c r="P242" i="13"/>
  <c r="T5" i="13"/>
  <c r="P562" i="13"/>
  <c r="P621" i="13"/>
  <c r="T27" i="13"/>
  <c r="P58" i="13"/>
  <c r="P80" i="13"/>
  <c r="P202" i="13"/>
  <c r="S53" i="13"/>
  <c r="T180" i="13"/>
  <c r="S71" i="13"/>
  <c r="S577" i="13"/>
  <c r="S581" i="13"/>
  <c r="S307" i="13"/>
  <c r="T79" i="13"/>
  <c r="T269" i="13"/>
  <c r="S66" i="13"/>
  <c r="S157" i="13"/>
  <c r="T69" i="13"/>
  <c r="T212" i="13"/>
  <c r="P261" i="13"/>
  <c r="T56" i="13"/>
  <c r="T574" i="13"/>
  <c r="P294" i="13"/>
  <c r="S615" i="13"/>
  <c r="S408" i="13"/>
  <c r="T250" i="13"/>
  <c r="P66" i="13"/>
  <c r="P605" i="13"/>
  <c r="S347" i="13"/>
  <c r="P158" i="13"/>
  <c r="S39" i="13"/>
  <c r="P196" i="13"/>
  <c r="T106" i="13"/>
  <c r="S406" i="13"/>
  <c r="S70" i="13"/>
  <c r="S163" i="13"/>
  <c r="T40" i="13"/>
  <c r="S614" i="13"/>
  <c r="T547" i="13"/>
  <c r="T530" i="13"/>
  <c r="T105" i="13"/>
  <c r="S169" i="13"/>
  <c r="T371" i="13"/>
  <c r="S295" i="13"/>
  <c r="S584" i="13"/>
  <c r="S194" i="13"/>
  <c r="S68" i="13"/>
  <c r="S550" i="13"/>
  <c r="S165" i="13"/>
  <c r="S255" i="13"/>
  <c r="P290" i="13"/>
  <c r="T39" i="13"/>
  <c r="P285" i="13"/>
  <c r="P443" i="13"/>
  <c r="T17" i="13"/>
  <c r="T400" i="13"/>
  <c r="P57" i="13"/>
  <c r="T87" i="13"/>
  <c r="T612" i="13"/>
  <c r="P406" i="13"/>
  <c r="P390" i="13"/>
  <c r="P441" i="13"/>
  <c r="P90" i="13"/>
  <c r="S20" i="13"/>
  <c r="S400" i="13"/>
  <c r="T412" i="13"/>
  <c r="T366" i="13"/>
  <c r="T28" i="13"/>
  <c r="S551" i="13"/>
  <c r="P401" i="13"/>
  <c r="T617" i="13"/>
  <c r="S585" i="13"/>
  <c r="P24" i="13"/>
  <c r="P411" i="13"/>
  <c r="S430" i="13"/>
  <c r="S557" i="13"/>
  <c r="S180" i="13"/>
  <c r="S349" i="13"/>
  <c r="S541" i="13"/>
  <c r="S106" i="13"/>
  <c r="T163" i="13"/>
  <c r="S78" i="13"/>
  <c r="T95" i="13"/>
  <c r="P556" i="13"/>
  <c r="S420" i="13"/>
  <c r="S564" i="13"/>
  <c r="P611" i="13"/>
  <c r="S313" i="13"/>
  <c r="T217" i="13"/>
  <c r="T252" i="13"/>
  <c r="T172" i="13"/>
  <c r="T545" i="13"/>
  <c r="S281" i="13"/>
  <c r="P67" i="13"/>
  <c r="P591" i="13"/>
  <c r="P311" i="13"/>
  <c r="T86" i="13"/>
  <c r="P144" i="13"/>
  <c r="P378" i="13"/>
  <c r="T429" i="13"/>
  <c r="P570" i="13"/>
  <c r="T301" i="13"/>
  <c r="T129" i="13"/>
  <c r="P109" i="13"/>
  <c r="S424" i="13"/>
  <c r="T538" i="13"/>
  <c r="S22" i="13"/>
  <c r="S202" i="13"/>
  <c r="P165" i="13"/>
  <c r="S580" i="13"/>
  <c r="T32" i="13"/>
  <c r="T555" i="13"/>
  <c r="P48" i="13"/>
  <c r="S311" i="13"/>
  <c r="T64" i="13"/>
  <c r="S531" i="13"/>
  <c r="S334" i="13"/>
  <c r="S38" i="13"/>
  <c r="T189" i="13"/>
  <c r="T425" i="13"/>
  <c r="P65" i="13"/>
  <c r="T611" i="13"/>
  <c r="S617" i="13"/>
  <c r="T372" i="13"/>
  <c r="P346" i="13"/>
  <c r="P574" i="13"/>
  <c r="S597" i="13"/>
  <c r="T33" i="13"/>
  <c r="P16" i="13"/>
  <c r="P62" i="13"/>
  <c r="T599" i="13"/>
  <c r="P216" i="13"/>
  <c r="S95" i="13"/>
  <c r="S616" i="13"/>
  <c r="S546" i="13"/>
  <c r="P273" i="13"/>
  <c r="T140" i="13"/>
  <c r="P444" i="13"/>
  <c r="P279" i="13"/>
  <c r="S402" i="13"/>
  <c r="T154" i="13"/>
  <c r="T610" i="13"/>
  <c r="S262" i="13"/>
  <c r="T4" i="13"/>
  <c r="T299" i="13"/>
  <c r="T198" i="13"/>
  <c r="P240" i="13"/>
  <c r="P417" i="13"/>
  <c r="S175" i="13"/>
  <c r="S576" i="13"/>
  <c r="T80" i="13"/>
  <c r="T546" i="13"/>
  <c r="S368" i="13"/>
  <c r="S247" i="13"/>
  <c r="S598" i="13"/>
  <c r="S612" i="13"/>
  <c r="T96" i="13"/>
  <c r="S399" i="13"/>
  <c r="T258" i="13"/>
  <c r="T220" i="13"/>
  <c r="T128" i="13"/>
  <c r="S170" i="13"/>
  <c r="S305" i="13"/>
  <c r="T403" i="13"/>
  <c r="S397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<sst xmlns="http://schemas.openxmlformats.org/spreadsheetml/2006/main" count="14052" uniqueCount="1857">
  <si>
    <t>03.5102</t>
  </si>
  <si>
    <t>10.0010</t>
  </si>
  <si>
    <t>06.0100</t>
  </si>
  <si>
    <t>03.5168</t>
  </si>
  <si>
    <t>03.5124</t>
  </si>
  <si>
    <t>03.5169</t>
  </si>
  <si>
    <t>03.5198</t>
  </si>
  <si>
    <t>03.5200</t>
  </si>
  <si>
    <t>03.5201</t>
  </si>
  <si>
    <t>03.5202</t>
  </si>
  <si>
    <t>03.5203</t>
  </si>
  <si>
    <t>03.5214</t>
  </si>
  <si>
    <t>03.5215</t>
  </si>
  <si>
    <t>03.5216</t>
  </si>
  <si>
    <t>03.5218</t>
  </si>
  <si>
    <t>03.5219</t>
  </si>
  <si>
    <t>03.5221</t>
  </si>
  <si>
    <t>03.5222</t>
  </si>
  <si>
    <t>03.5223</t>
  </si>
  <si>
    <t>03.5224</t>
  </si>
  <si>
    <t>03.5225</t>
  </si>
  <si>
    <t>03.5246</t>
  </si>
  <si>
    <t>03.5257</t>
  </si>
  <si>
    <t>03.5301</t>
  </si>
  <si>
    <t>03.5305</t>
  </si>
  <si>
    <t>03.5307</t>
  </si>
  <si>
    <t>03.5312</t>
  </si>
  <si>
    <t>03.5336</t>
  </si>
  <si>
    <t>03.5341</t>
  </si>
  <si>
    <t>03.5406</t>
  </si>
  <si>
    <t>03.5117</t>
  </si>
  <si>
    <t>03.5240</t>
  </si>
  <si>
    <t>03.5408</t>
  </si>
  <si>
    <t>03.5620</t>
  </si>
  <si>
    <t>03.5229</t>
  </si>
  <si>
    <t>03.5243</t>
  </si>
  <si>
    <t>03.5244</t>
  </si>
  <si>
    <t>03.5400</t>
  </si>
  <si>
    <t>03.5431</t>
  </si>
  <si>
    <t>03.5451</t>
  </si>
  <si>
    <t>03.5453</t>
  </si>
  <si>
    <t>03.5116</t>
  </si>
  <si>
    <t>03.5607</t>
  </si>
  <si>
    <t>03.5609</t>
  </si>
  <si>
    <t>03.5637</t>
  </si>
  <si>
    <t>11.0005</t>
  </si>
  <si>
    <t>90.0110</t>
  </si>
  <si>
    <t>03.5265</t>
  </si>
  <si>
    <t>03.5308</t>
  </si>
  <si>
    <t>03.6004</t>
  </si>
  <si>
    <t>03.5264</t>
  </si>
  <si>
    <t>03.5390</t>
  </si>
  <si>
    <t>03.5391</t>
  </si>
  <si>
    <t>06.0120</t>
  </si>
  <si>
    <t>06.0125</t>
  </si>
  <si>
    <t>06.0140</t>
  </si>
  <si>
    <t>06.0150</t>
  </si>
  <si>
    <t>06.0160</t>
  </si>
  <si>
    <t>06.0180</t>
  </si>
  <si>
    <t>06.1100</t>
  </si>
  <si>
    <t>06.1120</t>
  </si>
  <si>
    <t>06.1125</t>
  </si>
  <si>
    <t>06.1140</t>
  </si>
  <si>
    <t>06.1150</t>
  </si>
  <si>
    <t>06.1160</t>
  </si>
  <si>
    <t>06.1180</t>
  </si>
  <si>
    <t>06.2100</t>
  </si>
  <si>
    <t>06.2120</t>
  </si>
  <si>
    <t>06.2125</t>
  </si>
  <si>
    <t>06.2140</t>
  </si>
  <si>
    <t>06.2150</t>
  </si>
  <si>
    <t>06.2160</t>
  </si>
  <si>
    <t>06.2180</t>
  </si>
  <si>
    <t>06.3100</t>
  </si>
  <si>
    <t>06.3120</t>
  </si>
  <si>
    <t>06.3125</t>
  </si>
  <si>
    <t>06.3140</t>
  </si>
  <si>
    <t>06.3150</t>
  </si>
  <si>
    <t>06.3160</t>
  </si>
  <si>
    <t>06.3180</t>
  </si>
  <si>
    <t>06.9125</t>
  </si>
  <si>
    <t>06.9150</t>
  </si>
  <si>
    <t>03.6006US</t>
  </si>
  <si>
    <t>03.6008US</t>
  </si>
  <si>
    <t>13.0001.15</t>
  </si>
  <si>
    <t>13.0001.19</t>
  </si>
  <si>
    <t>90.0010</t>
  </si>
  <si>
    <t>90.0025</t>
  </si>
  <si>
    <t>90.0050</t>
  </si>
  <si>
    <t>90.0060</t>
  </si>
  <si>
    <t>90.0070</t>
  </si>
  <si>
    <t>90.0080</t>
  </si>
  <si>
    <t>90.0085</t>
  </si>
  <si>
    <t>90.0090</t>
  </si>
  <si>
    <t>90.0100</t>
  </si>
  <si>
    <t>12.0001</t>
  </si>
  <si>
    <t>11.0010</t>
  </si>
  <si>
    <t>90.0020</t>
  </si>
  <si>
    <t>90.0030</t>
  </si>
  <si>
    <t>90.0075</t>
  </si>
  <si>
    <t>10.0008</t>
  </si>
  <si>
    <t>06.4125</t>
  </si>
  <si>
    <t>06.4150</t>
  </si>
  <si>
    <t>06.5125</t>
  </si>
  <si>
    <t>06.5150</t>
  </si>
  <si>
    <t>06.4100</t>
  </si>
  <si>
    <t>06.4140</t>
  </si>
  <si>
    <t>06.5100</t>
  </si>
  <si>
    <t>06.5140</t>
  </si>
  <si>
    <t>06.8100</t>
  </si>
  <si>
    <t>06.8120</t>
  </si>
  <si>
    <t>06.8125</t>
  </si>
  <si>
    <t>06.8140</t>
  </si>
  <si>
    <t>06.8160</t>
  </si>
  <si>
    <t>06.9100</t>
  </si>
  <si>
    <t>06.9140</t>
  </si>
  <si>
    <t>03.5606</t>
  </si>
  <si>
    <t>03.5611</t>
  </si>
  <si>
    <t>03.5801</t>
  </si>
  <si>
    <t>03.5802</t>
  </si>
  <si>
    <t>03.5122</t>
  </si>
  <si>
    <t>03.5650</t>
  </si>
  <si>
    <t>49.0220</t>
  </si>
  <si>
    <t>03.5265US</t>
  </si>
  <si>
    <t>03.5335</t>
  </si>
  <si>
    <t>03.5335US</t>
  </si>
  <si>
    <t>03.6007</t>
  </si>
  <si>
    <t>03.6007AU</t>
  </si>
  <si>
    <t>03.6007UK</t>
  </si>
  <si>
    <t>03.6008UK</t>
  </si>
  <si>
    <t>03.5170</t>
  </si>
  <si>
    <t>03.5200US</t>
  </si>
  <si>
    <t>03.5201US</t>
  </si>
  <si>
    <t>03.5202US</t>
  </si>
  <si>
    <t>03.5203US</t>
  </si>
  <si>
    <t>03.5225US</t>
  </si>
  <si>
    <t>03.5240US</t>
  </si>
  <si>
    <t>03.5243US</t>
  </si>
  <si>
    <t>03.5244US</t>
  </si>
  <si>
    <t>03.5243AU</t>
  </si>
  <si>
    <t>03.5373</t>
  </si>
  <si>
    <t>03.5336UK</t>
  </si>
  <si>
    <t>03.5335AU</t>
  </si>
  <si>
    <t>03.5336AU</t>
  </si>
  <si>
    <t>03.5373AU</t>
  </si>
  <si>
    <t>03.6006AU</t>
  </si>
  <si>
    <t>03.6008AU</t>
  </si>
  <si>
    <t>03.5335UK</t>
  </si>
  <si>
    <t>03.5373UK</t>
  </si>
  <si>
    <t>03.5484UK</t>
  </si>
  <si>
    <t>03.5535UK</t>
  </si>
  <si>
    <t>03.6006UK</t>
  </si>
  <si>
    <t>03.6006</t>
  </si>
  <si>
    <t>03.6008</t>
  </si>
  <si>
    <t>03.5373US</t>
  </si>
  <si>
    <t>03.5265AU</t>
  </si>
  <si>
    <t>03.5690</t>
  </si>
  <si>
    <t>03.5616</t>
  </si>
  <si>
    <t>11.0006</t>
  </si>
  <si>
    <t>03.5692</t>
  </si>
  <si>
    <t>03.5240AU</t>
  </si>
  <si>
    <t>I-VIEW</t>
  </si>
  <si>
    <t>FLASH 300</t>
  </si>
  <si>
    <t>FLASH PEN</t>
  </si>
  <si>
    <t>MAG PEN 3</t>
  </si>
  <si>
    <t>FLASH PEN R</t>
  </si>
  <si>
    <t>FLASH 12-24V</t>
  </si>
  <si>
    <t>Adapter - Schuko to UK plug</t>
  </si>
  <si>
    <t>Adapter - Schuko to US plug</t>
  </si>
  <si>
    <t>Adapter - Schuko to AU plug</t>
  </si>
  <si>
    <t>Adapter - Schuko to Swiss plug</t>
  </si>
  <si>
    <t>LINE LIGHT 6</t>
  </si>
  <si>
    <t>LINE LIGHT 4</t>
  </si>
  <si>
    <t>LINE LIGHT 2</t>
  </si>
  <si>
    <t>LINE LIGHT 1</t>
  </si>
  <si>
    <t>Clip</t>
  </si>
  <si>
    <t>PVC cable 8 m</t>
  </si>
  <si>
    <t>Flexible arm with magnet</t>
  </si>
  <si>
    <t>Flexible arm with suction cup</t>
  </si>
  <si>
    <t>LINE LIGHT 75</t>
  </si>
  <si>
    <t>LINE LIGHT 120</t>
  </si>
  <si>
    <t>LINE LIGHT 160</t>
  </si>
  <si>
    <t>LINE LIGHT 200</t>
  </si>
  <si>
    <t>LINE LIGHT 2 POST</t>
  </si>
  <si>
    <t>Power supply 25 W</t>
  </si>
  <si>
    <t>BONNET C+R</t>
  </si>
  <si>
    <t>LINE LIGHT C+R</t>
  </si>
  <si>
    <t>LINE LIGHT R</t>
  </si>
  <si>
    <t>Magnet Neodym Ø30 mm - M3</t>
  </si>
  <si>
    <t>LINE LIGHT DIMMER</t>
  </si>
  <si>
    <t>Charger 4,2V/3,5A</t>
  </si>
  <si>
    <t>Car adaptor 5V, 12-24V</t>
  </si>
  <si>
    <t>Charger USB 5V, 1A</t>
  </si>
  <si>
    <t>Cable USB to Mini DC - 1 m</t>
  </si>
  <si>
    <t>Clip with hook and magnet</t>
  </si>
  <si>
    <t>Charger 12,6V, 2,4A</t>
  </si>
  <si>
    <t>Charger 12,6V, 4,3A</t>
  </si>
  <si>
    <t>Scaffolding bracket</t>
  </si>
  <si>
    <t>Charger USB 5V, 2A</t>
  </si>
  <si>
    <t>MAG</t>
  </si>
  <si>
    <t>MINIFORM</t>
  </si>
  <si>
    <t>SUPERFORM</t>
  </si>
  <si>
    <t>UNIFORM</t>
  </si>
  <si>
    <t>UV-FORM</t>
  </si>
  <si>
    <t>UNIPEN</t>
  </si>
  <si>
    <t>SCANGRIP TRIPOD</t>
  </si>
  <si>
    <t>SCANGRIP WHEELSTAND</t>
  </si>
  <si>
    <t>NOVA R</t>
  </si>
  <si>
    <t>MINI SLIM</t>
  </si>
  <si>
    <t>SLIM</t>
  </si>
  <si>
    <t>STAR</t>
  </si>
  <si>
    <t>SPS BATTERY 8Ah</t>
  </si>
  <si>
    <t>SPS CHARGING SYSTEM 35W</t>
  </si>
  <si>
    <t>SPS CHARGING SYSTEM 50W</t>
  </si>
  <si>
    <t>SPS CHARGING SYSTEM 85W</t>
  </si>
  <si>
    <t>MINI MAG PRO</t>
  </si>
  <si>
    <t>MATCHPEN</t>
  </si>
  <si>
    <t>MATCHPEN R</t>
  </si>
  <si>
    <t>MINIMATCH</t>
  </si>
  <si>
    <t>MULTIMATCH R</t>
  </si>
  <si>
    <t>DETAILING KIT - ESSENTIAL</t>
  </si>
  <si>
    <t>UV-LIGHT</t>
  </si>
  <si>
    <t>NOVA-UV S</t>
  </si>
  <si>
    <t>UNI-EX</t>
  </si>
  <si>
    <t>NOVA-EX R</t>
  </si>
  <si>
    <t>NOVA-EX</t>
  </si>
  <si>
    <t>EX-VIEW</t>
  </si>
  <si>
    <t>TRIPOD EX</t>
  </si>
  <si>
    <t>MIDI-EX</t>
  </si>
  <si>
    <t>MAGNET BRACKET EX</t>
  </si>
  <si>
    <t>Magnet for for CLIP fitting</t>
  </si>
  <si>
    <t>Clip holder magnetic 2-POST</t>
  </si>
  <si>
    <t>STAR LITE</t>
  </si>
  <si>
    <t>AREA LITE CO</t>
  </si>
  <si>
    <t>HEAD LITE</t>
  </si>
  <si>
    <t>HEAD LITE A</t>
  </si>
  <si>
    <t>MAG PRO</t>
  </si>
  <si>
    <t>SCAFFOLDING BRACKET EX</t>
  </si>
  <si>
    <t>CANVIK PLUS</t>
  </si>
  <si>
    <t>CANVIK PLUS - suitcase</t>
  </si>
  <si>
    <t>CANVIK BASIC</t>
  </si>
  <si>
    <t>Magnefix N - neutral 100 mm</t>
  </si>
  <si>
    <t>Magnefix N - neutral 120 mm</t>
  </si>
  <si>
    <t>Magnefix N - neutral 125 mm</t>
  </si>
  <si>
    <t>Magnefix N - neutral 140 mm</t>
  </si>
  <si>
    <t>Magnefix N - neutral 150 mm</t>
  </si>
  <si>
    <t>Magnefix N - neutral 160 mm</t>
  </si>
  <si>
    <t>Magnefix N - neutral 180 mm</t>
  </si>
  <si>
    <t>Magnefix G - rubber 100 mm</t>
  </si>
  <si>
    <t>Magnefix G - rubber 120 mm</t>
  </si>
  <si>
    <t>Magnefix G - rubber 125 mm</t>
  </si>
  <si>
    <t>Magnefix G - rubber 140 mm</t>
  </si>
  <si>
    <t>Magnefix G - rubber 150 mm</t>
  </si>
  <si>
    <t>Magnefix G - rubber 160 mm</t>
  </si>
  <si>
    <t>Magnefix G - rubber 180 mm</t>
  </si>
  <si>
    <t>Magnefix F - fiber 100 mm</t>
  </si>
  <si>
    <t>Magnefix F - fiber 120 mm</t>
  </si>
  <si>
    <t>Magnefix F - fiber 125 mm</t>
  </si>
  <si>
    <t>Magnefix F - fiber 140 mm</t>
  </si>
  <si>
    <t>Magnefix F - fiber 150 mm</t>
  </si>
  <si>
    <t>Magnefix F - fiber 160 mm</t>
  </si>
  <si>
    <t>Magnefix F - fiber 180 mm</t>
  </si>
  <si>
    <t>Magnefix P - prism 100 mm</t>
  </si>
  <si>
    <t>Magnefix P - prism 120 mm</t>
  </si>
  <si>
    <t>Magnefix P - prism 125 mm</t>
  </si>
  <si>
    <t>Magnefix P - prism 140 mm</t>
  </si>
  <si>
    <t>Magnefix P - prism 150 mm</t>
  </si>
  <si>
    <t>Magnefix P - prism 160 mm</t>
  </si>
  <si>
    <t>Magnefix P - prism 180 mm</t>
  </si>
  <si>
    <t>Magnefix PUF - 100 mm</t>
  </si>
  <si>
    <t>Magnefix PUF - 125 mm</t>
  </si>
  <si>
    <t>Magnefix PUF - 140 mm</t>
  </si>
  <si>
    <t>Magnefix PUF - 150 mm</t>
  </si>
  <si>
    <t>Magnefix PUP - 100 mm</t>
  </si>
  <si>
    <t>Magnefix PUP - 125 mm</t>
  </si>
  <si>
    <t>Magnefix PUP - 140 mm</t>
  </si>
  <si>
    <t>Magnefix PUP - 150 mm</t>
  </si>
  <si>
    <t>MAGNEFIX KIT SET</t>
  </si>
  <si>
    <t>Jaw/Fjederholder 80-200</t>
  </si>
  <si>
    <t>Sikkerhedswire 5x450 mm</t>
  </si>
  <si>
    <t>Fjederholder Canvik Center</t>
  </si>
  <si>
    <t>Fjederholder 80-145 mm. (3)</t>
  </si>
  <si>
    <t>Fjederholder 145-195 mm. (5)</t>
  </si>
  <si>
    <t>Fjederholder venstredrejet</t>
  </si>
  <si>
    <t>Fjederholder 140-170 mm.</t>
  </si>
  <si>
    <t>Fjederholder 80-120 mm. (2)</t>
  </si>
  <si>
    <t>Fjederholder 80-145 mm. Konisk</t>
  </si>
  <si>
    <t>Fjederholder for BMW E39+E46</t>
  </si>
  <si>
    <t>Fjederholder BMW serie/1/2/3/4</t>
  </si>
  <si>
    <t>Fjederholder til Mercedes C</t>
  </si>
  <si>
    <t>Fjederholder til Mercedes</t>
  </si>
  <si>
    <t>Fjederholder til Mercedes E</t>
  </si>
  <si>
    <t>Fjederholder 80-145 mm. (Par)</t>
  </si>
  <si>
    <t>McPherson Strut Vice</t>
  </si>
  <si>
    <t>03.5130</t>
  </si>
  <si>
    <t>03.5131</t>
  </si>
  <si>
    <t>03.5132</t>
  </si>
  <si>
    <t>03.5133</t>
  </si>
  <si>
    <t>03.5136</t>
  </si>
  <si>
    <t>03.5137</t>
  </si>
  <si>
    <t>03.5138</t>
  </si>
  <si>
    <t>FLASH PENCIL</t>
  </si>
  <si>
    <t>FLASH 600</t>
  </si>
  <si>
    <t>FLASH 600 R</t>
  </si>
  <si>
    <t>FLASH 1000 R</t>
  </si>
  <si>
    <t>WORKLIGHTS</t>
  </si>
  <si>
    <t>EXPROOF</t>
  </si>
  <si>
    <t>MAGNEFIX</t>
  </si>
  <si>
    <t>CANVIK</t>
  </si>
  <si>
    <t>COLOURMATCH</t>
  </si>
  <si>
    <t>ACCESSORIES</t>
  </si>
  <si>
    <t>Plug variant</t>
  </si>
  <si>
    <t>5708997351024</t>
  </si>
  <si>
    <t>5708997351161</t>
  </si>
  <si>
    <t>5708997351246</t>
  </si>
  <si>
    <t>5708997351307</t>
  </si>
  <si>
    <t>5708997351314</t>
  </si>
  <si>
    <t>5708997351321</t>
  </si>
  <si>
    <t>5708997351338</t>
  </si>
  <si>
    <t>5708997351369</t>
  </si>
  <si>
    <t>5708997351376</t>
  </si>
  <si>
    <t>5708997351383</t>
  </si>
  <si>
    <t>5708997352007</t>
  </si>
  <si>
    <t>5708997001141</t>
  </si>
  <si>
    <t>5708997002551</t>
  </si>
  <si>
    <t>5708997352014</t>
  </si>
  <si>
    <t>5708997001158</t>
  </si>
  <si>
    <t>5708997002544</t>
  </si>
  <si>
    <t>5708997352021</t>
  </si>
  <si>
    <t>5708997001165</t>
  </si>
  <si>
    <t>5708997002513</t>
  </si>
  <si>
    <t>5708997352038</t>
  </si>
  <si>
    <t>5708997001172</t>
  </si>
  <si>
    <t>5708997002520</t>
  </si>
  <si>
    <t>5708997352144</t>
  </si>
  <si>
    <t>5708997352151</t>
  </si>
  <si>
    <t>5708997352168</t>
  </si>
  <si>
    <t>5708997352182</t>
  </si>
  <si>
    <t>5708997352199</t>
  </si>
  <si>
    <t>5708997352212</t>
  </si>
  <si>
    <t>5708997352229</t>
  </si>
  <si>
    <t>5708997352236</t>
  </si>
  <si>
    <t>5708997352243</t>
  </si>
  <si>
    <t>5708997352250</t>
  </si>
  <si>
    <t>5708997001189</t>
  </si>
  <si>
    <t>5708997002537</t>
  </si>
  <si>
    <t>5708997352298</t>
  </si>
  <si>
    <t>5708997352403</t>
  </si>
  <si>
    <t>5708997003596</t>
  </si>
  <si>
    <t>5708997001554</t>
  </si>
  <si>
    <t>5708997352434</t>
  </si>
  <si>
    <t>5708997002926</t>
  </si>
  <si>
    <t>5708997001608</t>
  </si>
  <si>
    <t>5708997352441</t>
  </si>
  <si>
    <t>5708997352465</t>
  </si>
  <si>
    <t>5708997352649</t>
  </si>
  <si>
    <t>5708997352656</t>
  </si>
  <si>
    <t>5708997001790</t>
  </si>
  <si>
    <t>5708997002568</t>
  </si>
  <si>
    <t>5708997354001</t>
  </si>
  <si>
    <t>5708997354063</t>
  </si>
  <si>
    <t>5708997354841</t>
  </si>
  <si>
    <t>5708997354087</t>
  </si>
  <si>
    <t>5708997356203</t>
  </si>
  <si>
    <t>5708997356906</t>
  </si>
  <si>
    <t>5708997356920</t>
  </si>
  <si>
    <t>5708997355350</t>
  </si>
  <si>
    <t>5708997354513</t>
  </si>
  <si>
    <t>5708997354537</t>
  </si>
  <si>
    <t>5708997356371</t>
  </si>
  <si>
    <t>5708997351178</t>
  </si>
  <si>
    <t>5708997351222</t>
  </si>
  <si>
    <t>5708997356500</t>
  </si>
  <si>
    <t>5708997902202</t>
  </si>
  <si>
    <t>Description &amp; Item no.</t>
  </si>
  <si>
    <t>EAN no.</t>
  </si>
  <si>
    <t>5708997358016</t>
  </si>
  <si>
    <t>5708997358023</t>
  </si>
  <si>
    <t>5708997356067</t>
  </si>
  <si>
    <t>5708997356074</t>
  </si>
  <si>
    <t>5708997356098</t>
  </si>
  <si>
    <t>5708997356111</t>
  </si>
  <si>
    <t>5708997356166</t>
  </si>
  <si>
    <t>5708997351680</t>
  </si>
  <si>
    <t>5708997351697</t>
  </si>
  <si>
    <t>5708997351703</t>
  </si>
  <si>
    <t>5708997351987</t>
  </si>
  <si>
    <t>5708997352571</t>
  </si>
  <si>
    <t>5708997353011</t>
  </si>
  <si>
    <t>5708997353059</t>
  </si>
  <si>
    <t>5708997353073</t>
  </si>
  <si>
    <t>5708997353080</t>
  </si>
  <si>
    <t>5708997353127</t>
  </si>
  <si>
    <t>5708997353356</t>
  </si>
  <si>
    <t>5708997001950</t>
  </si>
  <si>
    <t>5708997353363</t>
  </si>
  <si>
    <t>5708997001967</t>
  </si>
  <si>
    <t>5708997353417</t>
  </si>
  <si>
    <t>5708997353738</t>
  </si>
  <si>
    <t>5708997002780</t>
  </si>
  <si>
    <t>5708997002452</t>
  </si>
  <si>
    <t>5708997002636</t>
  </si>
  <si>
    <t>5708997353905</t>
  </si>
  <si>
    <t>5708997353912</t>
  </si>
  <si>
    <t>5708997354315</t>
  </si>
  <si>
    <t>5708997360040</t>
  </si>
  <si>
    <t>5708997360064</t>
  </si>
  <si>
    <t>5708997003695</t>
  </si>
  <si>
    <t>5708997003701</t>
  </si>
  <si>
    <t>5708997003718</t>
  </si>
  <si>
    <t>5708997360071</t>
  </si>
  <si>
    <t>5708997003725</t>
  </si>
  <si>
    <t>5708997003732</t>
  </si>
  <si>
    <t>5708997360088</t>
  </si>
  <si>
    <t>5708997003756</t>
  </si>
  <si>
    <t>5708997003763</t>
  </si>
  <si>
    <t>5708997003770</t>
  </si>
  <si>
    <t>5708926100082</t>
  </si>
  <si>
    <t>5708926100105</t>
  </si>
  <si>
    <t>5708926100051</t>
  </si>
  <si>
    <t>5708926101102</t>
  </si>
  <si>
    <t>5708926200010</t>
  </si>
  <si>
    <t>5708926301151</t>
  </si>
  <si>
    <t>5708926301199</t>
  </si>
  <si>
    <t>5708926900101</t>
  </si>
  <si>
    <t>5708926900200</t>
  </si>
  <si>
    <t>5708926900255</t>
  </si>
  <si>
    <t>5708926900309</t>
  </si>
  <si>
    <t>5708926900507</t>
  </si>
  <si>
    <t>5708926900606</t>
  </si>
  <si>
    <t>5708926900705</t>
  </si>
  <si>
    <t>5708926900804</t>
  </si>
  <si>
    <t>5708926900859</t>
  </si>
  <si>
    <t>5708926900903</t>
  </si>
  <si>
    <t>5708926901009</t>
  </si>
  <si>
    <t>5708997601006</t>
  </si>
  <si>
    <t>5708997601204</t>
  </si>
  <si>
    <t>5708997601259</t>
  </si>
  <si>
    <t>5708997601402</t>
  </si>
  <si>
    <t>5708997601501</t>
  </si>
  <si>
    <t>5708997601600</t>
  </si>
  <si>
    <t>5708997601808</t>
  </si>
  <si>
    <t>5708997611005</t>
  </si>
  <si>
    <t>5708997611203</t>
  </si>
  <si>
    <t>5708997611258</t>
  </si>
  <si>
    <t>5708997611401</t>
  </si>
  <si>
    <t>5708997611500</t>
  </si>
  <si>
    <t>5708997611609</t>
  </si>
  <si>
    <t>5708997611807</t>
  </si>
  <si>
    <t>5708997621004</t>
  </si>
  <si>
    <t>5708997621202</t>
  </si>
  <si>
    <t>5708997621257</t>
  </si>
  <si>
    <t>5708997621400</t>
  </si>
  <si>
    <t>5708997621509</t>
  </si>
  <si>
    <t>5708997621608</t>
  </si>
  <si>
    <t>5708997621806</t>
  </si>
  <si>
    <t>5708997631003</t>
  </si>
  <si>
    <t>5708997631201</t>
  </si>
  <si>
    <t>5708997631256</t>
  </si>
  <si>
    <t>5708997631409</t>
  </si>
  <si>
    <t>5708997631508</t>
  </si>
  <si>
    <t>5708997631607</t>
  </si>
  <si>
    <t>5708997631805</t>
  </si>
  <si>
    <t>5708997641002</t>
  </si>
  <si>
    <t>5708997641255</t>
  </si>
  <si>
    <t>5708997641408</t>
  </si>
  <si>
    <t>5708997641507</t>
  </si>
  <si>
    <t>5708997651001</t>
  </si>
  <si>
    <t>5708997651254</t>
  </si>
  <si>
    <t>5708997651407</t>
  </si>
  <si>
    <t>5708997651506</t>
  </si>
  <si>
    <t>5708997681008</t>
  </si>
  <si>
    <t>5708997681206</t>
  </si>
  <si>
    <t>5708997681251</t>
  </si>
  <si>
    <t>5708997681404</t>
  </si>
  <si>
    <t>5708997681602</t>
  </si>
  <si>
    <t>5708997691007</t>
  </si>
  <si>
    <t>5708997691250</t>
  </si>
  <si>
    <t>5708997691403</t>
  </si>
  <si>
    <t>5708997691502</t>
  </si>
  <si>
    <t>Family</t>
  </si>
  <si>
    <t>FORM</t>
  </si>
  <si>
    <t>NOVA</t>
  </si>
  <si>
    <t>FLASH</t>
  </si>
  <si>
    <t>LINE LIGHT</t>
  </si>
  <si>
    <t>STICK LITE</t>
  </si>
  <si>
    <t>VEGA LITE</t>
  </si>
  <si>
    <t>Product_Line</t>
  </si>
  <si>
    <t>ProductNo</t>
  </si>
  <si>
    <t>No_</t>
  </si>
  <si>
    <t>Product No</t>
  </si>
  <si>
    <t>Price List</t>
  </si>
  <si>
    <t>NOVA MINI</t>
  </si>
  <si>
    <t>Distributor discounts for net prices:</t>
  </si>
  <si>
    <t>Change distributor discount for net prices</t>
  </si>
  <si>
    <t>←Use filters to narrow your product selection</t>
  </si>
  <si>
    <r>
      <rPr>
        <b/>
        <sz val="11"/>
        <color rgb="FFFF0000"/>
        <rFont val="Calibri"/>
        <family val="2"/>
      </rPr>
      <t xml:space="preserve">↓ </t>
    </r>
    <r>
      <rPr>
        <b/>
        <sz val="11"/>
        <color rgb="FFFF0000"/>
        <rFont val="Calibri"/>
        <family val="2"/>
        <scheme val="minor"/>
      </rPr>
      <t>Input discount rates and update to calculate net prices</t>
    </r>
  </si>
  <si>
    <t>Gross and Netprices EXW Denmark warehouse</t>
  </si>
  <si>
    <t>Discount</t>
  </si>
  <si>
    <t>06.8150</t>
  </si>
  <si>
    <t>5708997681503</t>
  </si>
  <si>
    <t>03.5127</t>
  </si>
  <si>
    <t>WORK PEN 200 R</t>
  </si>
  <si>
    <t>5708997351277</t>
  </si>
  <si>
    <t>03.5268</t>
  </si>
  <si>
    <t>SITE LIGHT</t>
  </si>
  <si>
    <t>03.5269</t>
  </si>
  <si>
    <t>5708997352687</t>
  </si>
  <si>
    <t>5708997352694</t>
  </si>
  <si>
    <t>03.5750</t>
  </si>
  <si>
    <t>SCANGRIP DIFFUSER</t>
  </si>
  <si>
    <t>5708997357507</t>
  </si>
  <si>
    <t>SCANGRIP DIFFUSER LARGE</t>
  </si>
  <si>
    <t>03.5751</t>
  </si>
  <si>
    <t>5708997357514</t>
  </si>
  <si>
    <t>03.5758</t>
  </si>
  <si>
    <t>03.5760</t>
  </si>
  <si>
    <t>5708997357606</t>
  </si>
  <si>
    <t>03.5457</t>
  </si>
  <si>
    <t>NOVA BONNET</t>
  </si>
  <si>
    <t>5708997354575</t>
  </si>
  <si>
    <t>5708997357583</t>
  </si>
  <si>
    <t>03.5803</t>
  </si>
  <si>
    <t>5708997358030</t>
  </si>
  <si>
    <t>03.5803UK</t>
  </si>
  <si>
    <t>03.5803AU</t>
  </si>
  <si>
    <t>5708997005668</t>
  </si>
  <si>
    <t>5708997005545</t>
  </si>
  <si>
    <t>03.5645</t>
  </si>
  <si>
    <t>03.5669</t>
  </si>
  <si>
    <t>03.5670</t>
  </si>
  <si>
    <t>03.5665</t>
  </si>
  <si>
    <t>03.5666</t>
  </si>
  <si>
    <t>03.5671</t>
  </si>
  <si>
    <t>MINI LITE A</t>
  </si>
  <si>
    <t>HEAD LITE S</t>
  </si>
  <si>
    <t>STICK LITE S</t>
  </si>
  <si>
    <t>STICK LITE M</t>
  </si>
  <si>
    <t>5708997356456</t>
  </si>
  <si>
    <t>5708997356692</t>
  </si>
  <si>
    <t>5708997356708</t>
  </si>
  <si>
    <t>5708997356654</t>
  </si>
  <si>
    <t>5708997356661</t>
  </si>
  <si>
    <t>5708997356715</t>
  </si>
  <si>
    <t>Other</t>
  </si>
  <si>
    <t>Type C (Euro plug)</t>
  </si>
  <si>
    <t xml:space="preserve"> </t>
  </si>
  <si>
    <t>03.5113</t>
  </si>
  <si>
    <t>FLASH MICRO R</t>
  </si>
  <si>
    <t>5708997351130</t>
  </si>
  <si>
    <t>03.5118</t>
  </si>
  <si>
    <t>Lens for MATCHPEN 03.5117</t>
  </si>
  <si>
    <t>5708997351185</t>
  </si>
  <si>
    <t>03.5119</t>
  </si>
  <si>
    <t>Head for MATCHPEN 03.5117</t>
  </si>
  <si>
    <t>5708997351192</t>
  </si>
  <si>
    <t>03.5121</t>
  </si>
  <si>
    <t>Battery FLASHPEN R 5120/5136</t>
  </si>
  <si>
    <t>5708997351215</t>
  </si>
  <si>
    <t>03.5122.01</t>
  </si>
  <si>
    <t>On/off switch MATCH PEN R</t>
  </si>
  <si>
    <t>5708997122013</t>
  </si>
  <si>
    <t>Type A (US plug)</t>
  </si>
  <si>
    <t>03.5123</t>
  </si>
  <si>
    <t>Lens for MATCHPEN R 03.5122</t>
  </si>
  <si>
    <t>03.5125</t>
  </si>
  <si>
    <t>Battery FLASH 1000 R</t>
  </si>
  <si>
    <t>03.5129</t>
  </si>
  <si>
    <t>Battery FLASH200R/400R/600R</t>
  </si>
  <si>
    <t>5708997351291</t>
  </si>
  <si>
    <t>Type G (UK plug)</t>
  </si>
  <si>
    <t>Type I (AU plug)</t>
  </si>
  <si>
    <t>Type F (Schuko plug)</t>
  </si>
  <si>
    <t>03.5200CH.A</t>
  </si>
  <si>
    <t>5708997000441</t>
  </si>
  <si>
    <t>Type J (Schuko plug w/Swiss Adapter)</t>
  </si>
  <si>
    <t>03.5201CH.A</t>
  </si>
  <si>
    <t>5708997000472</t>
  </si>
  <si>
    <t>03.5240CH.A</t>
  </si>
  <si>
    <t>5708997001561</t>
  </si>
  <si>
    <t>5708997006054</t>
  </si>
  <si>
    <t>03.5243CH.A</t>
  </si>
  <si>
    <t>5708997001578</t>
  </si>
  <si>
    <t>5708997002490</t>
  </si>
  <si>
    <t>5708997002483</t>
  </si>
  <si>
    <t>03.5252</t>
  </si>
  <si>
    <t>Transformer UL, 100-277V</t>
  </si>
  <si>
    <t>03.5290</t>
  </si>
  <si>
    <t>Cable UL 8 m, Line Light</t>
  </si>
  <si>
    <t>03.5300</t>
  </si>
  <si>
    <t>Scangrip Lighting Charger</t>
  </si>
  <si>
    <t>5708997353004</t>
  </si>
  <si>
    <t>03.5302</t>
  </si>
  <si>
    <t>Clip  TRIPOD - small</t>
  </si>
  <si>
    <t>5708997353028</t>
  </si>
  <si>
    <t>03.5303</t>
  </si>
  <si>
    <t>USB/MINI DC cable 1,8 m</t>
  </si>
  <si>
    <t>5708997353035</t>
  </si>
  <si>
    <t>03.5306</t>
  </si>
  <si>
    <t>Lobe knob black M8x1,25</t>
  </si>
  <si>
    <t>5708997353066</t>
  </si>
  <si>
    <t>Dual bracket for TRIPOD</t>
  </si>
  <si>
    <t>03.5309</t>
  </si>
  <si>
    <t>Lobe knob black M10</t>
  </si>
  <si>
    <t>5708997353097</t>
  </si>
  <si>
    <t>03.5314</t>
  </si>
  <si>
    <t>BONNET holder</t>
  </si>
  <si>
    <t>5708997353141</t>
  </si>
  <si>
    <t>03.5317</t>
  </si>
  <si>
    <t>Battery UNIPEN</t>
  </si>
  <si>
    <t>5708997353172</t>
  </si>
  <si>
    <t>03.5322</t>
  </si>
  <si>
    <t>US charging kit for MULTIMATCH</t>
  </si>
  <si>
    <t>5708997353226</t>
  </si>
  <si>
    <t>03.5328</t>
  </si>
  <si>
    <t>Battery  I-VIEW</t>
  </si>
  <si>
    <t>5708997353288</t>
  </si>
  <si>
    <t>03.5330</t>
  </si>
  <si>
    <t>Belt clip and hook</t>
  </si>
  <si>
    <t>5708997353301</t>
  </si>
  <si>
    <t>03.5337</t>
  </si>
  <si>
    <t>Stand NOVA 3K/3K C+R/MM C+R 2</t>
  </si>
  <si>
    <t>5708997353370</t>
  </si>
  <si>
    <t>03.5338</t>
  </si>
  <si>
    <t>Stand NOVA 5K/5K C+R</t>
  </si>
  <si>
    <t>5708997353387</t>
  </si>
  <si>
    <t>03.5339</t>
  </si>
  <si>
    <t>Stand NOVA 10K</t>
  </si>
  <si>
    <t>5708997353394</t>
  </si>
  <si>
    <t>03.5342</t>
  </si>
  <si>
    <t>Car adapter C+R</t>
  </si>
  <si>
    <t>5708997353424</t>
  </si>
  <si>
    <t>03.5343</t>
  </si>
  <si>
    <t>Battery VEGA1500 C+R - old</t>
  </si>
  <si>
    <t>5708997353431</t>
  </si>
  <si>
    <t>03.5344</t>
  </si>
  <si>
    <t>Rubber trim NOVA 3K/3K C+R</t>
  </si>
  <si>
    <t>5708997353448</t>
  </si>
  <si>
    <t>03.5345</t>
  </si>
  <si>
    <t>Rubber trim NOVA 5K/5K C+R</t>
  </si>
  <si>
    <t>5708997353455</t>
  </si>
  <si>
    <t>03.5346</t>
  </si>
  <si>
    <t>Rubber handle trim NOVA3K/5K</t>
  </si>
  <si>
    <t>5708997353462</t>
  </si>
  <si>
    <t>03.5347</t>
  </si>
  <si>
    <t>Rubber trim NOVA 10K</t>
  </si>
  <si>
    <t>5708997353479</t>
  </si>
  <si>
    <t>03.5348</t>
  </si>
  <si>
    <t>Rubber Handle trim NOVA 10K</t>
  </si>
  <si>
    <t>5708997353486</t>
  </si>
  <si>
    <t>03.5349</t>
  </si>
  <si>
    <t>Battery 11.1V, 4400 mAh</t>
  </si>
  <si>
    <t>5708997353493</t>
  </si>
  <si>
    <t>03.5350</t>
  </si>
  <si>
    <t>Battery NOVA 5K C+R</t>
  </si>
  <si>
    <t>03.5351</t>
  </si>
  <si>
    <t>Bracket special for old NOVA</t>
  </si>
  <si>
    <t>5708997353516</t>
  </si>
  <si>
    <t>03.5353</t>
  </si>
  <si>
    <t>Charger 21,6V, 1A</t>
  </si>
  <si>
    <t>5708997353530</t>
  </si>
  <si>
    <t>03.5353AU</t>
  </si>
  <si>
    <t>5708997003268</t>
  </si>
  <si>
    <t>03.5353UK</t>
  </si>
  <si>
    <t>5708997003534</t>
  </si>
  <si>
    <t>03.5353US</t>
  </si>
  <si>
    <t>5708997004333</t>
  </si>
  <si>
    <t>03.5354</t>
  </si>
  <si>
    <t>03.5355</t>
  </si>
  <si>
    <t>Charger USB, UL, 5V, 1A</t>
  </si>
  <si>
    <t>5708997353554</t>
  </si>
  <si>
    <t>03.5356</t>
  </si>
  <si>
    <t>Keyboard with print card</t>
  </si>
  <si>
    <t>03.5357</t>
  </si>
  <si>
    <t>03.5358</t>
  </si>
  <si>
    <t>03.5359</t>
  </si>
  <si>
    <t>03.5360</t>
  </si>
  <si>
    <t>03.5363</t>
  </si>
  <si>
    <t>5708997353639</t>
  </si>
  <si>
    <t>03.5364</t>
  </si>
  <si>
    <t>Front cover VEGA1500C+R/2600</t>
  </si>
  <si>
    <t>03.5365</t>
  </si>
  <si>
    <t>Front cover VEGA 4000</t>
  </si>
  <si>
    <t>03.5366</t>
  </si>
  <si>
    <t>Dock charging base blue</t>
  </si>
  <si>
    <t>5708997353660</t>
  </si>
  <si>
    <t>03.5367</t>
  </si>
  <si>
    <t>03.5368</t>
  </si>
  <si>
    <t>Charger AU, 5V, 1A, black</t>
  </si>
  <si>
    <t>5708997353684</t>
  </si>
  <si>
    <t>03.5371</t>
  </si>
  <si>
    <t>Battery MAG</t>
  </si>
  <si>
    <t>03.5372</t>
  </si>
  <si>
    <t>Battery MAG3</t>
  </si>
  <si>
    <t>03.5375</t>
  </si>
  <si>
    <t>Battery SUNMATCH 2/3</t>
  </si>
  <si>
    <t>03.5376</t>
  </si>
  <si>
    <t>Battery STAR</t>
  </si>
  <si>
    <t>03.5379</t>
  </si>
  <si>
    <t>Hook for SUPERFORM</t>
  </si>
  <si>
    <t>03.5381</t>
  </si>
  <si>
    <t>Battery for NOVA R/NOVA-UV S</t>
  </si>
  <si>
    <t>5708997353813</t>
  </si>
  <si>
    <t>03.5382</t>
  </si>
  <si>
    <t>03.5383</t>
  </si>
  <si>
    <t>Stand</t>
  </si>
  <si>
    <t>5708997353837</t>
  </si>
  <si>
    <t>03.5384</t>
  </si>
  <si>
    <t>Bumper</t>
  </si>
  <si>
    <t>5708997353844</t>
  </si>
  <si>
    <t>03.5387</t>
  </si>
  <si>
    <t>Battery for MINISLIM</t>
  </si>
  <si>
    <t>03.5388</t>
  </si>
  <si>
    <t>Battery for SLIM</t>
  </si>
  <si>
    <t>Magnet bracket</t>
  </si>
  <si>
    <t>Magnet bracket L</t>
  </si>
  <si>
    <t>03.5392</t>
  </si>
  <si>
    <t>Protection cap</t>
  </si>
  <si>
    <t>03.5393</t>
  </si>
  <si>
    <t>Bracket</t>
  </si>
  <si>
    <t>03.5394</t>
  </si>
  <si>
    <t>Rubber ring (bumper)</t>
  </si>
  <si>
    <t>03.5395</t>
  </si>
  <si>
    <t>Rubber ring inner (handle)</t>
  </si>
  <si>
    <t>03.5396</t>
  </si>
  <si>
    <t>Wheel for WHEELSTAND</t>
  </si>
  <si>
    <t>03.5397</t>
  </si>
  <si>
    <t>Wheel for WHEELSTAND - lock</t>
  </si>
  <si>
    <t>03.5406CH.A</t>
  </si>
  <si>
    <t>5708997001400</t>
  </si>
  <si>
    <t>03.5451CH.A</t>
  </si>
  <si>
    <t>5708997001844</t>
  </si>
  <si>
    <t>03.5618</t>
  </si>
  <si>
    <t>5708997356180</t>
  </si>
  <si>
    <t>AREA LITE</t>
  </si>
  <si>
    <t>5708997005194</t>
  </si>
  <si>
    <t>03.5710</t>
  </si>
  <si>
    <t>Battery 3,7V/1600mAh</t>
  </si>
  <si>
    <t>5708997357101</t>
  </si>
  <si>
    <t>03.5711</t>
  </si>
  <si>
    <t>Battery UNIFORM 3,8V/3000mAh</t>
  </si>
  <si>
    <t>03.5712</t>
  </si>
  <si>
    <t>03.5713</t>
  </si>
  <si>
    <t>03.5714</t>
  </si>
  <si>
    <t>03.5715</t>
  </si>
  <si>
    <t>HANDLE</t>
  </si>
  <si>
    <t>03.5716</t>
  </si>
  <si>
    <t>03.5717</t>
  </si>
  <si>
    <t>03.5718</t>
  </si>
  <si>
    <t>03.5719</t>
  </si>
  <si>
    <t>03.5720</t>
  </si>
  <si>
    <t>03.5721</t>
  </si>
  <si>
    <t>RUBBER RING (BUMPER) 6 SPS</t>
  </si>
  <si>
    <t>03.5722</t>
  </si>
  <si>
    <t>RUBBER TRIM (BUMPER) 10 SPS</t>
  </si>
  <si>
    <t>03.5726</t>
  </si>
  <si>
    <t>On/Off switch VEGA 1500</t>
  </si>
  <si>
    <t>03.5727</t>
  </si>
  <si>
    <t>On/Off switch VEGA 2600/4000</t>
  </si>
  <si>
    <t>03.5728</t>
  </si>
  <si>
    <t>Holder plastic Big</t>
  </si>
  <si>
    <t>03.5729</t>
  </si>
  <si>
    <t>Holder plastic Small</t>
  </si>
  <si>
    <t>03.5730</t>
  </si>
  <si>
    <t>Socket outlet VEGA 4000</t>
  </si>
  <si>
    <t>03.5741</t>
  </si>
  <si>
    <t>Plastic clip I-VIEW/I-MATCH 2</t>
  </si>
  <si>
    <t>03.5742</t>
  </si>
  <si>
    <t>Lens kit set for SUNMATCH 3</t>
  </si>
  <si>
    <t>03.5745</t>
  </si>
  <si>
    <t>Head band for I-VIEW/I-MATCH 2</t>
  </si>
  <si>
    <t>03.5747</t>
  </si>
  <si>
    <t>Dock charging base black</t>
  </si>
  <si>
    <t>03.5748</t>
  </si>
  <si>
    <t>Battery VEGA1500 C+R - new</t>
  </si>
  <si>
    <t>03.5749</t>
  </si>
  <si>
    <t>PCBA for Multimatch 2</t>
  </si>
  <si>
    <t>5708997357491</t>
  </si>
  <si>
    <t>03.5752</t>
  </si>
  <si>
    <t>Battery for NOVA MINI 03.6010</t>
  </si>
  <si>
    <t>03.5753</t>
  </si>
  <si>
    <t>Battery 7,3V, 4000 MAh</t>
  </si>
  <si>
    <t>03.5754</t>
  </si>
  <si>
    <t>Lens/o-ring for NOVA-UV S</t>
  </si>
  <si>
    <t>03.5756</t>
  </si>
  <si>
    <t>Rubber cover for TRIPOD leg</t>
  </si>
  <si>
    <t>03.5757</t>
  </si>
  <si>
    <t>Connection adapter SITE LIGHT</t>
  </si>
  <si>
    <t>5708997035757</t>
  </si>
  <si>
    <t>Dual bracket SITE LIGHT</t>
  </si>
  <si>
    <t>03.5759</t>
  </si>
  <si>
    <t>UV CURING</t>
  </si>
  <si>
    <t>5708997057599</t>
  </si>
  <si>
    <t>Bracket  NOVA BONNET</t>
  </si>
  <si>
    <t>03.5761</t>
  </si>
  <si>
    <t>Rubber cover and anchor</t>
  </si>
  <si>
    <t>5708997357613</t>
  </si>
  <si>
    <t>03.5762</t>
  </si>
  <si>
    <t>Battery for MAG PRO 03.5690</t>
  </si>
  <si>
    <t>5708997357620</t>
  </si>
  <si>
    <t>03.5770</t>
  </si>
  <si>
    <t>Position disc for bracket</t>
  </si>
  <si>
    <t>5708997357705</t>
  </si>
  <si>
    <t>UV-GUN</t>
  </si>
  <si>
    <t>03.5803US</t>
  </si>
  <si>
    <t>5708997005583</t>
  </si>
  <si>
    <t>03.6007US</t>
  </si>
  <si>
    <t>MAGNEFIX KIT SET 150 mm</t>
  </si>
  <si>
    <t>Jaw/Fjederholder 80-120 mm</t>
  </si>
  <si>
    <t>10.0012</t>
  </si>
  <si>
    <t>Fjederholder 80-200 mm</t>
  </si>
  <si>
    <t>5708926100068</t>
  </si>
  <si>
    <t>49.0235</t>
  </si>
  <si>
    <t>SCANGRIP BAG</t>
  </si>
  <si>
    <t>5708997902356</t>
  </si>
  <si>
    <t>49.0236</t>
  </si>
  <si>
    <t>SCANGRIP BAG L</t>
  </si>
  <si>
    <t>5708997902363</t>
  </si>
  <si>
    <t>49.0350</t>
  </si>
  <si>
    <t>5708997903506</t>
  </si>
  <si>
    <t>49.0351</t>
  </si>
  <si>
    <t>5708997903513</t>
  </si>
  <si>
    <t>90.0095</t>
  </si>
  <si>
    <t>99.0095</t>
  </si>
  <si>
    <t>Fjederholder Renault Twingo</t>
  </si>
  <si>
    <t>5708926900958</t>
  </si>
  <si>
    <t>5708926100129</t>
  </si>
  <si>
    <t>5708926900750</t>
  </si>
  <si>
    <t>5708926901108</t>
  </si>
  <si>
    <t>5708997352908</t>
  </si>
  <si>
    <t>5708997352526</t>
  </si>
  <si>
    <t>5708997001776</t>
  </si>
  <si>
    <t>5708997001981</t>
  </si>
  <si>
    <t>5708997001783</t>
  </si>
  <si>
    <t>5708997005699</t>
  </si>
  <si>
    <t>5708997351239</t>
  </si>
  <si>
    <t>5708997351253</t>
  </si>
  <si>
    <t>5708997353509</t>
  </si>
  <si>
    <t>5708997353547</t>
  </si>
  <si>
    <t>5708997353561</t>
  </si>
  <si>
    <t>5708997353578</t>
  </si>
  <si>
    <t>5708997353585</t>
  </si>
  <si>
    <t>5708997353592</t>
  </si>
  <si>
    <t>5708997353608</t>
  </si>
  <si>
    <t>5708997353646</t>
  </si>
  <si>
    <t>5708997353653</t>
  </si>
  <si>
    <t>5708997353677</t>
  </si>
  <si>
    <t>5708997353714</t>
  </si>
  <si>
    <t>5708997353721</t>
  </si>
  <si>
    <t>5708997353752</t>
  </si>
  <si>
    <t>5708997353769</t>
  </si>
  <si>
    <t>5708997353790</t>
  </si>
  <si>
    <t>5708997353820</t>
  </si>
  <si>
    <t>5708997353875</t>
  </si>
  <si>
    <t>5708997353882</t>
  </si>
  <si>
    <t>5708997353929</t>
  </si>
  <si>
    <t>5708997353936</t>
  </si>
  <si>
    <t>5708997353943</t>
  </si>
  <si>
    <t>5708997353950</t>
  </si>
  <si>
    <t>5708997353967</t>
  </si>
  <si>
    <t>5708997353974</t>
  </si>
  <si>
    <t>5708997357118</t>
  </si>
  <si>
    <t>5708997357125</t>
  </si>
  <si>
    <t>5708997357132</t>
  </si>
  <si>
    <t>5708997357149</t>
  </si>
  <si>
    <t>5708997357156</t>
  </si>
  <si>
    <t>5708997357163</t>
  </si>
  <si>
    <t>5708997357170</t>
  </si>
  <si>
    <t>5708997357187</t>
  </si>
  <si>
    <t>5708997357194</t>
  </si>
  <si>
    <t>5708997357200</t>
  </si>
  <si>
    <t>5708997357217</t>
  </si>
  <si>
    <t>5708997357224</t>
  </si>
  <si>
    <t>5708997357262</t>
  </si>
  <si>
    <t>5708997357279</t>
  </si>
  <si>
    <t>5708997357286</t>
  </si>
  <si>
    <t>5708997357293</t>
  </si>
  <si>
    <t>5708997357309</t>
  </si>
  <si>
    <t>5708997357415</t>
  </si>
  <si>
    <t>5708997357422</t>
  </si>
  <si>
    <t>5708997357453</t>
  </si>
  <si>
    <t>5708997357477</t>
  </si>
  <si>
    <t>5708997357484</t>
  </si>
  <si>
    <t>5708997357521</t>
  </si>
  <si>
    <t>5708997357538</t>
  </si>
  <si>
    <t>5708997357545</t>
  </si>
  <si>
    <t>5708997357569</t>
  </si>
  <si>
    <t>UV protection glasses</t>
  </si>
  <si>
    <t>03.5673</t>
  </si>
  <si>
    <t>VEGA LITE COMPACT</t>
  </si>
  <si>
    <t>03.5682</t>
  </si>
  <si>
    <t>5708997356821</t>
  </si>
  <si>
    <t>03.5270</t>
  </si>
  <si>
    <t>SCANGRIP TRIPOD 4,5M</t>
  </si>
  <si>
    <t>5708997352700</t>
  </si>
  <si>
    <t>03.5619</t>
  </si>
  <si>
    <t>5708997356197</t>
  </si>
  <si>
    <t>VEGA LITE C+R</t>
  </si>
  <si>
    <t>Discount Group</t>
  </si>
  <si>
    <t>AREA</t>
  </si>
  <si>
    <t>03.6121</t>
  </si>
  <si>
    <t>03.6122</t>
  </si>
  <si>
    <t>03.6122UK</t>
  </si>
  <si>
    <t>Type J (Swiss)</t>
  </si>
  <si>
    <t>CAS BATTERY 18V LI-POWER 5,2Ah</t>
  </si>
  <si>
    <t>5708997361214</t>
  </si>
  <si>
    <t>5708997361221</t>
  </si>
  <si>
    <t>5708997006368</t>
  </si>
  <si>
    <t>03.5778</t>
  </si>
  <si>
    <t>SCANGRIP DIFFUSER SMALL</t>
  </si>
  <si>
    <t>5708997357781</t>
  </si>
  <si>
    <t>SITE LIGHT 40</t>
  </si>
  <si>
    <t>SITE LIGHT 80</t>
  </si>
  <si>
    <t>03.5782</t>
  </si>
  <si>
    <t>SCANGRIP POWERBANK</t>
  </si>
  <si>
    <t>5708997357828</t>
  </si>
  <si>
    <t>A</t>
  </si>
  <si>
    <t>B</t>
  </si>
  <si>
    <t>C</t>
  </si>
  <si>
    <t>D</t>
  </si>
  <si>
    <t>CM</t>
  </si>
  <si>
    <t>UV</t>
  </si>
  <si>
    <t>EX</t>
  </si>
  <si>
    <t>C_</t>
  </si>
  <si>
    <t>E</t>
  </si>
  <si>
    <t>03.5268CH</t>
  </si>
  <si>
    <t>5708997005767</t>
  </si>
  <si>
    <t>03.5269CH</t>
  </si>
  <si>
    <t>5708997005774</t>
  </si>
  <si>
    <t>03.5617</t>
  </si>
  <si>
    <t>Discount Name</t>
  </si>
  <si>
    <t>03.5276</t>
  </si>
  <si>
    <t>Magnet with clip 60 mm</t>
  </si>
  <si>
    <t>5708997352762</t>
  </si>
  <si>
    <t>03.5213</t>
  </si>
  <si>
    <t>Clip - small metal clip</t>
  </si>
  <si>
    <t>5708997352137</t>
  </si>
  <si>
    <t>06.9120</t>
  </si>
  <si>
    <t>5708997691205</t>
  </si>
  <si>
    <t>06.9160</t>
  </si>
  <si>
    <t>5708997691601</t>
  </si>
  <si>
    <t>5708997356173</t>
  </si>
  <si>
    <t>5708997356739</t>
  </si>
  <si>
    <t>03.5134</t>
  </si>
  <si>
    <t>03.5316</t>
  </si>
  <si>
    <t>03.5767</t>
  </si>
  <si>
    <t>03.5789</t>
  </si>
  <si>
    <t>03.5788</t>
  </si>
  <si>
    <t>99.2250.03</t>
  </si>
  <si>
    <t>03.5783</t>
  </si>
  <si>
    <t>03.5780</t>
  </si>
  <si>
    <t>03.5352</t>
  </si>
  <si>
    <t>03.5378</t>
  </si>
  <si>
    <t>03.5389</t>
  </si>
  <si>
    <t>03.5779</t>
  </si>
  <si>
    <t>03.5785</t>
  </si>
  <si>
    <t>03.5311</t>
  </si>
  <si>
    <t>99.2250.14</t>
  </si>
  <si>
    <t>Battery 3,7V 1100mAh</t>
  </si>
  <si>
    <t>Battery 3,7V, 1600 mAh</t>
  </si>
  <si>
    <t>Battery 3.7V, 1200 mAh</t>
  </si>
  <si>
    <t>Battery for NOVA-EX R</t>
  </si>
  <si>
    <t>Battery for UNI-EX</t>
  </si>
  <si>
    <t>Bolt M10x30 mm. Gr 12.9</t>
  </si>
  <si>
    <t>Bracket with magnets</t>
  </si>
  <si>
    <t>Charger 25,2V, 1,5A</t>
  </si>
  <si>
    <t>Charger USB 5V, 1A UK</t>
  </si>
  <si>
    <t>Charger USB 5V, 3A</t>
  </si>
  <si>
    <t>Charging dock UNI-EX</t>
  </si>
  <si>
    <t>Lens complete for UV GUN</t>
  </si>
  <si>
    <t>Light mount for WHEELSTAND</t>
  </si>
  <si>
    <t>Lobe knob black M10 x 6</t>
  </si>
  <si>
    <t>Sikkerhedsstift til fj.spænder</t>
  </si>
  <si>
    <t>03.5769</t>
  </si>
  <si>
    <t>03.5775</t>
  </si>
  <si>
    <t>03.5776</t>
  </si>
  <si>
    <t>03.5777</t>
  </si>
  <si>
    <t>03.5786</t>
  </si>
  <si>
    <t>5708997353523</t>
  </si>
  <si>
    <t>5708997353783</t>
  </si>
  <si>
    <t>5708997357804</t>
  </si>
  <si>
    <t>LENS/O-RING NOVA 6K/6K C+R/12K</t>
  </si>
  <si>
    <t>LENS/O-RING NOVA 4K/4K C+R</t>
  </si>
  <si>
    <t>LENS/O-RING 4SPS/4CAS/MM3</t>
  </si>
  <si>
    <t>LENS/O-RING 6SPS/10SPS/10CAS/MM8</t>
  </si>
  <si>
    <t>LENS/O-RING NOVA R/MM R</t>
  </si>
  <si>
    <t>03.6100C</t>
  </si>
  <si>
    <t>03.6101C</t>
  </si>
  <si>
    <t>03.6102C</t>
  </si>
  <si>
    <t>03.6108C</t>
  </si>
  <si>
    <t>03.6103C</t>
  </si>
  <si>
    <t>03.6104C</t>
  </si>
  <si>
    <t>03.6106C</t>
  </si>
  <si>
    <t>03.6123C</t>
  </si>
  <si>
    <t>03.6123CUK</t>
  </si>
  <si>
    <t>03.6140C</t>
  </si>
  <si>
    <t>03.6141C</t>
  </si>
  <si>
    <t>03.6142C</t>
  </si>
  <si>
    <t>03.6143C</t>
  </si>
  <si>
    <t>03.6144C</t>
  </si>
  <si>
    <t>03.6145C</t>
  </si>
  <si>
    <t>03.6146C</t>
  </si>
  <si>
    <t>03.6147C</t>
  </si>
  <si>
    <t>03.6148C</t>
  </si>
  <si>
    <t>03.6149C</t>
  </si>
  <si>
    <t>03.6150C</t>
  </si>
  <si>
    <t>03.6151C</t>
  </si>
  <si>
    <t>03.6152C</t>
  </si>
  <si>
    <t>03.6153C</t>
  </si>
  <si>
    <t>03.6154C</t>
  </si>
  <si>
    <t>03.6155C</t>
  </si>
  <si>
    <t>CONNECT</t>
  </si>
  <si>
    <t>CONNECTOR</t>
  </si>
  <si>
    <t>VEGA</t>
  </si>
  <si>
    <t>TOWER</t>
  </si>
  <si>
    <t>03.6123CCH</t>
  </si>
  <si>
    <t>NOVA 2 CONNECT</t>
  </si>
  <si>
    <t>5708997006719</t>
  </si>
  <si>
    <t>NOVA 4 CONNECT</t>
  </si>
  <si>
    <t>5708997006726</t>
  </si>
  <si>
    <t>NOVA 10 CONNECT</t>
  </si>
  <si>
    <t>5708997006733</t>
  </si>
  <si>
    <t>AREA 6 CONNECT</t>
  </si>
  <si>
    <t>5708997006740</t>
  </si>
  <si>
    <t>AREA 10 CONNECT</t>
  </si>
  <si>
    <t>5708997006757</t>
  </si>
  <si>
    <t>VEGA 4 CONNECT</t>
  </si>
  <si>
    <t>5708997006764</t>
  </si>
  <si>
    <t>VEGA 2 CONNECT</t>
  </si>
  <si>
    <t>5708997006771</t>
  </si>
  <si>
    <t>POWER SUPPLY CONNECT</t>
  </si>
  <si>
    <t>5708997006795</t>
  </si>
  <si>
    <t>5708997006825</t>
  </si>
  <si>
    <t>5708997006818</t>
  </si>
  <si>
    <t>BOSCH CONNECTOR</t>
  </si>
  <si>
    <t>5708997361405</t>
  </si>
  <si>
    <t>BOSCH GREEN CONNECTOR</t>
  </si>
  <si>
    <t>5708997361412</t>
  </si>
  <si>
    <t>DEWALT CONNECTOR</t>
  </si>
  <si>
    <t>5708997361429</t>
  </si>
  <si>
    <t>EINHELL CONNECTOR</t>
  </si>
  <si>
    <t>5708997361436</t>
  </si>
  <si>
    <t>FEIN CONNECTOR</t>
  </si>
  <si>
    <t>5708997361443</t>
  </si>
  <si>
    <t>FLEX CONNECTOR</t>
  </si>
  <si>
    <t>5708997361450</t>
  </si>
  <si>
    <t>HAZET CONNECTOR</t>
  </si>
  <si>
    <t>5708997361467</t>
  </si>
  <si>
    <t>HIKOKI CONNECTOR</t>
  </si>
  <si>
    <t>5708997361474</t>
  </si>
  <si>
    <t>MAKITA CONNECTOR</t>
  </si>
  <si>
    <t>5708997361481</t>
  </si>
  <si>
    <t>MILWAUKEE CONNECTOR</t>
  </si>
  <si>
    <t>5708997361498</t>
  </si>
  <si>
    <t>WÛRTH CONNECTOR</t>
  </si>
  <si>
    <t>5708997361504</t>
  </si>
  <si>
    <t>SNAPON CONNECTOR</t>
  </si>
  <si>
    <t>5708997361511</t>
  </si>
  <si>
    <t>INGERSOLL CONNECTOR</t>
  </si>
  <si>
    <t>5708997361528</t>
  </si>
  <si>
    <t>FESTOOL CONNECTOR</t>
  </si>
  <si>
    <t>5708997361535</t>
  </si>
  <si>
    <t>RIDGID CONNECTOR</t>
  </si>
  <si>
    <t>5708997361542</t>
  </si>
  <si>
    <t>BERNER CONNECTOR</t>
  </si>
  <si>
    <t>5708997361559</t>
  </si>
  <si>
    <t>5708997351345</t>
  </si>
  <si>
    <t>5708997353165</t>
  </si>
  <si>
    <t>5708997357675</t>
  </si>
  <si>
    <t>5708997357897</t>
  </si>
  <si>
    <t>5708997357880</t>
  </si>
  <si>
    <t>5708926250039</t>
  </si>
  <si>
    <t>5708997357835</t>
  </si>
  <si>
    <t>5708997353899</t>
  </si>
  <si>
    <t>5708997357859</t>
  </si>
  <si>
    <t>5708926250145</t>
  </si>
  <si>
    <t>5708997357699</t>
  </si>
  <si>
    <t>5708997357750</t>
  </si>
  <si>
    <t>5708997357767</t>
  </si>
  <si>
    <t>5708997357774</t>
  </si>
  <si>
    <t>5708997357866</t>
  </si>
  <si>
    <t>03.5657</t>
  </si>
  <si>
    <t>SUNMATCH 4</t>
  </si>
  <si>
    <t>5708997356579</t>
  </si>
  <si>
    <t>03.5658</t>
  </si>
  <si>
    <t>5708997356586</t>
  </si>
  <si>
    <t>03.5225UK.A</t>
  </si>
  <si>
    <t>03.5203UK.A</t>
  </si>
  <si>
    <t>03.5202UK.A</t>
  </si>
  <si>
    <t>03.5201UK.A</t>
  </si>
  <si>
    <t>03.5200UK.A</t>
  </si>
  <si>
    <t>Type G (UK plug adapter)</t>
  </si>
  <si>
    <t>03.5240UK.A</t>
  </si>
  <si>
    <t>03.5243UK.A</t>
  </si>
  <si>
    <t>03.5685</t>
  </si>
  <si>
    <t>SCANGRIP TRIPOD 2 m</t>
  </si>
  <si>
    <t>5708997356852</t>
  </si>
  <si>
    <r>
      <rPr>
        <b/>
        <sz val="11"/>
        <color theme="4"/>
        <rFont val="Calibri"/>
        <family val="2"/>
      </rPr>
      <t xml:space="preserve">→ </t>
    </r>
    <r>
      <rPr>
        <b/>
        <sz val="11"/>
        <color theme="4"/>
        <rFont val="Calibri"/>
        <family val="2"/>
        <scheme val="minor"/>
      </rPr>
      <t xml:space="preserve">Click "Refresh All" from the "Data" ribbon to </t>
    </r>
  </si>
  <si>
    <t>updatediscount and  net prices in the price list</t>
  </si>
  <si>
    <t>Head band for HEAD LITE A</t>
  </si>
  <si>
    <t>Holder plastic small</t>
  </si>
  <si>
    <t>Holder plastic big</t>
  </si>
  <si>
    <t>Foot rubber square with anchor</t>
  </si>
  <si>
    <t>5708997353110</t>
  </si>
  <si>
    <t>5708997357798</t>
  </si>
  <si>
    <t>03.6109C</t>
  </si>
  <si>
    <t>BASIC CONNECT</t>
  </si>
  <si>
    <t>5708997006962</t>
  </si>
  <si>
    <t>03.6111C</t>
  </si>
  <si>
    <t>DUO CONNECT</t>
  </si>
  <si>
    <t>5708997006986</t>
  </si>
  <si>
    <t>03.6110C</t>
  </si>
  <si>
    <t>TOWER COMPACT CONNECT</t>
  </si>
  <si>
    <t>5708997006979</t>
  </si>
  <si>
    <t>03.5695C</t>
  </si>
  <si>
    <t>MULTILIGHT SEARCH CONNECT</t>
  </si>
  <si>
    <t>5708997356951</t>
  </si>
  <si>
    <t>03.5693C</t>
  </si>
  <si>
    <t>MULTILIGHT FLEX CONNECT</t>
  </si>
  <si>
    <t>5708997356937</t>
  </si>
  <si>
    <t>03.5694C</t>
  </si>
  <si>
    <t>MULTILIGHT FLOOD CONNECT</t>
  </si>
  <si>
    <t>5708997356944</t>
  </si>
  <si>
    <t>03.5696C</t>
  </si>
  <si>
    <t>MULTILIGHT BODY CONNECT</t>
  </si>
  <si>
    <t>5708997356968</t>
  </si>
  <si>
    <t>03.5699C</t>
  </si>
  <si>
    <t>SEARCH HEAD CONNECT</t>
  </si>
  <si>
    <t>5708997356999</t>
  </si>
  <si>
    <t>03.5697C</t>
  </si>
  <si>
    <t>FLEX HEAD CONNECT</t>
  </si>
  <si>
    <t>5708997356975</t>
  </si>
  <si>
    <t>03.5698C</t>
  </si>
  <si>
    <t>FLOOD HEAD CONNECT</t>
  </si>
  <si>
    <t>5708997356982</t>
  </si>
  <si>
    <t>03.5627</t>
  </si>
  <si>
    <t>ZOOM</t>
  </si>
  <si>
    <t>5708997356272</t>
  </si>
  <si>
    <t>03.5797</t>
  </si>
  <si>
    <t>I-VIEW HARD HAT BRACKET</t>
  </si>
  <si>
    <t>5708997357972</t>
  </si>
  <si>
    <t>03.5798</t>
  </si>
  <si>
    <t>Adhesive base - set with 3 pcs</t>
  </si>
  <si>
    <t>5708997357989</t>
  </si>
  <si>
    <t>03.5810</t>
  </si>
  <si>
    <t>5708997358108</t>
  </si>
  <si>
    <t>03.5811</t>
  </si>
  <si>
    <t>FLEX WEAR</t>
  </si>
  <si>
    <t>FLEX WEAR KIT</t>
  </si>
  <si>
    <t>5708997358115</t>
  </si>
  <si>
    <t>03.5272</t>
  </si>
  <si>
    <t>UV-EXTREME</t>
  </si>
  <si>
    <t>5708997352724</t>
  </si>
  <si>
    <t>03.5273</t>
  </si>
  <si>
    <t>UV-EXTREME PLUS</t>
  </si>
  <si>
    <t>5708997352731</t>
  </si>
  <si>
    <t>03.5915</t>
  </si>
  <si>
    <t>Mounting bracket UV-EXTREME</t>
  </si>
  <si>
    <t>5708997359150</t>
  </si>
  <si>
    <t>03.5850</t>
  </si>
  <si>
    <t>ZONE 2</t>
  </si>
  <si>
    <t>5708997358504</t>
  </si>
  <si>
    <t>03.5922</t>
  </si>
  <si>
    <t>SCANGRIP DIFFUSER MEDIUM</t>
  </si>
  <si>
    <t>5708997359228</t>
  </si>
  <si>
    <t>03.5279</t>
  </si>
  <si>
    <t>Magnet with clip 30 mm</t>
  </si>
  <si>
    <t>5708997352793</t>
  </si>
  <si>
    <t>Box qty</t>
  </si>
  <si>
    <t xml:space="preserve">Cabel USB-C </t>
  </si>
  <si>
    <t>5708997359259</t>
  </si>
  <si>
    <t>03.5925</t>
  </si>
  <si>
    <t>03.6156C</t>
  </si>
  <si>
    <t>PANASONIC CONNECTOR</t>
  </si>
  <si>
    <t>5708997361566</t>
  </si>
  <si>
    <t>03.5916</t>
  </si>
  <si>
    <t>UV VISOR</t>
  </si>
  <si>
    <t>5708997359167</t>
  </si>
  <si>
    <t>03.6123CUS</t>
  </si>
  <si>
    <t>03.6123CAU</t>
  </si>
  <si>
    <t>03.6123CJPN</t>
  </si>
  <si>
    <t>5708997007051</t>
  </si>
  <si>
    <t>5708997007143</t>
  </si>
  <si>
    <t>5708997007150</t>
  </si>
  <si>
    <t>Type A (JPN plug)</t>
  </si>
  <si>
    <t>03.5691</t>
  </si>
  <si>
    <t>MAG PRO WIRELESS</t>
  </si>
  <si>
    <t>5708997356913</t>
  </si>
  <si>
    <t>03.5928</t>
  </si>
  <si>
    <t xml:space="preserve">CHARGING PAD </t>
  </si>
  <si>
    <t>5708997359280</t>
  </si>
  <si>
    <t>AREA HEAD CONNECT</t>
  </si>
  <si>
    <t>5708997357019</t>
  </si>
  <si>
    <t>49.0511</t>
  </si>
  <si>
    <t>MULTILIGHT CASE</t>
  </si>
  <si>
    <t>5708997905111</t>
  </si>
  <si>
    <t>NET</t>
  </si>
  <si>
    <t>NET/NET</t>
  </si>
  <si>
    <t>03.5459</t>
  </si>
  <si>
    <t>VEGA LITE COLOUR</t>
  </si>
  <si>
    <t>5708997354599</t>
  </si>
  <si>
    <t>03.5701C</t>
  </si>
  <si>
    <t>03.5684</t>
  </si>
  <si>
    <t>5708997356845</t>
  </si>
  <si>
    <t>UV-GUN MOUNTING KIT</t>
  </si>
  <si>
    <t>ROPE LIGHT</t>
  </si>
  <si>
    <t>49.0515</t>
  </si>
  <si>
    <t>5708997905159</t>
  </si>
  <si>
    <t>MAG PRO WIRELESS KIT</t>
  </si>
  <si>
    <t>49.0518</t>
  </si>
  <si>
    <t>5708997905180</t>
  </si>
  <si>
    <t>MULTILIGHT KIT</t>
  </si>
  <si>
    <t>03.6157C</t>
  </si>
  <si>
    <t>5708997361573</t>
  </si>
  <si>
    <t>HILTI CONNECTOR</t>
  </si>
  <si>
    <t>5708997361580</t>
  </si>
  <si>
    <t>AEG / RIGID US CONNECTOR</t>
  </si>
  <si>
    <t>03.6158C</t>
  </si>
  <si>
    <t>03.5920</t>
  </si>
  <si>
    <t>03.5921</t>
  </si>
  <si>
    <t>FLEXIBLE IP-COVER, AREA 10</t>
  </si>
  <si>
    <t>5708997359204</t>
  </si>
  <si>
    <t>5708997359211</t>
  </si>
  <si>
    <t>03.5659</t>
  </si>
  <si>
    <t>5708997356593</t>
  </si>
  <si>
    <t>UNIMATCH</t>
  </si>
  <si>
    <t>FLEXIBLE IP-COVER, NOVA + MULTIMTCH</t>
  </si>
  <si>
    <t>03.5113N</t>
  </si>
  <si>
    <t>03.5790</t>
  </si>
  <si>
    <t>03.5910</t>
  </si>
  <si>
    <t>49.0330</t>
  </si>
  <si>
    <t>49.0331</t>
  </si>
  <si>
    <t>03.5675C</t>
  </si>
  <si>
    <t>03.5676C</t>
  </si>
  <si>
    <t>MULTIMATCH 3 CONNECT</t>
  </si>
  <si>
    <t>MULTIMATCH 8 CONNECT</t>
  </si>
  <si>
    <t>49.0389</t>
  </si>
  <si>
    <t>SITE LIGHT 40 + SUITCASE 49.0350</t>
  </si>
  <si>
    <t>49.0390</t>
  </si>
  <si>
    <t>SITE LIGHT 80 + SUITCASE 49.0351</t>
  </si>
  <si>
    <t>03.5926</t>
  </si>
  <si>
    <t>ADAPTER DIN14640 NOVA</t>
  </si>
  <si>
    <t>SUITCASE SITE LIGHT 40</t>
  </si>
  <si>
    <t>SUITCASE SITE LIGHT 80</t>
  </si>
  <si>
    <t>03.5277</t>
  </si>
  <si>
    <t>49.0495</t>
  </si>
  <si>
    <t>SUITCASE TO DEMO KIT "empty"</t>
  </si>
  <si>
    <t>49.0192</t>
  </si>
  <si>
    <t>MINI SALES DISPLAY - KNOCKDOWN</t>
  </si>
  <si>
    <t>49.0193</t>
  </si>
  <si>
    <t>MINI SALES DISPLAY - ASSEMBLED</t>
  </si>
  <si>
    <t>49.0444</t>
  </si>
  <si>
    <t>FLEXIBLE TABLE DISPLAY</t>
  </si>
  <si>
    <t>49.0138</t>
  </si>
  <si>
    <t>SALES DISPLY LIGHTING</t>
  </si>
  <si>
    <t>49.0338</t>
  </si>
  <si>
    <t>FLOOD LIGHT DISPLY LIGHTING</t>
  </si>
  <si>
    <t>ACRYLIC DISPLAY FOR FLASH LIGHT</t>
  </si>
  <si>
    <t>ACRYLIC DISPLAY FOR FLASH LIGHT R</t>
  </si>
  <si>
    <t>ACRYLIC HEADLAMP DISPLAY ROUND</t>
  </si>
  <si>
    <t>49.0296</t>
  </si>
  <si>
    <t>BROCHURE HOLDER</t>
  </si>
  <si>
    <t>MAGNETIC BRACKET OLD VERSION</t>
  </si>
  <si>
    <t>03.5127N</t>
  </si>
  <si>
    <t>03.5138N</t>
  </si>
  <si>
    <t>03.5811N</t>
  </si>
  <si>
    <t>5708997359266</t>
  </si>
  <si>
    <t>5708997359105</t>
  </si>
  <si>
    <t>5708997903896</t>
  </si>
  <si>
    <t>5708997903902</t>
  </si>
  <si>
    <t>5708997352779</t>
  </si>
  <si>
    <t>5708997356753</t>
  </si>
  <si>
    <t>5708997356760</t>
  </si>
  <si>
    <t>5708997357903</t>
  </si>
  <si>
    <t>5708997901380</t>
  </si>
  <si>
    <t>5708997901922</t>
  </si>
  <si>
    <t>5708997901939</t>
  </si>
  <si>
    <t>5708997902967</t>
  </si>
  <si>
    <t>5708997903384</t>
  </si>
  <si>
    <t>5708997904442</t>
  </si>
  <si>
    <t>5708997904954</t>
  </si>
  <si>
    <t>5708997006139</t>
  </si>
  <si>
    <t>49.0449</t>
  </si>
  <si>
    <t>5708997007198</t>
  </si>
  <si>
    <t>5708997007204</t>
  </si>
  <si>
    <t>5708997007211</t>
  </si>
  <si>
    <t>5708997903308</t>
  </si>
  <si>
    <t>5708997903315</t>
  </si>
  <si>
    <t>5708997904497</t>
  </si>
  <si>
    <t>03.6124</t>
  </si>
  <si>
    <t>CAS BATTERY 18V LI-POWER 2,0Ah</t>
  </si>
  <si>
    <t>5708997361245</t>
  </si>
  <si>
    <t>03.5803JPN</t>
  </si>
  <si>
    <t>5708997006160</t>
  </si>
  <si>
    <t>03.5912</t>
  </si>
  <si>
    <t>Cabel for Power Bank</t>
  </si>
  <si>
    <t>5708997359129</t>
  </si>
  <si>
    <t>03.6211</t>
  </si>
  <si>
    <t>03.6210</t>
  </si>
  <si>
    <t>03.6208</t>
  </si>
  <si>
    <t>03.6209</t>
  </si>
  <si>
    <t>03.6207</t>
  </si>
  <si>
    <t>03.6212</t>
  </si>
  <si>
    <t>03.6205</t>
  </si>
  <si>
    <t>03.6204</t>
  </si>
  <si>
    <t>03.6201</t>
  </si>
  <si>
    <t>03.6200</t>
  </si>
  <si>
    <t>03.6206</t>
  </si>
  <si>
    <t>03.6203</t>
  </si>
  <si>
    <t>03.6202</t>
  </si>
  <si>
    <t>NOVA 6 C+R</t>
  </si>
  <si>
    <t>NOVA 4 C+R</t>
  </si>
  <si>
    <t>NOVA 12</t>
  </si>
  <si>
    <t>NOVA 6</t>
  </si>
  <si>
    <t>NOVA 4</t>
  </si>
  <si>
    <t>5708997362006</t>
  </si>
  <si>
    <t>5708997362013</t>
  </si>
  <si>
    <t>5708997362020</t>
  </si>
  <si>
    <t>5708997362037</t>
  </si>
  <si>
    <t>5708997362044</t>
  </si>
  <si>
    <t>5708997362051</t>
  </si>
  <si>
    <t>5708997362068</t>
  </si>
  <si>
    <t>5708997362075</t>
  </si>
  <si>
    <t>5708997362082</t>
  </si>
  <si>
    <t>5708997362099</t>
  </si>
  <si>
    <t>5708997362105</t>
  </si>
  <si>
    <t>5708997362112</t>
  </si>
  <si>
    <t>5708997362129</t>
  </si>
  <si>
    <t>Customer:</t>
  </si>
  <si>
    <t xml:space="preserve">NAV account: </t>
  </si>
  <si>
    <t>Special Net (EUR)</t>
  </si>
  <si>
    <t>Special Net (DKK)</t>
  </si>
  <si>
    <t>1</t>
  </si>
  <si>
    <t>3</t>
  </si>
  <si>
    <t>5</t>
  </si>
  <si>
    <t>Net/Net (EUR)</t>
  </si>
  <si>
    <t>Net/Net (DKK)</t>
  </si>
  <si>
    <t>Xx</t>
  </si>
  <si>
    <t>Xx000</t>
  </si>
  <si>
    <t>03.5911</t>
  </si>
  <si>
    <t>BRACKET FOR POWER BANK</t>
  </si>
  <si>
    <t>5708997359112</t>
  </si>
  <si>
    <t>Power supply 200 W</t>
  </si>
  <si>
    <t>03.5139</t>
  </si>
  <si>
    <t>03.5792</t>
  </si>
  <si>
    <t>03.5768</t>
  </si>
  <si>
    <t>03.5791</t>
  </si>
  <si>
    <t>03.5787</t>
  </si>
  <si>
    <t>03.5924</t>
  </si>
  <si>
    <t>03.5945</t>
  </si>
  <si>
    <t>Battery FLASH PEN R</t>
  </si>
  <si>
    <t>Front cover/glass/reflector/</t>
  </si>
  <si>
    <t>Head band for ZONE/EX-VIEW</t>
  </si>
  <si>
    <t>Headband for I-VIEW incl. clip</t>
  </si>
  <si>
    <t>Wheel with lock for WHEELSTAND</t>
  </si>
  <si>
    <t>Stand NOVA 10 CONNECT/CAS</t>
  </si>
  <si>
    <t>On/Off switch TOWER 5 CONNECT</t>
  </si>
  <si>
    <t>5708997351390</t>
  </si>
  <si>
    <t>5708997357682</t>
  </si>
  <si>
    <t>5708997357873</t>
  </si>
  <si>
    <t>5708997359242</t>
  </si>
  <si>
    <t>5708997357927</t>
  </si>
  <si>
    <t>5708997359457</t>
  </si>
  <si>
    <t>5708997357910</t>
  </si>
  <si>
    <t>03.5281</t>
  </si>
  <si>
    <t>Gear for SITE LIGHT//UV-EXTREM</t>
  </si>
  <si>
    <t>03.5617UK</t>
  </si>
  <si>
    <t>03.5772</t>
  </si>
  <si>
    <t>03.5799</t>
  </si>
  <si>
    <t>Clip for UNIPEN</t>
  </si>
  <si>
    <t>03.5951</t>
  </si>
  <si>
    <t>SCANGRIP DIFFUSER X-LARGE</t>
  </si>
  <si>
    <t>SCANGRIP DIFFUSER XX-LARGE</t>
  </si>
  <si>
    <t>03.6202UK</t>
  </si>
  <si>
    <t>03.6203UK</t>
  </si>
  <si>
    <t>03.6204AU</t>
  </si>
  <si>
    <t>03.6205AU</t>
  </si>
  <si>
    <t>03.6206UK</t>
  </si>
  <si>
    <t>03.6204UK</t>
  </si>
  <si>
    <t>03.6205UK</t>
  </si>
  <si>
    <t>Type G - UK</t>
  </si>
  <si>
    <t>Type I - AU</t>
  </si>
  <si>
    <t>Type F - Schuko</t>
  </si>
  <si>
    <t>5708997352816</t>
  </si>
  <si>
    <t>Type C - Europlug</t>
  </si>
  <si>
    <t>5708997005613</t>
  </si>
  <si>
    <t>5708997357729</t>
  </si>
  <si>
    <t>5708997357996</t>
  </si>
  <si>
    <t>Charger not included</t>
  </si>
  <si>
    <t>5708997359518</t>
  </si>
  <si>
    <t>5708997359525</t>
  </si>
  <si>
    <t>5708997007655</t>
  </si>
  <si>
    <t>5708997007662</t>
  </si>
  <si>
    <t>5708997007280</t>
  </si>
  <si>
    <t>5708997007297</t>
  </si>
  <si>
    <t>5708997007693</t>
  </si>
  <si>
    <t>5708997007679</t>
  </si>
  <si>
    <t>5708997007686</t>
  </si>
  <si>
    <t>03.5140</t>
  </si>
  <si>
    <t>5708997351406</t>
  </si>
  <si>
    <t xml:space="preserve">BATTERY </t>
  </si>
  <si>
    <t>03.6202CH</t>
  </si>
  <si>
    <t>5708997007792</t>
  </si>
  <si>
    <t>03.6203CH</t>
  </si>
  <si>
    <t>5708997007808</t>
  </si>
  <si>
    <t>03.6204CH.A</t>
  </si>
  <si>
    <t>5708997007815</t>
  </si>
  <si>
    <t>5708997007822</t>
  </si>
  <si>
    <t>03.6205CH.A</t>
  </si>
  <si>
    <t>03.6206CH</t>
  </si>
  <si>
    <t>5708997007839</t>
  </si>
  <si>
    <t>03.6159C</t>
  </si>
  <si>
    <t>RUPPES CONNECTOR</t>
  </si>
  <si>
    <t>5708997361597</t>
  </si>
  <si>
    <t>03.5619UK</t>
  </si>
  <si>
    <t>03.5619CH.A</t>
  </si>
  <si>
    <t>5708997006665</t>
  </si>
  <si>
    <t>5708997007235</t>
  </si>
  <si>
    <t>(tom)</t>
  </si>
  <si>
    <t>11</t>
  </si>
  <si>
    <t>12</t>
  </si>
  <si>
    <t>13</t>
  </si>
  <si>
    <t>14</t>
  </si>
  <si>
    <t>15</t>
  </si>
  <si>
    <t>16</t>
  </si>
  <si>
    <t>03.5618CH.A</t>
  </si>
  <si>
    <t>03.5282</t>
  </si>
  <si>
    <t>Power supply 100 W</t>
  </si>
  <si>
    <t>5708997352823</t>
  </si>
  <si>
    <t>03.5958</t>
  </si>
  <si>
    <t>03.5674C</t>
  </si>
  <si>
    <t>03.5679C</t>
  </si>
  <si>
    <t>MULTIMATCH 3 CONNECT + POWER SUPPLY</t>
  </si>
  <si>
    <t>MULTIMATCH 8 CONNECT + POWER SUPPLY</t>
  </si>
  <si>
    <t>5708997356746</t>
  </si>
  <si>
    <t>5708997356791</t>
  </si>
  <si>
    <t>03.7000</t>
  </si>
  <si>
    <t>03.7001</t>
  </si>
  <si>
    <t>03.7002</t>
  </si>
  <si>
    <t>03.7003</t>
  </si>
  <si>
    <t>03.7004</t>
  </si>
  <si>
    <t>03.7005</t>
  </si>
  <si>
    <t>03.7006</t>
  </si>
  <si>
    <t>03.7007</t>
  </si>
  <si>
    <t>03.7008</t>
  </si>
  <si>
    <t>03.7010</t>
  </si>
  <si>
    <t>03.7011</t>
  </si>
  <si>
    <t>03.7012</t>
  </si>
  <si>
    <t>03.7013</t>
  </si>
  <si>
    <t>03.7014</t>
  </si>
  <si>
    <t>03.7015</t>
  </si>
  <si>
    <t>03.7016</t>
  </si>
  <si>
    <t>03.7017</t>
  </si>
  <si>
    <t>03.7018</t>
  </si>
  <si>
    <t>03.7019</t>
  </si>
  <si>
    <t>03.7020</t>
  </si>
  <si>
    <t>03.7021</t>
  </si>
  <si>
    <t>03.7022</t>
  </si>
  <si>
    <t>03.7023</t>
  </si>
  <si>
    <t>03.7024</t>
  </si>
  <si>
    <t>03.7025</t>
  </si>
  <si>
    <t>03.7026</t>
  </si>
  <si>
    <t>03.7027</t>
  </si>
  <si>
    <t>03.7028</t>
  </si>
  <si>
    <t>03.7029</t>
  </si>
  <si>
    <t>03.7030</t>
  </si>
  <si>
    <t>03.7031</t>
  </si>
  <si>
    <t>03.7032</t>
  </si>
  <si>
    <t>03.7040</t>
  </si>
  <si>
    <t>03.7041</t>
  </si>
  <si>
    <t>03.7042</t>
  </si>
  <si>
    <t>03.7043</t>
  </si>
  <si>
    <t>03.7044</t>
  </si>
  <si>
    <t>03.7045</t>
  </si>
  <si>
    <t>03.7046</t>
  </si>
  <si>
    <t>03.7047</t>
  </si>
  <si>
    <t>03.7050</t>
  </si>
  <si>
    <t>03.7051</t>
  </si>
  <si>
    <t>03.7052</t>
  </si>
  <si>
    <t>03.5949</t>
  </si>
  <si>
    <t>03.7054</t>
  </si>
  <si>
    <t>03.7060</t>
  </si>
  <si>
    <t>03.7061</t>
  </si>
  <si>
    <t>03.5950</t>
  </si>
  <si>
    <t>03.7070</t>
  </si>
  <si>
    <t>03.7071</t>
  </si>
  <si>
    <t>03.7072</t>
  </si>
  <si>
    <t>03.7073</t>
  </si>
  <si>
    <t>03.7074</t>
  </si>
  <si>
    <t>03.7075</t>
  </si>
  <si>
    <t>03.7076</t>
  </si>
  <si>
    <t>03.7077</t>
  </si>
  <si>
    <t>03.7080</t>
  </si>
  <si>
    <t>03.7081</t>
  </si>
  <si>
    <t>03.7082</t>
  </si>
  <si>
    <t>03.7083</t>
  </si>
  <si>
    <t>03.7084</t>
  </si>
  <si>
    <t>03.7090</t>
  </si>
  <si>
    <t>03.7091</t>
  </si>
  <si>
    <t>03.7092</t>
  </si>
  <si>
    <t>03.7093</t>
  </si>
  <si>
    <t>03.7094</t>
  </si>
  <si>
    <t>03.7095</t>
  </si>
  <si>
    <t>03.7100</t>
  </si>
  <si>
    <t>03.7101</t>
  </si>
  <si>
    <t>03.7102</t>
  </si>
  <si>
    <t>03.7103</t>
  </si>
  <si>
    <t>03.7110</t>
  </si>
  <si>
    <t>03.7111</t>
  </si>
  <si>
    <t>03.7112</t>
  </si>
  <si>
    <t>03.7113</t>
  </si>
  <si>
    <t>03.7114</t>
  </si>
  <si>
    <t>03.7120</t>
  </si>
  <si>
    <t>03.7121</t>
  </si>
  <si>
    <t>03.7122</t>
  </si>
  <si>
    <t>03.7123</t>
  </si>
  <si>
    <t>03.7124</t>
  </si>
  <si>
    <t>03.7130</t>
  </si>
  <si>
    <t>03.7131</t>
  </si>
  <si>
    <t>03.7132</t>
  </si>
  <si>
    <t>03.7133</t>
  </si>
  <si>
    <t>03.7134</t>
  </si>
  <si>
    <t>03.7135</t>
  </si>
  <si>
    <t>5708997370001</t>
  </si>
  <si>
    <t>Flange kit</t>
  </si>
  <si>
    <t>5708997370018</t>
  </si>
  <si>
    <t>Lens kit</t>
  </si>
  <si>
    <t>5708997370025</t>
  </si>
  <si>
    <t>LED board kit</t>
  </si>
  <si>
    <t>5708997370032</t>
  </si>
  <si>
    <t>5708997370049</t>
  </si>
  <si>
    <t>PC board</t>
  </si>
  <si>
    <t>5708997370056</t>
  </si>
  <si>
    <t>Battery</t>
  </si>
  <si>
    <t>5708997370063</t>
  </si>
  <si>
    <t>Rear cover kit</t>
  </si>
  <si>
    <t>5708997370070</t>
  </si>
  <si>
    <t>DC cover</t>
  </si>
  <si>
    <t>5708997370087</t>
  </si>
  <si>
    <t>Bracket kit</t>
  </si>
  <si>
    <t>5708997370100</t>
  </si>
  <si>
    <t>5708997370117</t>
  </si>
  <si>
    <t>5708997370124</t>
  </si>
  <si>
    <t>5708997370131</t>
  </si>
  <si>
    <t>5708997370148</t>
  </si>
  <si>
    <t>5708997370155</t>
  </si>
  <si>
    <t>Switch board</t>
  </si>
  <si>
    <t>5708997370162</t>
  </si>
  <si>
    <t>Type C board</t>
  </si>
  <si>
    <t>5708997370179</t>
  </si>
  <si>
    <t>5708997370186</t>
  </si>
  <si>
    <t>5708997370193</t>
  </si>
  <si>
    <t>5708997370209</t>
  </si>
  <si>
    <t>5708997370216</t>
  </si>
  <si>
    <t>Flange</t>
  </si>
  <si>
    <t>5708997370223</t>
  </si>
  <si>
    <t>5708997370230</t>
  </si>
  <si>
    <t>5708997370247</t>
  </si>
  <si>
    <t>5708997370254</t>
  </si>
  <si>
    <t>5708997370261</t>
  </si>
  <si>
    <t>Driver</t>
  </si>
  <si>
    <t>5708997370278</t>
  </si>
  <si>
    <t>5708997370285</t>
  </si>
  <si>
    <t>5708997370292</t>
  </si>
  <si>
    <t>Connector kit</t>
  </si>
  <si>
    <t>5708997370308</t>
  </si>
  <si>
    <t>Cable gland</t>
  </si>
  <si>
    <t>5708997370315</t>
  </si>
  <si>
    <t>Cable EU</t>
  </si>
  <si>
    <t>5708997370322</t>
  </si>
  <si>
    <t>Cable strap</t>
  </si>
  <si>
    <t>5708997370407</t>
  </si>
  <si>
    <t>5708997370414</t>
  </si>
  <si>
    <t>5708997370421</t>
  </si>
  <si>
    <t>5708997370438</t>
  </si>
  <si>
    <t>5708997370445</t>
  </si>
  <si>
    <t>5708997370452</t>
  </si>
  <si>
    <t>5708997370469</t>
  </si>
  <si>
    <t>5708997370476</t>
  </si>
  <si>
    <t>5708997370506</t>
  </si>
  <si>
    <t>5708997370513</t>
  </si>
  <si>
    <t>5708997370520</t>
  </si>
  <si>
    <t>Switch board kit</t>
  </si>
  <si>
    <t>5708997359495</t>
  </si>
  <si>
    <t>Power supply, 24V, 1,5A</t>
  </si>
  <si>
    <t>5708997370544</t>
  </si>
  <si>
    <t>Connector kit male</t>
  </si>
  <si>
    <t>5708997370605</t>
  </si>
  <si>
    <t>5708997370612</t>
  </si>
  <si>
    <t>5708997359501</t>
  </si>
  <si>
    <t>Power supply, 24V, 2A</t>
  </si>
  <si>
    <t>5708997370704</t>
  </si>
  <si>
    <t>5708997370711</t>
  </si>
  <si>
    <t>5708997370728</t>
  </si>
  <si>
    <t>5708997370735</t>
  </si>
  <si>
    <t>5708997370742</t>
  </si>
  <si>
    <t>5708997370759</t>
  </si>
  <si>
    <t>5708997370766</t>
  </si>
  <si>
    <t>5708997370773</t>
  </si>
  <si>
    <t>5708997370803</t>
  </si>
  <si>
    <t>Housing</t>
  </si>
  <si>
    <t>5708997370810</t>
  </si>
  <si>
    <t>5708997370827</t>
  </si>
  <si>
    <t>5708997370834</t>
  </si>
  <si>
    <t>5708997370841</t>
  </si>
  <si>
    <t>5708997370902</t>
  </si>
  <si>
    <t>Housing kit</t>
  </si>
  <si>
    <t>5708997370919</t>
  </si>
  <si>
    <t>PC board and LED board</t>
  </si>
  <si>
    <t>5708997370926</t>
  </si>
  <si>
    <t>Clip and hook kit</t>
  </si>
  <si>
    <t>5708997370933</t>
  </si>
  <si>
    <t>Charging base kit</t>
  </si>
  <si>
    <t>5708997370940</t>
  </si>
  <si>
    <t>5708997370957</t>
  </si>
  <si>
    <t>5708997371008</t>
  </si>
  <si>
    <t>5708997371015</t>
  </si>
  <si>
    <t>5708997371022</t>
  </si>
  <si>
    <t>5708997371039</t>
  </si>
  <si>
    <t>5708997371107</t>
  </si>
  <si>
    <t>Handle kit</t>
  </si>
  <si>
    <t>5708997371114</t>
  </si>
  <si>
    <t>Switch button</t>
  </si>
  <si>
    <t>5708997371121</t>
  </si>
  <si>
    <t>5708997371138</t>
  </si>
  <si>
    <t>5708997371145</t>
  </si>
  <si>
    <t>Lamp head kit</t>
  </si>
  <si>
    <t>5708997371206</t>
  </si>
  <si>
    <t>5708997371213</t>
  </si>
  <si>
    <t>5708997371220</t>
  </si>
  <si>
    <t>5708997371237</t>
  </si>
  <si>
    <t>5708997371244</t>
  </si>
  <si>
    <t>5708997371305</t>
  </si>
  <si>
    <t>Front cover</t>
  </si>
  <si>
    <t>5708997371312</t>
  </si>
  <si>
    <t>5708997371329</t>
  </si>
  <si>
    <t>Control kit</t>
  </si>
  <si>
    <t>5708997371336</t>
  </si>
  <si>
    <t>Headband</t>
  </si>
  <si>
    <t>5708997371343</t>
  </si>
  <si>
    <t>5708997371350</t>
  </si>
  <si>
    <t>03.5432</t>
  </si>
  <si>
    <t>SCANGRIP TRIPOD NEUTRAL</t>
  </si>
  <si>
    <t>5708997354322</t>
  </si>
  <si>
    <t>03.5686</t>
  </si>
  <si>
    <t>5708997356869</t>
  </si>
  <si>
    <t>SCANGRIP TRIPOD 2 m NEUTRAL</t>
  </si>
  <si>
    <t>03.5617AU</t>
  </si>
  <si>
    <t>5708997005606</t>
  </si>
  <si>
    <t>49.0584</t>
  </si>
  <si>
    <t>5708997905845</t>
  </si>
  <si>
    <t>03.5283</t>
  </si>
  <si>
    <t>Junction box</t>
  </si>
  <si>
    <t>5708997352830</t>
  </si>
  <si>
    <t>03.5677</t>
  </si>
  <si>
    <t>5708997356777</t>
  </si>
  <si>
    <t>STARMATCH</t>
  </si>
  <si>
    <t>03.5956</t>
  </si>
  <si>
    <t>03.5957</t>
  </si>
  <si>
    <t>03.5959</t>
  </si>
  <si>
    <t>5708997359594</t>
  </si>
  <si>
    <t>USB-C BATTERY 18650</t>
  </si>
  <si>
    <t>5708997359563</t>
  </si>
  <si>
    <t>5708997359570</t>
  </si>
  <si>
    <t>QUICK-MOUNT</t>
  </si>
  <si>
    <t>03.5962</t>
  </si>
  <si>
    <t>POWER BANK</t>
  </si>
  <si>
    <t>5708997359624</t>
  </si>
  <si>
    <t>03.5963</t>
  </si>
  <si>
    <t>Adapter for TRIPOD 2M</t>
  </si>
  <si>
    <t xml:space="preserve">03.5958 </t>
  </si>
  <si>
    <t xml:space="preserve">  </t>
  </si>
  <si>
    <t xml:space="preserve">C_ </t>
  </si>
  <si>
    <t xml:space="preserve">03.5952  </t>
  </si>
  <si>
    <t xml:space="preserve">Headband for FLEXWEAR </t>
  </si>
  <si>
    <t xml:space="preserve">Cap mount </t>
  </si>
  <si>
    <t xml:space="preserve">5708997359587 </t>
  </si>
  <si>
    <t>03.5816</t>
  </si>
  <si>
    <t>ROPE LIGHT on reel</t>
  </si>
  <si>
    <t>5708997358160</t>
  </si>
  <si>
    <t>03.5961</t>
  </si>
  <si>
    <t>5708997359617</t>
  </si>
  <si>
    <t>ROPE LIGHT REEL</t>
  </si>
  <si>
    <t>03.5818</t>
  </si>
  <si>
    <t>03.5819</t>
  </si>
  <si>
    <t>03.5820</t>
  </si>
  <si>
    <t>ROPE LIGHT 15</t>
  </si>
  <si>
    <t>ROPE LIGHT 25</t>
  </si>
  <si>
    <t>ROPE LIGHT 50</t>
  </si>
  <si>
    <t>N</t>
  </si>
  <si>
    <t>5708997358184</t>
  </si>
  <si>
    <t>5708997358191</t>
  </si>
  <si>
    <t>5708997358207</t>
  </si>
  <si>
    <t>Net</t>
  </si>
  <si>
    <t>03.6107C</t>
  </si>
  <si>
    <t>TOWER 8 CONNECT</t>
  </si>
  <si>
    <t>5708997008010</t>
  </si>
  <si>
    <t>03.5663</t>
  </si>
  <si>
    <t>5708997356630</t>
  </si>
  <si>
    <t xml:space="preserve">I-MATCH 4 </t>
  </si>
  <si>
    <t>5708997359631</t>
  </si>
  <si>
    <t>03.5952</t>
  </si>
  <si>
    <t>03.5621</t>
  </si>
  <si>
    <t>HORIZON</t>
  </si>
  <si>
    <t>5708997356210</t>
  </si>
  <si>
    <t>03.5964</t>
  </si>
  <si>
    <t>SPIRAL CABLE FOR POWER BANK</t>
  </si>
  <si>
    <t>5708997359648</t>
  </si>
  <si>
    <t>03.5967</t>
  </si>
  <si>
    <t>CABLE C+R</t>
  </si>
  <si>
    <t>5708997359679</t>
  </si>
  <si>
    <t>03.5968</t>
  </si>
  <si>
    <t>Last update:</t>
  </si>
  <si>
    <t>5708997359686</t>
  </si>
  <si>
    <t>Filter for UV GUN</t>
  </si>
  <si>
    <t>03.5258</t>
  </si>
  <si>
    <t>03.5913</t>
  </si>
  <si>
    <t>03.5918</t>
  </si>
  <si>
    <t>03.5929</t>
  </si>
  <si>
    <t>03.5965</t>
  </si>
  <si>
    <t>03.5966</t>
  </si>
  <si>
    <t>Junction box black 2-POST</t>
  </si>
  <si>
    <t>BATTERY 3,65V / 4000 mAh</t>
  </si>
  <si>
    <t>BATTERY 3,7 V / 2600 mAh</t>
  </si>
  <si>
    <t>3-step CCT rocker switch</t>
  </si>
  <si>
    <t>Headband for UNIMATCH</t>
  </si>
  <si>
    <t>Headband for I-MATCH 4</t>
  </si>
  <si>
    <t>5708997352588</t>
  </si>
  <si>
    <t>5708997359136</t>
  </si>
  <si>
    <t>5708997359181</t>
  </si>
  <si>
    <t>5708997359297</t>
  </si>
  <si>
    <t>5708997359655</t>
  </si>
  <si>
    <t>5708997359662</t>
  </si>
  <si>
    <t>2026 (EUR)</t>
  </si>
  <si>
    <t>2026 (DKK)</t>
  </si>
  <si>
    <t>2026 (USD)</t>
  </si>
  <si>
    <t>2026 Net (EUR)</t>
  </si>
  <si>
    <t>2026 Net (DKK)</t>
  </si>
  <si>
    <t>2026 Net (USD)</t>
  </si>
  <si>
    <t>03.5818CH</t>
  </si>
  <si>
    <t>03.5819CH</t>
  </si>
  <si>
    <t>03.5820CH</t>
  </si>
  <si>
    <t>5708997008232</t>
  </si>
  <si>
    <t>5708997008249</t>
  </si>
  <si>
    <t>5708997008256</t>
  </si>
  <si>
    <t>03.5816CH</t>
  </si>
  <si>
    <t>5708997008218</t>
  </si>
  <si>
    <t>03.5816UK</t>
  </si>
  <si>
    <t>5708997008225</t>
  </si>
  <si>
    <t>5708997007846</t>
  </si>
  <si>
    <t>03.5459CH</t>
  </si>
  <si>
    <t>03.5637CH</t>
  </si>
  <si>
    <t>03.5674CAU</t>
  </si>
  <si>
    <t>03.5674CCH</t>
  </si>
  <si>
    <t>03.5674CJPN</t>
  </si>
  <si>
    <t>03.5674CUK</t>
  </si>
  <si>
    <t>03.5674CUS</t>
  </si>
  <si>
    <t>5708997007891</t>
  </si>
  <si>
    <t>5708997007907</t>
  </si>
  <si>
    <t>5708997007914</t>
  </si>
  <si>
    <t>5708997007921</t>
  </si>
  <si>
    <t>5708997007928</t>
  </si>
  <si>
    <t>03.5679CAU</t>
  </si>
  <si>
    <t>03.5679CCH</t>
  </si>
  <si>
    <t>03.5679CJPN</t>
  </si>
  <si>
    <t>03.5679CUK</t>
  </si>
  <si>
    <t>03.5679CUS</t>
  </si>
  <si>
    <t>5708997007945</t>
  </si>
  <si>
    <t>5708997007952</t>
  </si>
  <si>
    <t>5708997007976</t>
  </si>
  <si>
    <t>5708997007969</t>
  </si>
  <si>
    <t>5708997007983</t>
  </si>
  <si>
    <t>03.5803CH.A</t>
  </si>
  <si>
    <t>5708997006429</t>
  </si>
  <si>
    <t>03.5618UK</t>
  </si>
  <si>
    <t>5708997005651</t>
  </si>
  <si>
    <t>03.5673CH</t>
  </si>
  <si>
    <t>5708997006153</t>
  </si>
  <si>
    <t>SPAREPARTS</t>
  </si>
  <si>
    <t>49.0606</t>
  </si>
  <si>
    <t xml:space="preserve">DEMO BOX with FOR LIFE Handlamps </t>
  </si>
  <si>
    <t>5708997906064</t>
  </si>
  <si>
    <t>20.0000</t>
  </si>
  <si>
    <t>20.0001</t>
  </si>
  <si>
    <t>20.0002</t>
  </si>
  <si>
    <t>20.0003</t>
  </si>
  <si>
    <t>20.0004</t>
  </si>
  <si>
    <t>20.0005</t>
  </si>
  <si>
    <t>20.0006</t>
  </si>
  <si>
    <t>20.0007</t>
  </si>
  <si>
    <t>20.0008</t>
  </si>
  <si>
    <t>20.0009</t>
  </si>
  <si>
    <t>20.0010</t>
  </si>
  <si>
    <t>20.0011</t>
  </si>
  <si>
    <t>20.0012</t>
  </si>
  <si>
    <t>20.0015</t>
  </si>
  <si>
    <t>Let your passion shine T-shirt, S</t>
  </si>
  <si>
    <t>Let your passion shine T-shirt, M</t>
  </si>
  <si>
    <t>Let your passion shine T-shirt, L</t>
  </si>
  <si>
    <t>Let your passion shine T-shirt, XL</t>
  </si>
  <si>
    <t>Let your passion shine T-shirt, XXL</t>
  </si>
  <si>
    <t>Let your passion shine T-shirt, 3XXL</t>
  </si>
  <si>
    <t>Let your passion shine Hoodie, S</t>
  </si>
  <si>
    <t>Let your passion shine Cap, one size</t>
  </si>
  <si>
    <t>Let your passion shine Hoodie, M</t>
  </si>
  <si>
    <t>Let your passion shine Hoodie, L</t>
  </si>
  <si>
    <t>Let your passion shine Hoodie, XL</t>
  </si>
  <si>
    <t>Let your passion shine Hoodie, XXL</t>
  </si>
  <si>
    <t>Let your passion shine Hoodie, 3XL</t>
  </si>
  <si>
    <t>Let your passion shine Hoodie, 4XL</t>
  </si>
  <si>
    <t>5708997300008</t>
  </si>
  <si>
    <t>5708997300015</t>
  </si>
  <si>
    <t>5708997300022</t>
  </si>
  <si>
    <t>5708997300039</t>
  </si>
  <si>
    <t>5708997300046</t>
  </si>
  <si>
    <t>5708997300053</t>
  </si>
  <si>
    <t>5708997300060</t>
  </si>
  <si>
    <t>5708997300077</t>
  </si>
  <si>
    <t>5708997300084</t>
  </si>
  <si>
    <t>5708997300091</t>
  </si>
  <si>
    <t>5708997300107</t>
  </si>
  <si>
    <t>5708997300114</t>
  </si>
  <si>
    <t>5708997300121</t>
  </si>
  <si>
    <t>5708997300152</t>
  </si>
  <si>
    <t>03.5625</t>
  </si>
  <si>
    <t>SPRAY MATCH</t>
  </si>
  <si>
    <t>5708997356258</t>
  </si>
  <si>
    <t>03.5977</t>
  </si>
  <si>
    <t>PROTECTIVE LENS COVER</t>
  </si>
  <si>
    <t>5708997359778</t>
  </si>
  <si>
    <t>CAS CHARGER SC36</t>
  </si>
  <si>
    <t xml:space="preserve">CAS BATTERY 5.2Ah + CAS SC36 CHARGER </t>
  </si>
  <si>
    <t>03.5960</t>
  </si>
  <si>
    <t>Mounting screw kit</t>
  </si>
  <si>
    <t>5708997359600</t>
  </si>
  <si>
    <t>03.5975</t>
  </si>
  <si>
    <t>Vehicle C+R charging kit</t>
  </si>
  <si>
    <t>5708997359754</t>
  </si>
  <si>
    <t>03.5825</t>
  </si>
  <si>
    <t>5708997358252</t>
  </si>
  <si>
    <t>03.5398</t>
  </si>
  <si>
    <t>Lobe knob yellow M8 x 1,25 mm</t>
  </si>
  <si>
    <t>5708997353981</t>
  </si>
  <si>
    <t>03.5271</t>
  </si>
  <si>
    <t>5708997352717</t>
  </si>
  <si>
    <t>End cap</t>
  </si>
  <si>
    <t>03.5979</t>
  </si>
  <si>
    <t>Clip small including base</t>
  </si>
  <si>
    <t>5708997359792</t>
  </si>
  <si>
    <t>Clip big including base</t>
  </si>
  <si>
    <t>03.5980</t>
  </si>
  <si>
    <t>5708997359808</t>
  </si>
  <si>
    <r>
      <t>2026 prices valid on orders received from</t>
    </r>
    <r>
      <rPr>
        <i/>
        <sz val="11"/>
        <color rgb="FFFF0000"/>
        <rFont val="Calibri"/>
        <family val="2"/>
        <scheme val="minor"/>
      </rPr>
      <t xml:space="preserve"> 01-07-2026 New List Price on MAGNET VICE JAWS</t>
    </r>
  </si>
  <si>
    <t>03.5285</t>
  </si>
  <si>
    <t>300 mm. connection cable</t>
  </si>
  <si>
    <t>5708997352854</t>
  </si>
  <si>
    <t>End 30-06-2026 (EUR)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</si>
</sst>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theme="4"/>
      <name val="Calibri"/>
      <family val="2"/>
      <scheme val="minor"/>
    </font>
    <font>
      <b/>
      <sz val="11"/>
      <color theme="4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323133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6B7C81"/>
        <bgColor indexed="64"/>
      </patternFill>
    </fill>
    <fill>
      <patternFill patternType="solid">
        <fgColor rgb="FFB91E2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9">
    <xf numFmtId="0" fontId="0" fillId="0" borderId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2" fillId="0" borderId="0"/>
    <xf numFmtId="0" fontId="2" fillId="0" borderId="0"/>
    <xf numFmtId="0" fontId="15" fillId="0" borderId="0"/>
    <xf numFmtId="0" fontId="16" fillId="0" borderId="0" applyNumberFormat="0" applyFill="0" applyBorder="0" applyAlignment="0" applyProtection="0"/>
    <xf numFmtId="0" fontId="2" fillId="0" borderId="0"/>
    <xf numFmtId="0" fontId="17" fillId="0" borderId="0"/>
  </cellStyleXfs>
  <cellXfs count="120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left" indent="1"/>
    </xf>
    <xf numFmtId="0" fontId="0" fillId="0" borderId="2" xfId="0" applyBorder="1" applyAlignment="1">
      <alignment horizontal="left" indent="1"/>
    </xf>
    <xf numFmtId="0" fontId="3" fillId="2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/>
    </xf>
    <xf numFmtId="0" fontId="3" fillId="2" borderId="0" xfId="0" applyFont="1" applyFill="1" applyAlignment="1">
      <alignment horizontal="left" indent="1"/>
    </xf>
    <xf numFmtId="4" fontId="0" fillId="0" borderId="1" xfId="0" applyNumberFormat="1" applyBorder="1" applyAlignment="1">
      <alignment horizontal="right"/>
    </xf>
    <xf numFmtId="4" fontId="0" fillId="0" borderId="2" xfId="0" applyNumberFormat="1" applyBorder="1" applyAlignment="1">
      <alignment horizontal="right"/>
    </xf>
    <xf numFmtId="0" fontId="4" fillId="4" borderId="0" xfId="0" applyFont="1" applyFill="1"/>
    <xf numFmtId="0" fontId="0" fillId="4" borderId="0" xfId="0" applyFill="1"/>
    <xf numFmtId="0" fontId="5" fillId="4" borderId="0" xfId="0" applyFont="1" applyFill="1"/>
    <xf numFmtId="0" fontId="6" fillId="0" borderId="0" xfId="0" applyFont="1"/>
    <xf numFmtId="0" fontId="0" fillId="0" borderId="0" xfId="0" quotePrefix="1"/>
    <xf numFmtId="10" fontId="0" fillId="6" borderId="7" xfId="0" applyNumberFormat="1" applyFill="1" applyBorder="1"/>
    <xf numFmtId="0" fontId="0" fillId="4" borderId="8" xfId="0" applyFill="1" applyBorder="1"/>
    <xf numFmtId="0" fontId="0" fillId="4" borderId="6" xfId="0" applyFill="1" applyBorder="1"/>
    <xf numFmtId="0" fontId="0" fillId="4" borderId="5" xfId="0" applyFill="1" applyBorder="1"/>
    <xf numFmtId="0" fontId="7" fillId="4" borderId="3" xfId="0" applyFont="1" applyFill="1" applyBorder="1"/>
    <xf numFmtId="49" fontId="0" fillId="0" borderId="0" xfId="0" applyNumberFormat="1"/>
    <xf numFmtId="49" fontId="0" fillId="0" borderId="0" xfId="0" quotePrefix="1" applyNumberFormat="1"/>
    <xf numFmtId="0" fontId="3" fillId="0" borderId="0" xfId="0" applyFont="1"/>
    <xf numFmtId="0" fontId="1" fillId="3" borderId="0" xfId="0" applyFont="1" applyFill="1" applyAlignment="1">
      <alignment horizontal="left"/>
    </xf>
    <xf numFmtId="0" fontId="6" fillId="4" borderId="0" xfId="0" applyFont="1" applyFill="1"/>
    <xf numFmtId="0" fontId="8" fillId="4" borderId="0" xfId="2" applyFill="1"/>
    <xf numFmtId="10" fontId="0" fillId="0" borderId="1" xfId="0" applyNumberFormat="1" applyBorder="1" applyAlignment="1">
      <alignment horizontal="right"/>
    </xf>
    <xf numFmtId="10" fontId="0" fillId="0" borderId="2" xfId="0" applyNumberFormat="1" applyBorder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10" fontId="0" fillId="6" borderId="10" xfId="0" applyNumberFormat="1" applyFill="1" applyBorder="1"/>
    <xf numFmtId="0" fontId="6" fillId="4" borderId="0" xfId="0" applyFont="1" applyFill="1" applyAlignment="1">
      <alignment horizontal="left" vertical="center"/>
    </xf>
    <xf numFmtId="0" fontId="6" fillId="4" borderId="0" xfId="0" applyFont="1" applyFill="1" applyAlignment="1">
      <alignment vertic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0" fillId="0" borderId="0" xfId="0" applyFont="1"/>
    <xf numFmtId="0" fontId="0" fillId="0" borderId="2" xfId="0" applyBorder="1" applyAlignment="1">
      <alignment horizontal="center"/>
    </xf>
    <xf numFmtId="49" fontId="0" fillId="0" borderId="0" xfId="3" applyNumberFormat="1" applyFont="1" applyAlignment="1">
      <alignment horizontal="left"/>
    </xf>
    <xf numFmtId="0" fontId="0" fillId="0" borderId="0" xfId="3" applyFont="1" applyAlignment="1">
      <alignment horizontal="left" vertical="center"/>
    </xf>
    <xf numFmtId="49" fontId="0" fillId="0" borderId="0" xfId="3" applyNumberFormat="1" applyFont="1" applyAlignment="1">
      <alignment horizontal="left" vertical="center"/>
    </xf>
    <xf numFmtId="10" fontId="0" fillId="0" borderId="0" xfId="1" applyNumberFormat="1" applyFont="1" applyAlignment="1">
      <alignment horizontal="righ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top"/>
    </xf>
    <xf numFmtId="49" fontId="0" fillId="0" borderId="0" xfId="3" applyNumberFormat="1" applyFont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quotePrefix="1" applyAlignment="1">
      <alignment vertical="top"/>
    </xf>
    <xf numFmtId="49" fontId="0" fillId="0" borderId="0" xfId="3" applyNumberFormat="1" applyFont="1" applyAlignment="1">
      <alignment horizontal="left" vertical="top"/>
    </xf>
    <xf numFmtId="0" fontId="2" fillId="0" borderId="0" xfId="0" applyFont="1" applyAlignment="1">
      <alignment vertical="top"/>
    </xf>
    <xf numFmtId="49" fontId="2" fillId="0" borderId="0" xfId="3" applyNumberFormat="1" applyAlignment="1">
      <alignment vertical="top"/>
    </xf>
    <xf numFmtId="49" fontId="14" fillId="0" borderId="0" xfId="0" applyNumberFormat="1" applyFont="1" applyAlignment="1">
      <alignment vertical="top"/>
    </xf>
    <xf numFmtId="0" fontId="0" fillId="0" borderId="0" xfId="3" applyFont="1" applyAlignment="1">
      <alignment horizontal="left"/>
    </xf>
    <xf numFmtId="0" fontId="13" fillId="0" borderId="0" xfId="0" applyFont="1" applyAlignment="1">
      <alignment horizontal="left"/>
    </xf>
    <xf numFmtId="0" fontId="0" fillId="0" borderId="0" xfId="4" applyFont="1" applyAlignment="1">
      <alignment horizontal="left" wrapText="1"/>
    </xf>
    <xf numFmtId="0" fontId="13" fillId="0" borderId="0" xfId="3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/>
    </xf>
    <xf numFmtId="49" fontId="0" fillId="0" borderId="0" xfId="0" applyNumberFormat="1" applyAlignment="1">
      <alignment vertical="center"/>
    </xf>
    <xf numFmtId="49" fontId="0" fillId="0" borderId="0" xfId="3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7" borderId="13" xfId="0" applyFont="1" applyFill="1" applyBorder="1" applyAlignment="1">
      <alignment horizontal="center"/>
    </xf>
    <xf numFmtId="10" fontId="0" fillId="0" borderId="0" xfId="1" applyNumberFormat="1" applyFont="1" applyBorder="1" applyAlignment="1">
      <alignment horizontal="center"/>
    </xf>
    <xf numFmtId="4" fontId="17" fillId="0" borderId="0" xfId="8" applyNumberFormat="1" applyAlignment="1">
      <alignment horizontal="right"/>
    </xf>
    <xf numFmtId="4" fontId="0" fillId="0" borderId="0" xfId="0" applyNumberFormat="1" applyAlignment="1">
      <alignment horizontal="right"/>
    </xf>
    <xf numFmtId="49" fontId="1" fillId="8" borderId="12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4" fontId="1" fillId="11" borderId="11" xfId="0" applyNumberFormat="1" applyFont="1" applyFill="1" applyBorder="1"/>
    <xf numFmtId="4" fontId="1" fillId="10" borderId="13" xfId="0" applyNumberFormat="1" applyFont="1" applyFill="1" applyBorder="1"/>
    <xf numFmtId="49" fontId="17" fillId="0" borderId="0" xfId="8" applyNumberFormat="1"/>
    <xf numFmtId="4" fontId="0" fillId="0" borderId="0" xfId="1" applyNumberFormat="1" applyFont="1" applyAlignment="1"/>
    <xf numFmtId="4" fontId="0" fillId="0" borderId="0" xfId="1" applyNumberFormat="1" applyFont="1" applyAlignment="1">
      <alignment horizontal="right"/>
    </xf>
    <xf numFmtId="49" fontId="0" fillId="0" borderId="0" xfId="0" quotePrefix="1" applyNumberFormat="1" applyAlignment="1">
      <alignment horizontal="left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right"/>
    </xf>
    <xf numFmtId="2" fontId="0" fillId="0" borderId="0" xfId="0" applyNumberFormat="1"/>
    <xf numFmtId="2" fontId="3" fillId="2" borderId="0" xfId="0" applyNumberFormat="1" applyFont="1" applyFill="1"/>
    <xf numFmtId="2" fontId="3" fillId="2" borderId="0" xfId="0" applyNumberFormat="1" applyFont="1" applyFill="1" applyAlignment="1">
      <alignment horizontal="left" indent="1"/>
    </xf>
    <xf numFmtId="2" fontId="0" fillId="0" borderId="0" xfId="0" applyNumberFormat="1" applyAlignment="1">
      <alignment horizontal="left"/>
    </xf>
    <xf numFmtId="4" fontId="0" fillId="7" borderId="0" xfId="0" applyNumberFormat="1" applyFill="1"/>
    <xf numFmtId="4" fontId="0" fillId="4" borderId="0" xfId="0" applyNumberFormat="1" applyFill="1"/>
    <xf numFmtId="4" fontId="8" fillId="4" borderId="0" xfId="2" applyNumberFormat="1" applyFill="1"/>
    <xf numFmtId="4" fontId="6" fillId="4" borderId="0" xfId="0" applyNumberFormat="1" applyFont="1" applyFill="1" applyAlignment="1">
      <alignment vertical="center"/>
    </xf>
    <xf numFmtId="4" fontId="0" fillId="4" borderId="4" xfId="0" applyNumberFormat="1" applyFill="1" applyBorder="1" applyAlignment="1">
      <alignment horizontal="right"/>
    </xf>
    <xf numFmtId="4" fontId="0" fillId="4" borderId="0" xfId="0" applyNumberFormat="1" applyFill="1" applyAlignment="1">
      <alignment horizontal="right"/>
    </xf>
    <xf numFmtId="4" fontId="0" fillId="4" borderId="9" xfId="0" applyNumberFormat="1" applyFill="1" applyBorder="1" applyAlignment="1">
      <alignment horizontal="right"/>
    </xf>
    <xf numFmtId="4" fontId="10" fillId="0" borderId="0" xfId="0" applyNumberFormat="1" applyFont="1" applyAlignment="1">
      <alignment horizontal="right"/>
    </xf>
    <xf numFmtId="4" fontId="6" fillId="4" borderId="0" xfId="0" applyNumberFormat="1" applyFont="1" applyFill="1" applyAlignment="1">
      <alignment horizontal="right" vertical="center"/>
    </xf>
    <xf numFmtId="49" fontId="18" fillId="0" borderId="0" xfId="3" applyNumberFormat="1" applyFont="1"/>
    <xf numFmtId="3" fontId="13" fillId="0" borderId="0" xfId="0" quotePrefix="1" applyNumberFormat="1" applyFont="1" applyAlignment="1">
      <alignment horizontal="left"/>
    </xf>
    <xf numFmtId="0" fontId="13" fillId="0" borderId="0" xfId="0" quotePrefix="1" applyFont="1" applyAlignment="1">
      <alignment horizontal="left"/>
    </xf>
    <xf numFmtId="10" fontId="0" fillId="6" borderId="0" xfId="1" applyNumberFormat="1" applyFont="1" applyFill="1" applyAlignment="1">
      <alignment horizontal="right"/>
    </xf>
    <xf numFmtId="10" fontId="0" fillId="6" borderId="9" xfId="1" applyNumberFormat="1" applyFont="1" applyFill="1" applyBorder="1" applyAlignment="1">
      <alignment horizontal="right"/>
    </xf>
    <xf numFmtId="49" fontId="2" fillId="0" borderId="0" xfId="3" applyNumberFormat="1" applyAlignment="1">
      <alignment horizontal="left" vertical="center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49" fontId="2" fillId="0" borderId="0" xfId="3" applyNumberFormat="1"/>
    <xf numFmtId="0" fontId="19" fillId="13" borderId="0" xfId="0" applyFont="1" applyFill="1" applyAlignment="1">
      <alignment horizontal="center"/>
    </xf>
    <xf numFmtId="14" fontId="19" fillId="13" borderId="0" xfId="0" applyNumberFormat="1" applyFont="1" applyFill="1" applyAlignment="1">
      <alignment horizontal="center" vertical="top"/>
    </xf>
    <xf numFmtId="0" fontId="0" fillId="0" borderId="0" xfId="0" applyAlignment="1">
      <alignment wrapText="1"/>
    </xf>
    <xf numFmtId="4" fontId="0" fillId="0" borderId="0" xfId="0" applyNumberFormat="1" applyAlignment="1">
      <alignment horizontal="left"/>
    </xf>
    <xf numFmtId="4" fontId="0" fillId="12" borderId="0" xfId="0" applyNumberFormat="1" applyFill="1"/>
    <xf numFmtId="3" fontId="0" fillId="0" borderId="0" xfId="0" applyNumberFormat="1" applyAlignment="1">
      <alignment horizontal="left"/>
    </xf>
    <xf numFmtId="4" fontId="0" fillId="14" borderId="0" xfId="0" applyNumberFormat="1" applyFill="1"/>
    <xf numFmtId="4" fontId="0" fillId="0" borderId="0" xfId="0" applyNumberFormat="1" applyFill="1"/>
    <xf numFmtId="3" fontId="0" fillId="0" borderId="0" xfId="0" applyNumberFormat="1" applyFill="1" applyAlignment="1">
      <alignment horizontal="left"/>
    </xf>
    <xf numFmtId="0" fontId="0" fillId="0" borderId="0" xfId="0" applyFill="1" applyAlignment="1">
      <alignment horizontal="left" indent="2"/>
    </xf>
    <xf numFmtId="0" fontId="0" fillId="0" borderId="0" xfId="0" applyFill="1"/>
    <xf numFmtId="0" fontId="1" fillId="5" borderId="0" xfId="0" applyFont="1" applyFill="1" applyBorder="1" applyAlignment="1">
      <alignment horizontal="left"/>
    </xf>
    <xf numFmtId="0" fontId="1" fillId="5" borderId="0" xfId="0" applyFont="1" applyFill="1" applyBorder="1"/>
    <xf numFmtId="0" fontId="3" fillId="2" borderId="0" xfId="0" applyFont="1" applyFill="1" applyAlignment="1"/>
    <xf numFmtId="2" fontId="1" fillId="5" borderId="0" xfId="0" applyNumberFormat="1" applyFont="1" applyFill="1" applyBorder="1" applyAlignment="1">
      <alignment horizontal="left"/>
    </xf>
    <xf numFmtId="2" fontId="1" fillId="5" borderId="0" xfId="0" applyNumberFormat="1" applyFont="1" applyFill="1" applyBorder="1"/>
  </cellXfs>
  <cellStyles count="9">
    <cellStyle name="Link" xfId="2" builtinId="8"/>
    <cellStyle name="Link 2" xfId="6" xr:uid="{9F7A3375-CC1C-40DC-A6EB-C64056D7FAE8}"/>
    <cellStyle name="Normal" xfId="0" builtinId="0"/>
    <cellStyle name="Normal 2" xfId="5" xr:uid="{2EC230A4-0886-4A39-BEB3-496ACD8085DC}"/>
    <cellStyle name="Normal 3" xfId="7" xr:uid="{A813B267-BF70-4240-A4CA-47B712D801E5}"/>
    <cellStyle name="Normal 4" xfId="8" xr:uid="{84148A8D-FB19-48F5-8190-33B49D82D168}"/>
    <cellStyle name="Normal_SCANGRIP LIGHTING" xfId="3" xr:uid="{74B0BD9F-8BF7-4438-99AC-6A87F49B64FE}"/>
    <cellStyle name="Normal_SCANGRIP LIGHTING 2" xfId="4" xr:uid="{27586349-9871-4F20-AA8A-D909B9945B1C}"/>
    <cellStyle name="Procent" xfId="1" builtinId="5"/>
  </cellStyles>
  <dxfs count="962"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ill>
        <patternFill patternType="solid">
          <bgColor rgb="FF6B7C81"/>
        </patternFill>
      </fill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top/>
      </border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alignment horizontal="left"/>
    </dxf>
    <dxf>
      <numFmt numFmtId="14" formatCode="0.00%"/>
    </dxf>
    <dxf>
      <alignment horizontal="center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alignment horizontal="right"/>
    </dxf>
    <dxf>
      <alignment horizontal="right"/>
    </dxf>
    <dxf>
      <alignment horizontal="center"/>
    </dxf>
    <dxf>
      <numFmt numFmtId="4" formatCode="#,##0.00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numFmt numFmtId="4" formatCode="#,##0.00"/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ill>
        <patternFill patternType="solid">
          <bgColor rgb="FF6B7C81"/>
        </patternFill>
      </fill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top/>
      </border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numFmt numFmtId="14" formatCode="0.00%"/>
    </dxf>
    <dxf>
      <alignment horizontal="right"/>
    </dxf>
    <dxf>
      <alignment horizontal="right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left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left"/>
    </dxf>
    <dxf>
      <alignment horizontal="center"/>
    </dxf>
    <dxf>
      <alignment horizontal="center"/>
    </dxf>
    <dxf>
      <fill>
        <patternFill>
          <fgColor theme="1"/>
        </patternFill>
      </fill>
      <alignment horizontal="general" vertical="bottom" textRotation="0" wrapText="0" indent="0" justifyLastLine="0" shrinkToFit="0" readingOrder="0"/>
    </dxf>
    <dxf>
      <fill>
        <patternFill>
          <fgColor rgb="FF6B7C81"/>
        </patternFill>
      </fill>
      <alignment horizontal="general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alignment horizontal="center"/>
    </dxf>
    <dxf>
      <border>
        <bottom style="hair">
          <color indexed="64"/>
        </bottom>
      </border>
    </dxf>
    <dxf>
      <border>
        <horizontal style="hair">
          <color auto="1"/>
        </horizontal>
      </border>
    </dxf>
    <dxf>
      <font>
        <color rgb="FFFF0000"/>
      </font>
    </dxf>
    <dxf>
      <font>
        <color rgb="FFFF000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alignment horizontal="right"/>
    </dxf>
    <dxf>
      <alignment horizontal="right"/>
    </dxf>
    <dxf>
      <alignment horizontal="center"/>
    </dxf>
    <dxf>
      <border>
        <bottom style="hair">
          <color auto="1"/>
        </bottom>
        <horizontal style="hair">
          <color auto="1"/>
        </horizontal>
      </border>
    </dxf>
    <dxf>
      <numFmt numFmtId="2" formatCode="0.00"/>
    </dxf>
    <dxf>
      <alignment horizontal="right"/>
    </dxf>
    <dxf>
      <numFmt numFmtId="2" formatCode="0.00"/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numFmt numFmtId="4" formatCode="#,##0.00"/>
    </dxf>
    <dxf>
      <numFmt numFmtId="4" formatCode="#,##0.00"/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ill>
        <patternFill patternType="solid">
          <bgColor rgb="FF6B7C81"/>
        </patternFill>
      </fill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top/>
      </border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alignment horizontal="right"/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alignment horizontal="left"/>
    </dxf>
    <dxf>
      <numFmt numFmtId="14" formatCode="0.00%"/>
    </dxf>
    <dxf>
      <alignment horizontal="center"/>
    </dxf>
    <dxf>
      <fill>
        <patternFill>
          <bgColor theme="0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alignment horizontal="center"/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alignment horizontal="general" vertical="bottom" textRotation="0" wrapText="0" indent="0" justifyLastLine="0" shrinkToFit="0" readingOrder="0"/>
    </dxf>
    <dxf>
      <fill>
        <patternFill patternType="solid">
          <bgColor rgb="FFC00000"/>
        </patternFill>
      </fill>
    </dxf>
    <dxf>
      <font>
        <color theme="0"/>
      </font>
    </dxf>
    <dxf>
      <font>
        <b/>
      </font>
    </dxf>
    <dxf>
      <alignment horizontal="right"/>
    </dxf>
    <dxf>
      <border>
        <bottom style="hair">
          <color auto="1"/>
        </bottom>
      </border>
    </dxf>
    <dxf>
      <border>
        <horizontal style="hair">
          <color auto="1"/>
        </horizontal>
      </border>
    </dxf>
    <dxf>
      <numFmt numFmtId="4" formatCode="#,##0.00"/>
    </dxf>
    <dxf>
      <alignment horizontal="right"/>
    </dxf>
    <dxf>
      <alignment horizontal="center"/>
    </dxf>
    <dxf>
      <border>
        <bottom style="hair">
          <color auto="1"/>
        </bottom>
      </border>
    </dxf>
    <dxf>
      <alignment horizontal="right"/>
    </dxf>
    <dxf>
      <numFmt numFmtId="4" formatCode="#,##0.00"/>
    </dxf>
    <dxf>
      <fill>
        <patternFill patternType="solid">
          <bgColor rgb="FFFFFF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b/>
      </font>
    </dxf>
    <dxf>
      <alignment horizontal="right"/>
    </dxf>
    <dxf>
      <border>
        <horizontal style="hair">
          <color auto="1"/>
        </horizontal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  <fill>
        <patternFill patternType="none">
          <fgColor indexed="64"/>
          <bgColor auto="1"/>
        </patternFill>
      </fill>
    </dxf>
    <dxf>
      <numFmt numFmtId="4" formatCode="#,##0.00"/>
      <fill>
        <patternFill patternType="none">
          <fgColor indexed="64"/>
          <bgColor auto="1"/>
        </patternFill>
      </fill>
    </dxf>
    <dxf>
      <numFmt numFmtId="4" formatCode="#,##0.00"/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</dxf>
    <dxf>
      <numFmt numFmtId="0" formatCode="General"/>
    </dxf>
    <dxf>
      <numFmt numFmtId="30" formatCode="@"/>
    </dxf>
    <dxf>
      <numFmt numFmtId="30" formatCode="@"/>
    </dxf>
    <dxf>
      <numFmt numFmtId="4" formatCode="#,##0.00"/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numFmt numFmtId="4" formatCode="#,##0.00"/>
    </dxf>
    <dxf>
      <alignment horizontal="center"/>
    </dxf>
    <dxf>
      <alignment horizontal="right"/>
    </dxf>
    <dxf>
      <alignment horizontal="right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alignment horizontal="center"/>
    </dxf>
    <dxf>
      <numFmt numFmtId="14" formatCode="0.00%"/>
    </dxf>
    <dxf>
      <alignment horizontal="left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border>
        <top/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rgb="FF6B7C81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numFmt numFmtId="4" formatCode="#,##0.00"/>
    </dxf>
    <dxf>
      <numFmt numFmtId="4" formatCode="#,##0.00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numFmt numFmtId="2" formatCode="0.00"/>
    </dxf>
    <dxf>
      <alignment horizontal="right"/>
    </dxf>
    <dxf>
      <numFmt numFmtId="2" formatCode="0.00"/>
    </dxf>
    <dxf>
      <border>
        <bottom style="hair">
          <color auto="1"/>
        </bottom>
        <horizontal style="hair">
          <color auto="1"/>
        </horizontal>
      </border>
    </dxf>
    <dxf>
      <alignment horizontal="center"/>
    </dxf>
    <dxf>
      <alignment horizontal="right"/>
    </dxf>
    <dxf>
      <alignment horizontal="right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rgb="FFFF0000"/>
      </font>
    </dxf>
    <dxf>
      <font>
        <color rgb="FFFF0000"/>
      </font>
    </dxf>
    <dxf>
      <border>
        <horizontal style="hair">
          <color auto="1"/>
        </horizontal>
      </border>
    </dxf>
    <dxf>
      <border>
        <bottom style="hair">
          <color indexed="64"/>
        </bottom>
      </border>
    </dxf>
    <dxf>
      <alignment horizontal="center"/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</border>
    </dxf>
    <dxf>
      <fill>
        <patternFill>
          <fgColor rgb="FF6B7C81"/>
        </patternFill>
      </fill>
      <alignment horizontal="general" vertical="bottom" textRotation="0" wrapText="0" indent="0" justifyLastLine="0" shrinkToFit="0" readingOrder="0"/>
    </dxf>
    <dxf>
      <fill>
        <patternFill>
          <fgColor theme="1"/>
        </patternFill>
      </fill>
      <alignment horizontal="general" vertical="bottom" textRotation="0" wrapText="0" indent="0" justifyLastLine="0" shrinkToFit="0" readingOrder="0"/>
    </dxf>
    <dxf>
      <alignment horizontal="center"/>
    </dxf>
    <dxf>
      <alignment horizontal="center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left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left"/>
    </dxf>
    <dxf>
      <alignment horizontal="right"/>
    </dxf>
    <dxf>
      <alignment horizontal="right"/>
    </dxf>
    <dxf>
      <numFmt numFmtId="14" formatCode="0.00%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border>
        <top/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rgb="FF6B7C81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border>
        <horizontal style="hair">
          <color auto="1"/>
        </horizontal>
      </border>
    </dxf>
    <dxf>
      <alignment horizontal="right"/>
    </dxf>
    <dxf>
      <font>
        <b/>
      </font>
    </dxf>
    <dxf>
      <font>
        <color theme="0"/>
      </font>
    </dxf>
    <dxf>
      <fill>
        <patternFill>
          <bgColor rgb="FFC00000"/>
        </patternFill>
      </fill>
    </dxf>
    <dxf>
      <fill>
        <patternFill patternType="solid">
          <bgColor rgb="FFFFFF00"/>
        </patternFill>
      </fill>
    </dxf>
    <dxf>
      <numFmt numFmtId="4" formatCode="#,##0.00"/>
    </dxf>
    <dxf>
      <alignment horizontal="right"/>
    </dxf>
    <dxf>
      <border>
        <bottom style="hair">
          <color auto="1"/>
        </bottom>
      </border>
    </dxf>
    <dxf>
      <alignment horizontal="center"/>
    </dxf>
    <dxf>
      <alignment horizontal="right"/>
    </dxf>
    <dxf>
      <numFmt numFmtId="4" formatCode="#,##0.00"/>
    </dxf>
    <dxf>
      <border>
        <horizontal style="hair">
          <color auto="1"/>
        </horizontal>
      </border>
    </dxf>
    <dxf>
      <border>
        <bottom style="hair">
          <color auto="1"/>
        </bottom>
      </border>
    </dxf>
    <dxf>
      <alignment horizontal="right"/>
    </dxf>
    <dxf>
      <font>
        <b/>
      </font>
    </dxf>
    <dxf>
      <font>
        <color theme="0"/>
      </font>
    </dxf>
    <dxf>
      <fill>
        <patternFill patternType="solid">
          <bgColor rgb="FFC00000"/>
        </patternFill>
      </fill>
    </dxf>
    <dxf>
      <alignment horizontal="general" vertical="bottom" textRotation="0" wrapText="0" indent="0" justifyLastLine="0" shrinkToFit="0" readingOrder="0"/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border>
        <bottom style="hair">
          <color auto="1"/>
        </bottom>
      </border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alignment horizontal="center"/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alignment horizontal="left"/>
    </dxf>
    <dxf>
      <font>
        <b/>
        <color theme="0"/>
      </font>
      <fill>
        <patternFill patternType="solid">
          <fgColor indexed="64"/>
          <bgColor rgb="FFB91E2B"/>
        </patternFill>
      </fill>
      <alignment horizontal="right"/>
    </dxf>
    <dxf>
      <border>
        <bottom style="hair">
          <color auto="1"/>
        </bottom>
        <horizontal style="hair">
          <color auto="1"/>
        </horizontal>
      </border>
    </dxf>
    <dxf>
      <alignment horizontal="right"/>
    </dxf>
    <dxf>
      <alignment horizontal="right"/>
    </dxf>
    <dxf>
      <font>
        <b/>
        <color theme="0"/>
      </font>
      <fill>
        <patternFill patternType="solid">
          <fgColor indexed="64"/>
          <bgColor rgb="FFB91E2B"/>
        </patternFill>
      </fill>
    </dxf>
    <dxf>
      <border>
        <bottom style="hair">
          <color auto="1"/>
        </bottom>
        <horizontal style="hair">
          <color auto="1"/>
        </horizontal>
      </border>
    </dxf>
    <dxf>
      <border>
        <top/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border>
        <bottom style="hair">
          <color auto="1"/>
        </bottom>
        <horizontal style="hair">
          <color auto="1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rgb="FF6B7C81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color theme="0"/>
      </font>
      <fill>
        <patternFill patternType="solid">
          <bgColor rgb="FFB91E2B"/>
        </patternFill>
      </fill>
    </dxf>
    <dxf>
      <font>
        <b/>
        <i val="0"/>
        <strike val="0"/>
        <color theme="0"/>
      </font>
      <fill>
        <patternFill patternType="solid">
          <bgColor theme="1"/>
        </patternFill>
      </fill>
    </dxf>
  </dxfs>
  <tableStyles count="1" defaultTableStyle="TableStyleMedium2" defaultPivotStyle="PivotStyleLight16">
    <tableStyle name="Pricelist" table="0" count="1" xr9:uid="{BDEB489E-C86F-4BDA-B945-A1D34C253940}">
      <tableStyleElement type="firstRowSubheading" dxfId="961"/>
    </tableStyle>
  </tableStyles>
  <colors>
    <mruColors>
      <color rgb="FFB91E2B"/>
      <color rgb="FF6B7C81"/>
      <color rgb="FFB9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07/relationships/slicerCache" Target="slicerCaches/slicerCache7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microsoft.com/office/2007/relationships/slicerCache" Target="slicerCaches/slicerCache1.xml"/><Relationship Id="rId12" Type="http://schemas.microsoft.com/office/2007/relationships/slicerCache" Target="slicerCaches/slicerCache6.xml"/><Relationship Id="rId17" Type="http://schemas.openxmlformats.org/officeDocument/2006/relationships/styles" Target="styles.xml"/><Relationship Id="rId25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microsoft.com/office/2007/relationships/slicerCache" Target="slicerCaches/slicerCache9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10" Type="http://schemas.microsoft.com/office/2007/relationships/slicerCache" Target="slicerCaches/slicerCache4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microsoft.com/office/2007/relationships/slicerCache" Target="slicerCaches/slicerCache8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34290</xdr:colOff>
      <xdr:row>0</xdr:row>
      <xdr:rowOff>38101</xdr:rowOff>
    </xdr:from>
    <xdr:to>
      <xdr:col>1</xdr:col>
      <xdr:colOff>1939290</xdr:colOff>
      <xdr:row>11</xdr:row>
      <xdr:rowOff>38101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duct_Line 2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Lin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" y="38101"/>
              <a:ext cx="300990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1946910</xdr:colOff>
      <xdr:row>0</xdr:row>
      <xdr:rowOff>72390</xdr:rowOff>
    </xdr:from>
    <xdr:to>
      <xdr:col>3</xdr:col>
      <xdr:colOff>110490</xdr:colOff>
      <xdr:row>11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amily 2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y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67050" y="66675"/>
              <a:ext cx="182880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148590</xdr:colOff>
      <xdr:row>0</xdr:row>
      <xdr:rowOff>72391</xdr:rowOff>
    </xdr:from>
    <xdr:to>
      <xdr:col>3</xdr:col>
      <xdr:colOff>2015490</xdr:colOff>
      <xdr:row>11</xdr:row>
      <xdr:rowOff>72391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ug variant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ug varia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3950" y="57151"/>
              <a:ext cx="184404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>
    <xdr:from>
      <xdr:col>10</xdr:col>
      <xdr:colOff>85725</xdr:colOff>
      <xdr:row>5</xdr:row>
      <xdr:rowOff>171451</xdr:rowOff>
    </xdr:from>
    <xdr:to>
      <xdr:col>12</xdr:col>
      <xdr:colOff>19050</xdr:colOff>
      <xdr:row>11</xdr:row>
      <xdr:rowOff>104776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4B9DA3D3-8480-4569-5B6F-0E6CD848C3BA}"/>
            </a:ext>
          </a:extLst>
        </xdr:cNvPr>
        <xdr:cNvGrpSpPr/>
      </xdr:nvGrpSpPr>
      <xdr:grpSpPr>
        <a:xfrm>
          <a:off x="12811125" y="1133476"/>
          <a:ext cx="1152525" cy="1085850"/>
          <a:chOff x="9029700" y="1885951"/>
          <a:chExt cx="1152525" cy="108585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pic>
        <xdr:nvPicPr>
          <xdr:cNvPr id="5" name="Picture 4">
            <a:extLst>
              <a:ext uri="{FF2B5EF4-FFF2-40B4-BE49-F238E27FC236}">
                <a16:creationId xmlns:a16="http://schemas.microsoft.com/office/drawing/2014/main" id="{E95931B7-92B5-A6DD-A1B8-B1A4B619078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r="19344" b="12989"/>
          <a:stretch/>
        </xdr:blipFill>
        <xdr:spPr>
          <a:xfrm>
            <a:off x="9029700" y="1885951"/>
            <a:ext cx="1152525" cy="1085850"/>
          </a:xfrm>
          <a:prstGeom prst="rect">
            <a:avLst/>
          </a:prstGeom>
        </xdr:spPr>
      </xdr:pic>
      <xdr:sp macro="" textlink="">
        <xdr:nvSpPr>
          <xdr:cNvPr id="6" name="Oval 5">
            <a:extLst>
              <a:ext uri="{FF2B5EF4-FFF2-40B4-BE49-F238E27FC236}">
                <a16:creationId xmlns:a16="http://schemas.microsoft.com/office/drawing/2014/main" id="{E633C596-ED83-76F8-144B-F0A54D92B3BA}"/>
              </a:ext>
            </a:extLst>
          </xdr:cNvPr>
          <xdr:cNvSpPr/>
        </xdr:nvSpPr>
        <xdr:spPr>
          <a:xfrm>
            <a:off x="9153525" y="2133600"/>
            <a:ext cx="466725" cy="685800"/>
          </a:xfrm>
          <a:prstGeom prst="ellipse">
            <a:avLst/>
          </a:prstGeom>
          <a:noFill/>
          <a:ln w="1905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72390</xdr:colOff>
      <xdr:row>0</xdr:row>
      <xdr:rowOff>34291</xdr:rowOff>
    </xdr:from>
    <xdr:to>
      <xdr:col>1</xdr:col>
      <xdr:colOff>1413510</xdr:colOff>
      <xdr:row>11</xdr:row>
      <xdr:rowOff>41911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duct_Line 3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Line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" y="30481"/>
              <a:ext cx="2190749" cy="20307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1604010</xdr:colOff>
      <xdr:row>0</xdr:row>
      <xdr:rowOff>41910</xdr:rowOff>
    </xdr:from>
    <xdr:to>
      <xdr:col>2</xdr:col>
      <xdr:colOff>948690</xdr:colOff>
      <xdr:row>11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amily 3">
              <a:extLst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y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9885" y="47625"/>
              <a:ext cx="181737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986790</xdr:colOff>
      <xdr:row>0</xdr:row>
      <xdr:rowOff>74295</xdr:rowOff>
    </xdr:from>
    <xdr:to>
      <xdr:col>3</xdr:col>
      <xdr:colOff>1710690</xdr:colOff>
      <xdr:row>11</xdr:row>
      <xdr:rowOff>110490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ug variant 1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ug varian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0115" y="74295"/>
              <a:ext cx="1842135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118109</xdr:colOff>
      <xdr:row>0</xdr:row>
      <xdr:rowOff>34291</xdr:rowOff>
    </xdr:from>
    <xdr:to>
      <xdr:col>1</xdr:col>
      <xdr:colOff>1638299</xdr:colOff>
      <xdr:row>11</xdr:row>
      <xdr:rowOff>34291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duct_Line 4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Li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15241"/>
              <a:ext cx="2124075" cy="20307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1710690</xdr:colOff>
      <xdr:row>0</xdr:row>
      <xdr:rowOff>3810</xdr:rowOff>
    </xdr:from>
    <xdr:to>
      <xdr:col>3</xdr:col>
      <xdr:colOff>41910</xdr:colOff>
      <xdr:row>11</xdr:row>
      <xdr:rowOff>34290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amily 4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y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25115" y="11430"/>
              <a:ext cx="182880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152400</xdr:colOff>
      <xdr:row>0</xdr:row>
      <xdr:rowOff>3810</xdr:rowOff>
    </xdr:from>
    <xdr:to>
      <xdr:col>3</xdr:col>
      <xdr:colOff>1985010</xdr:colOff>
      <xdr:row>11</xdr:row>
      <xdr:rowOff>34290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ug variant 2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ug variant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00" y="7620"/>
              <a:ext cx="1844040" cy="2114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ns Henrik Jakobsen" refreshedDate="46139.452900115743" missingItemsLimit="0" createdVersion="6" refreshedVersion="8" minRefreshableVersion="3" recordCount="646" xr:uid="{D38D5110-CBDC-46B0-AA6A-C99483E95FEA}">
  <cacheSource type="worksheet">
    <worksheetSource name="Table1"/>
  </cacheSource>
  <cacheFields count="22">
    <cacheField name="No_" numFmtId="0">
      <sharedItems count="646">
        <s v="03.5102"/>
        <s v="03.5113"/>
        <s v="03.5113N"/>
        <s v="03.5116"/>
        <s v="03.5117"/>
        <s v="03.5118"/>
        <s v="03.5119"/>
        <s v="03.5121"/>
        <s v="03.5122"/>
        <s v="03.5122.01"/>
        <s v="03.5123"/>
        <s v="03.5124"/>
        <s v="03.5125"/>
        <s v="03.5127"/>
        <s v="03.5127N"/>
        <s v="03.5129"/>
        <s v="03.5130"/>
        <s v="03.5131"/>
        <s v="03.5132"/>
        <s v="03.5133"/>
        <s v="03.5134"/>
        <s v="03.5136"/>
        <s v="03.5137"/>
        <s v="03.5138"/>
        <s v="03.5138N"/>
        <s v="03.5139"/>
        <s v="03.5140"/>
        <s v="03.5168"/>
        <s v="03.5169"/>
        <s v="03.5170"/>
        <s v="03.5198"/>
        <s v="03.5200"/>
        <s v="03.5200CH.A"/>
        <s v="03.5200UK.A"/>
        <s v="03.5200US"/>
        <s v="03.5201"/>
        <s v="03.5201CH.A"/>
        <s v="03.5201UK.A"/>
        <s v="03.5201US"/>
        <s v="03.5202"/>
        <s v="03.5202UK.A"/>
        <s v="03.5202US"/>
        <s v="03.5203"/>
        <s v="03.5203UK.A"/>
        <s v="03.5203US"/>
        <s v="03.5213"/>
        <s v="03.5214"/>
        <s v="03.5215"/>
        <s v="03.5216"/>
        <s v="03.5218"/>
        <s v="03.5219"/>
        <s v="03.5221"/>
        <s v="03.5222"/>
        <s v="03.5223"/>
        <s v="03.5224"/>
        <s v="03.5225"/>
        <s v="03.5225UK.A"/>
        <s v="03.5225US"/>
        <s v="03.5229"/>
        <s v="03.5240"/>
        <s v="03.5240AU"/>
        <s v="03.5240CH.A"/>
        <s v="03.5240UK.A"/>
        <s v="03.5240US"/>
        <s v="03.5243"/>
        <s v="03.5243AU"/>
        <s v="03.5243CH.A"/>
        <s v="03.5243UK.A"/>
        <s v="03.5243US"/>
        <s v="03.5244"/>
        <s v="03.5244US"/>
        <s v="03.5246"/>
        <s v="03.5252"/>
        <s v="03.5257"/>
        <s v="03.5258"/>
        <s v="03.5264"/>
        <s v="03.5265"/>
        <s v="03.5265AU"/>
        <s v="03.5265US"/>
        <s v="03.5268"/>
        <s v="03.5268CH"/>
        <s v="03.5269"/>
        <s v="03.5269CH"/>
        <s v="03.5270"/>
        <s v="03.5272"/>
        <s v="03.5273"/>
        <s v="03.5276"/>
        <s v="03.5277"/>
        <s v="03.5279"/>
        <s v="03.5281"/>
        <s v="03.5282"/>
        <s v="03.5283"/>
        <s v="03.5290"/>
        <s v="03.5300"/>
        <s v="03.5301"/>
        <s v="03.5302"/>
        <s v="03.5303"/>
        <s v="03.5305"/>
        <s v="03.5306"/>
        <s v="03.5307"/>
        <s v="03.5308"/>
        <s v="03.5309"/>
        <s v="03.5311"/>
        <s v="03.5312"/>
        <s v="03.5314"/>
        <s v="03.5316"/>
        <s v="03.5317"/>
        <s v="03.5322"/>
        <s v="03.5328"/>
        <s v="03.5330"/>
        <s v="03.5335"/>
        <s v="03.5335AU"/>
        <s v="03.5335UK"/>
        <s v="03.5335US"/>
        <s v="03.5336"/>
        <s v="03.5336AU"/>
        <s v="03.5336UK"/>
        <s v="03.5337"/>
        <s v="03.5338"/>
        <s v="03.5339"/>
        <s v="03.5341"/>
        <s v="03.5342"/>
        <s v="03.5343"/>
        <s v="03.5344"/>
        <s v="03.5345"/>
        <s v="03.5346"/>
        <s v="03.5347"/>
        <s v="03.5348"/>
        <s v="03.5349"/>
        <s v="03.5350"/>
        <s v="03.5351"/>
        <s v="03.5352"/>
        <s v="03.5353"/>
        <s v="03.5353AU"/>
        <s v="03.5353UK"/>
        <s v="03.5353US"/>
        <s v="03.5354"/>
        <s v="03.5355"/>
        <s v="03.5356"/>
        <s v="03.5357"/>
        <s v="03.5358"/>
        <s v="03.5359"/>
        <s v="03.5360"/>
        <s v="03.5363"/>
        <s v="03.5364"/>
        <s v="03.5365"/>
        <s v="03.5366"/>
        <s v="03.5367"/>
        <s v="03.5368"/>
        <s v="03.5371"/>
        <s v="03.5372"/>
        <s v="03.5373"/>
        <s v="03.5373AU"/>
        <s v="03.5373UK"/>
        <s v="03.5373US"/>
        <s v="03.5375"/>
        <s v="03.5376"/>
        <s v="03.5378"/>
        <s v="03.5379"/>
        <s v="03.5381"/>
        <s v="03.5382"/>
        <s v="03.5383"/>
        <s v="03.5384"/>
        <s v="03.5387"/>
        <s v="03.5388"/>
        <s v="03.5389"/>
        <s v="03.5390"/>
        <s v="03.5391"/>
        <s v="03.5392"/>
        <s v="03.5393"/>
        <s v="03.5394"/>
        <s v="03.5395"/>
        <s v="03.5396"/>
        <s v="03.5397"/>
        <s v="03.5400"/>
        <s v="03.5406"/>
        <s v="03.5406CH.A"/>
        <s v="03.5408"/>
        <s v="03.5431"/>
        <s v="03.5432"/>
        <s v="03.5451"/>
        <s v="03.5451CH.A"/>
        <s v="03.5453"/>
        <s v="03.5457"/>
        <s v="03.5459"/>
        <s v="03.5459CH"/>
        <s v="03.5484UK"/>
        <s v="03.5535UK"/>
        <s v="03.5606"/>
        <s v="03.5607"/>
        <s v="03.5609"/>
        <s v="03.5611"/>
        <s v="03.5616"/>
        <s v="03.5617"/>
        <s v="03.5617AU"/>
        <s v="03.5617UK"/>
        <s v="03.5618"/>
        <s v="03.5618CH.A"/>
        <s v="03.5618UK"/>
        <s v="03.5619"/>
        <s v="03.5619CH.A"/>
        <s v="03.5619UK"/>
        <s v="03.5620"/>
        <s v="03.5621"/>
        <s v="03.5627"/>
        <s v="03.5637"/>
        <s v="03.5637CH"/>
        <s v="03.5645"/>
        <s v="03.5650"/>
        <s v="03.5657"/>
        <s v="03.5658"/>
        <s v="03.5659"/>
        <s v="03.5663"/>
        <s v="03.5665"/>
        <s v="03.5666"/>
        <s v="03.5669"/>
        <s v="03.5670"/>
        <s v="03.5671"/>
        <s v="03.5673"/>
        <s v="03.5673CH"/>
        <s v="03.5674C"/>
        <s v="03.5674CAU"/>
        <s v="03.5674CCH"/>
        <s v="03.5674CJPN"/>
        <s v="03.5674CUK"/>
        <s v="03.5674CUS"/>
        <s v="03.5675C"/>
        <s v="03.5676C"/>
        <s v="03.5677"/>
        <s v="03.5679C"/>
        <s v="03.5679CAU"/>
        <s v="03.5679CCH"/>
        <s v="03.5679CJPN"/>
        <s v="03.5679CUK"/>
        <s v="03.5679CUS"/>
        <s v="03.5682"/>
        <s v="03.5684"/>
        <s v="03.5685"/>
        <s v="03.5686"/>
        <s v="03.5690"/>
        <s v="03.5691"/>
        <s v="03.5692"/>
        <s v="03.5693C"/>
        <s v="03.5694C"/>
        <s v="03.5695C"/>
        <s v="03.5696C"/>
        <s v="03.5697C"/>
        <s v="03.5698C"/>
        <s v="03.5699C"/>
        <s v="03.5701C"/>
        <s v="03.5710"/>
        <s v="03.5711"/>
        <s v="03.5712"/>
        <s v="03.5713"/>
        <s v="03.5714"/>
        <s v="03.5715"/>
        <s v="03.5716"/>
        <s v="03.5717"/>
        <s v="03.5718"/>
        <s v="03.5719"/>
        <s v="03.5720"/>
        <s v="03.5721"/>
        <s v="03.5722"/>
        <s v="03.5726"/>
        <s v="03.5727"/>
        <s v="03.5728"/>
        <s v="03.5729"/>
        <s v="03.5730"/>
        <s v="03.5741"/>
        <s v="03.5742"/>
        <s v="03.5745"/>
        <s v="03.5747"/>
        <s v="03.5748"/>
        <s v="03.5749"/>
        <s v="03.5750"/>
        <s v="03.5751"/>
        <s v="03.5752"/>
        <s v="03.5753"/>
        <s v="03.5754"/>
        <s v="03.5756"/>
        <s v="03.5757"/>
        <s v="03.5758"/>
        <s v="03.5759"/>
        <s v="03.5760"/>
        <s v="03.5761"/>
        <s v="03.5762"/>
        <s v="03.5767"/>
        <s v="03.5768"/>
        <s v="03.5769"/>
        <s v="03.5770"/>
        <s v="03.5772"/>
        <s v="03.5775"/>
        <s v="03.5776"/>
        <s v="03.5777"/>
        <s v="03.5778"/>
        <s v="03.5779"/>
        <s v="03.5780"/>
        <s v="03.5782"/>
        <s v="03.5783"/>
        <s v="03.5785"/>
        <s v="03.5786"/>
        <s v="03.5787"/>
        <s v="03.5788"/>
        <s v="03.5789"/>
        <s v="03.5790"/>
        <s v="03.5791"/>
        <s v="03.5792"/>
        <s v="03.5797"/>
        <s v="03.5798"/>
        <s v="03.5799"/>
        <s v="03.5801"/>
        <s v="03.5802"/>
        <s v="03.5803"/>
        <s v="03.5803AU"/>
        <s v="03.5803CH.A"/>
        <s v="03.5803JPN"/>
        <s v="03.5803UK"/>
        <s v="03.5803US"/>
        <s v="03.5810"/>
        <s v="03.5811"/>
        <s v="03.5811N"/>
        <s v="03.5816"/>
        <s v="03.5816CH"/>
        <s v="03.5816UK"/>
        <s v="03.5818"/>
        <s v="03.5818CH"/>
        <s v="03.5819"/>
        <s v="03.5819CH"/>
        <s v="03.5820"/>
        <s v="03.5820CH"/>
        <s v="03.5850"/>
        <s v="03.5910"/>
        <s v="03.5911"/>
        <s v="03.5912"/>
        <s v="03.5913"/>
        <s v="03.5915"/>
        <s v="03.5916"/>
        <s v="03.5918"/>
        <s v="03.5920"/>
        <s v="03.5921"/>
        <s v="03.5922"/>
        <s v="03.5924"/>
        <s v="03.5925"/>
        <s v="03.5926"/>
        <s v="03.5928"/>
        <s v="03.5929"/>
        <s v="03.5945"/>
        <s v="03.5949"/>
        <s v="03.5950"/>
        <s v="03.5951"/>
        <s v="03.5952"/>
        <s v="03.5956"/>
        <s v="03.5957"/>
        <s v="03.5958 "/>
        <s v="03.5959"/>
        <s v="03.5961"/>
        <s v="03.5962"/>
        <s v="03.5963"/>
        <s v="03.5964"/>
        <s v="03.5965"/>
        <s v="03.5966"/>
        <s v="03.5967"/>
        <s v="03.5968"/>
        <s v="03.6004"/>
        <s v="03.6006"/>
        <s v="03.6006AU"/>
        <s v="03.6006UK"/>
        <s v="03.6006US"/>
        <s v="03.6007"/>
        <s v="03.6007AU"/>
        <s v="03.6007UK"/>
        <s v="03.6007US"/>
        <s v="03.6008"/>
        <s v="03.6008AU"/>
        <s v="03.6008UK"/>
        <s v="03.6008US"/>
        <s v="03.6100C"/>
        <s v="03.6101C"/>
        <s v="03.6102C"/>
        <s v="03.6103C"/>
        <s v="03.6104C"/>
        <s v="03.6106C"/>
        <s v="03.6107C"/>
        <s v="03.6108C"/>
        <s v="03.6109C"/>
        <s v="03.6110C"/>
        <s v="03.6111C"/>
        <s v="03.6121"/>
        <s v="03.6122"/>
        <s v="03.6122UK"/>
        <s v="03.6123C"/>
        <s v="03.6123CAU"/>
        <s v="03.6123CCH"/>
        <s v="03.6123CJPN"/>
        <s v="03.6123CUK"/>
        <s v="03.6123CUS"/>
        <s v="03.6124"/>
        <s v="03.6140C"/>
        <s v="03.6141C"/>
        <s v="03.6142C"/>
        <s v="03.6143C"/>
        <s v="03.6144C"/>
        <s v="03.6145C"/>
        <s v="03.6146C"/>
        <s v="03.6147C"/>
        <s v="03.6148C"/>
        <s v="03.6149C"/>
        <s v="03.6150C"/>
        <s v="03.6151C"/>
        <s v="03.6152C"/>
        <s v="03.6153C"/>
        <s v="03.6154C"/>
        <s v="03.6155C"/>
        <s v="03.6156C"/>
        <s v="03.6157C"/>
        <s v="03.6158C"/>
        <s v="03.6159C"/>
        <s v="03.6200"/>
        <s v="03.6201"/>
        <s v="03.6202"/>
        <s v="03.6202CH"/>
        <s v="03.6202UK"/>
        <s v="03.6203"/>
        <s v="03.6203CH"/>
        <s v="03.6203UK"/>
        <s v="03.6204"/>
        <s v="03.6204AU"/>
        <s v="03.6204CH.A"/>
        <s v="03.6204UK"/>
        <s v="03.6205"/>
        <s v="03.6205AU"/>
        <s v="03.6205CH.A"/>
        <s v="03.6205UK"/>
        <s v="03.6206"/>
        <s v="03.6206CH"/>
        <s v="03.6206UK"/>
        <s v="03.6207"/>
        <s v="03.6208"/>
        <s v="03.6209"/>
        <s v="03.6210"/>
        <s v="03.6211"/>
        <s v="03.6212"/>
        <s v="03.7000"/>
        <s v="03.7001"/>
        <s v="03.7002"/>
        <s v="03.7003"/>
        <s v="03.7004"/>
        <s v="03.7005"/>
        <s v="03.7006"/>
        <s v="03.7007"/>
        <s v="03.7008"/>
        <s v="03.7010"/>
        <s v="03.7011"/>
        <s v="03.7012"/>
        <s v="03.7013"/>
        <s v="03.7014"/>
        <s v="03.7015"/>
        <s v="03.7016"/>
        <s v="03.7017"/>
        <s v="03.7018"/>
        <s v="03.7019"/>
        <s v="03.7020"/>
        <s v="03.7021"/>
        <s v="03.7022"/>
        <s v="03.7023"/>
        <s v="03.7024"/>
        <s v="03.7025"/>
        <s v="03.7026"/>
        <s v="03.7027"/>
        <s v="03.7028"/>
        <s v="03.7029"/>
        <s v="03.7030"/>
        <s v="03.7031"/>
        <s v="03.7032"/>
        <s v="03.7040"/>
        <s v="03.7041"/>
        <s v="03.7042"/>
        <s v="03.7043"/>
        <s v="03.7044"/>
        <s v="03.7045"/>
        <s v="03.7046"/>
        <s v="03.7047"/>
        <s v="03.7050"/>
        <s v="03.7051"/>
        <s v="03.7052"/>
        <s v="03.7054"/>
        <s v="03.7060"/>
        <s v="03.7061"/>
        <s v="03.7070"/>
        <s v="03.7071"/>
        <s v="03.7072"/>
        <s v="03.7073"/>
        <s v="03.7074"/>
        <s v="03.7075"/>
        <s v="03.7076"/>
        <s v="03.7077"/>
        <s v="03.7080"/>
        <s v="03.7081"/>
        <s v="03.7082"/>
        <s v="03.7083"/>
        <s v="03.7084"/>
        <s v="03.7090"/>
        <s v="03.7091"/>
        <s v="03.7092"/>
        <s v="03.7093"/>
        <s v="03.7094"/>
        <s v="03.7095"/>
        <s v="03.7100"/>
        <s v="03.7101"/>
        <s v="03.7102"/>
        <s v="03.7103"/>
        <s v="03.7110"/>
        <s v="03.7111"/>
        <s v="03.7112"/>
        <s v="03.7113"/>
        <s v="03.7114"/>
        <s v="03.7120"/>
        <s v="03.7121"/>
        <s v="03.7122"/>
        <s v="03.7123"/>
        <s v="03.7124"/>
        <s v="03.7130"/>
        <s v="03.7131"/>
        <s v="03.7132"/>
        <s v="03.7133"/>
        <s v="03.7134"/>
        <s v="03.7135"/>
        <s v="06.0100"/>
        <s v="06.0120"/>
        <s v="06.0125"/>
        <s v="06.0140"/>
        <s v="06.0150"/>
        <s v="06.0160"/>
        <s v="06.0180"/>
        <s v="06.1100"/>
        <s v="06.1120"/>
        <s v="06.1125"/>
        <s v="06.1140"/>
        <s v="06.1150"/>
        <s v="06.1160"/>
        <s v="06.1180"/>
        <s v="06.2100"/>
        <s v="06.2120"/>
        <s v="06.2125"/>
        <s v="06.2140"/>
        <s v="06.2150"/>
        <s v="06.2160"/>
        <s v="06.2180"/>
        <s v="06.3100"/>
        <s v="06.3120"/>
        <s v="06.3125"/>
        <s v="06.3140"/>
        <s v="06.3150"/>
        <s v="06.3160"/>
        <s v="06.3180"/>
        <s v="06.4100"/>
        <s v="06.4125"/>
        <s v="06.4140"/>
        <s v="06.4150"/>
        <s v="06.5100"/>
        <s v="06.5125"/>
        <s v="06.5140"/>
        <s v="06.5150"/>
        <s v="06.8100"/>
        <s v="06.8120"/>
        <s v="06.8125"/>
        <s v="06.8140"/>
        <s v="06.8150"/>
        <s v="06.8160"/>
        <s v="06.9100"/>
        <s v="06.9120"/>
        <s v="06.9125"/>
        <s v="06.9140"/>
        <s v="06.9150"/>
        <s v="06.9160"/>
        <s v="10.0008"/>
        <s v="10.0010"/>
        <s v="10.0012"/>
        <s v="11.0005"/>
        <s v="11.0006"/>
        <s v="11.0010"/>
        <s v="12.0001"/>
        <s v="13.0001.15"/>
        <s v="13.0001.19"/>
        <s v="49.0138"/>
        <s v="49.0192"/>
        <s v="49.0193"/>
        <s v="49.0220"/>
        <s v="49.0235"/>
        <s v="49.0236"/>
        <s v="49.0296"/>
        <s v="49.0330"/>
        <s v="49.0331"/>
        <s v="49.0338"/>
        <s v="49.0350"/>
        <s v="49.0351"/>
        <s v="49.0389"/>
        <s v="49.0390"/>
        <s v="49.0444"/>
        <s v="49.0449"/>
        <s v="49.0495"/>
        <s v="49.0511"/>
        <s v="49.0515"/>
        <s v="49.0518"/>
        <s v="49.0584"/>
        <s v="90.0010"/>
        <s v="90.0020"/>
        <s v="90.0025"/>
        <s v="90.0030"/>
        <s v="90.0050"/>
        <s v="90.0060"/>
        <s v="90.0070"/>
        <s v="90.0075"/>
        <s v="90.0080"/>
        <s v="90.0085"/>
        <s v="90.0090"/>
        <s v="90.0095"/>
        <s v="90.0100"/>
        <s v="90.0110"/>
        <s v="99.2250.03"/>
        <s v="99.2250.14"/>
        <s v="49.0606"/>
        <s v="20.0000"/>
        <s v="20.0001"/>
        <s v="20.0002"/>
        <s v="20.0003"/>
        <s v="20.0004"/>
        <s v="20.0005"/>
        <s v="20.0006"/>
        <s v="20.0007"/>
        <s v="20.0008"/>
        <s v="20.0009"/>
        <s v="20.0010"/>
        <s v="20.0011"/>
        <s v="20.0012"/>
        <s v="20.0015"/>
        <s v="03.5625"/>
        <s v="03.5977"/>
        <s v="03.5960"/>
        <s v="03.5975"/>
        <s v="03.5825"/>
        <s v="03.5398"/>
        <s v="03.5271"/>
        <s v="03.5979"/>
        <s v="03.5980"/>
        <s v="03.5285"/>
      </sharedItems>
    </cacheField>
    <cacheField name="ProductNo" numFmtId="0">
      <sharedItems count="547">
        <s v="03.5102"/>
        <s v="03.5113"/>
        <s v="03.5113N"/>
        <s v="03.5116"/>
        <s v="03.5117"/>
        <s v="03.5118"/>
        <s v="03.5119"/>
        <s v="03.5121"/>
        <s v="03.5122"/>
        <s v="03.5122.01"/>
        <s v="03.5123"/>
        <s v="03.5124"/>
        <s v="03.5125"/>
        <s v="03.5127"/>
        <s v="03.5127N"/>
        <s v="03.5129"/>
        <s v="03.5130"/>
        <s v="03.5131"/>
        <s v="03.5132"/>
        <s v="03.5133"/>
        <s v="03.5134"/>
        <s v="03.5136"/>
        <s v="03.5137"/>
        <s v="03.5138"/>
        <s v="03.5138N"/>
        <s v="03.5139"/>
        <s v="03.5140"/>
        <s v="03.5168"/>
        <s v="03.5169"/>
        <s v="03.5170"/>
        <s v="03.5198"/>
        <s v="03.5200"/>
        <s v="03.5201"/>
        <s v="03.5202"/>
        <s v="03.5203"/>
        <s v="03.5213"/>
        <s v="03.5214"/>
        <s v="03.5215"/>
        <s v="03.5216"/>
        <s v="03.5218"/>
        <s v="03.5219"/>
        <s v="03.5221"/>
        <s v="03.5222"/>
        <s v="03.5223"/>
        <s v="03.5224"/>
        <s v="03.5225"/>
        <s v="03.5229"/>
        <s v="03.5240"/>
        <s v="03.5243"/>
        <s v="03.5244"/>
        <s v="03.5246"/>
        <s v="03.5252"/>
        <s v="03.5257"/>
        <s v="03.5258"/>
        <s v="03.5264"/>
        <s v="03.5265"/>
        <s v="03.5268"/>
        <s v="03.5269"/>
        <s v="03.5270"/>
        <s v="03.5272"/>
        <s v="03.5273"/>
        <s v="03.5276"/>
        <s v="03.5277"/>
        <s v="03.5279"/>
        <s v="03.5281"/>
        <s v="03.5282"/>
        <s v="03.5283"/>
        <s v="03.5300"/>
        <s v="03.5301"/>
        <s v="03.5302"/>
        <s v="03.5303"/>
        <s v="03.5305"/>
        <s v="03.5306"/>
        <s v="03.5307"/>
        <s v="03.5308"/>
        <s v="03.5309"/>
        <s v="03.5311"/>
        <s v="03.5312"/>
        <s v="03.5314"/>
        <s v="03.5316"/>
        <s v="03.5317"/>
        <s v="03.5322"/>
        <s v="03.5328"/>
        <s v="03.5330"/>
        <s v="03.5335"/>
        <s v="03.5336"/>
        <s v="03.5337"/>
        <s v="03.5338"/>
        <s v="03.5339"/>
        <s v="03.5341"/>
        <s v="03.5342"/>
        <s v="03.5343"/>
        <s v="03.5344"/>
        <s v="03.5345"/>
        <s v="03.5346"/>
        <s v="03.5347"/>
        <s v="03.5348"/>
        <s v="03.5349"/>
        <s v="03.5350"/>
        <s v="03.5351"/>
        <s v="03.5352"/>
        <s v="03.5353"/>
        <s v="03.5354"/>
        <s v="03.5356"/>
        <s v="03.5357"/>
        <s v="03.5358"/>
        <s v="03.5359"/>
        <s v="03.5360"/>
        <s v="03.5363"/>
        <s v="03.5364"/>
        <s v="03.5365"/>
        <s v="03.5366"/>
        <s v="03.5367"/>
        <s v="03.5368"/>
        <s v="03.5371"/>
        <s v="03.5372"/>
        <s v="03.5373"/>
        <s v="03.5375"/>
        <s v="03.5376"/>
        <s v="03.5378"/>
        <s v="03.5379"/>
        <s v="03.5381"/>
        <s v="03.5382"/>
        <s v="03.5383"/>
        <s v="03.5384"/>
        <s v="03.5387"/>
        <s v="03.5388"/>
        <s v="03.5389"/>
        <s v="03.5390"/>
        <s v="03.5391"/>
        <s v="03.5392"/>
        <s v="03.5393"/>
        <s v="03.5394"/>
        <s v="03.5395"/>
        <s v="03.5396"/>
        <s v="03.5397"/>
        <s v="03.5400"/>
        <s v="03.5406"/>
        <s v="03.5408"/>
        <s v="03.5431"/>
        <s v="03.5432"/>
        <s v="03.5451"/>
        <s v="03.5453"/>
        <s v="03.5457"/>
        <s v="03.5459"/>
        <s v="03.5606"/>
        <s v="03.5607"/>
        <s v="03.5609"/>
        <s v="03.5611"/>
        <s v="03.5616"/>
        <s v="03.5617"/>
        <s v="03.5618"/>
        <s v="03.5619"/>
        <s v="03.5620"/>
        <s v="03.5621"/>
        <s v="03.5627"/>
        <s v="03.5637"/>
        <s v="03.5645"/>
        <s v="03.5650"/>
        <s v="03.5657"/>
        <s v="03.5658"/>
        <s v="03.5659"/>
        <s v="03.5663"/>
        <s v="03.5665"/>
        <s v="03.5666"/>
        <s v="03.5669"/>
        <s v="03.5670"/>
        <s v="03.5671"/>
        <s v="03.5673"/>
        <s v="03.5674C"/>
        <s v="03.5675C"/>
        <s v="03.5676C"/>
        <s v="03.5677"/>
        <s v="03.5679C"/>
        <s v="03.5682"/>
        <s v="03.5684"/>
        <s v="03.5685"/>
        <s v="03.5690"/>
        <s v="03.5691"/>
        <s v="03.5692"/>
        <s v="03.5693C"/>
        <s v="03.5694C"/>
        <s v="03.5695C"/>
        <s v="03.5696C"/>
        <s v="03.5697C"/>
        <s v="03.5698C"/>
        <s v="03.5699C"/>
        <s v="03.5701C"/>
        <s v="03.5710"/>
        <s v="03.5711"/>
        <s v="03.5712"/>
        <s v="03.5713"/>
        <s v="03.5714"/>
        <s v="03.5715"/>
        <s v="03.5716"/>
        <s v="03.5717"/>
        <s v="03.5718"/>
        <s v="03.5719"/>
        <s v="03.5720"/>
        <s v="03.5721"/>
        <s v="03.5722"/>
        <s v="03.5726"/>
        <s v="03.5727"/>
        <s v="03.5728"/>
        <s v="03.5729"/>
        <s v="03.5730"/>
        <s v="03.5741"/>
        <s v="03.5742"/>
        <s v="03.5745"/>
        <s v="03.5747"/>
        <s v="03.5748"/>
        <s v="03.5749"/>
        <s v="03.5750"/>
        <s v="03.5751"/>
        <s v="03.5752"/>
        <s v="03.5753"/>
        <s v="03.5754"/>
        <s v="03.5756"/>
        <s v="03.5757"/>
        <s v="03.5758"/>
        <s v="03.5759"/>
        <s v="03.5760"/>
        <s v="03.5761"/>
        <s v="03.5762"/>
        <s v="03.5767"/>
        <s v="03.5768"/>
        <s v="03.5769"/>
        <s v="03.5770"/>
        <s v="03.5772"/>
        <s v="03.5775"/>
        <s v="03.5776"/>
        <s v="03.5777"/>
        <s v="03.5778"/>
        <s v="03.5779"/>
        <s v="03.5780"/>
        <s v="03.5782"/>
        <s v="03.5783"/>
        <s v="03.5785"/>
        <s v="03.5786"/>
        <s v="03.5787"/>
        <s v="03.5788"/>
        <s v="03.5789"/>
        <s v="03.5790"/>
        <s v="03.5791"/>
        <s v="03.5792"/>
        <s v="03.5797"/>
        <s v="03.5798"/>
        <s v="03.5799"/>
        <s v="03.5801"/>
        <s v="03.5802"/>
        <s v="03.5803"/>
        <s v="03.5810"/>
        <s v="03.5811"/>
        <s v="03.5811N"/>
        <s v="03.5816"/>
        <s v="03.5818"/>
        <s v="03.5819"/>
        <s v="03.5820"/>
        <s v="03.5850"/>
        <s v="03.5910"/>
        <s v="03.5911"/>
        <s v="03.5912"/>
        <s v="03.5913"/>
        <s v="03.5915"/>
        <s v="03.5916"/>
        <s v="03.5918"/>
        <s v="03.5920"/>
        <s v="03.5921"/>
        <s v="03.5922"/>
        <s v="03.5924"/>
        <s v="03.5925"/>
        <s v="03.5926"/>
        <s v="03.5928"/>
        <s v="03.5929"/>
        <s v="03.5945"/>
        <s v="03.5949"/>
        <s v="03.5950"/>
        <s v="03.5951"/>
        <s v="03.5952  "/>
        <s v="03.5956"/>
        <s v="03.5957"/>
        <s v="03.5958"/>
        <s v="03.5959"/>
        <s v="03.5961"/>
        <s v="03.5962"/>
        <s v="03.5963"/>
        <s v="03.5964"/>
        <s v="03.5965"/>
        <s v="03.5966"/>
        <s v="03.5967"/>
        <s v="03.5968"/>
        <s v="03.6004"/>
        <s v="03.6006"/>
        <s v="03.6007"/>
        <s v="03.6008"/>
        <s v="03.6100C"/>
        <s v="03.6101C"/>
        <s v="03.6102C"/>
        <s v="03.6103C"/>
        <s v="03.6104C"/>
        <s v="03.6106C"/>
        <s v="03.6107C"/>
        <s v="03.6108C"/>
        <s v="03.6109C"/>
        <s v="03.6110C"/>
        <s v="03.6111C"/>
        <s v="03.6121"/>
        <s v="03.6122"/>
        <s v="03.6123C"/>
        <s v="03.6124"/>
        <s v="03.6140C"/>
        <s v="03.6141C"/>
        <s v="03.6142C"/>
        <s v="03.6143C"/>
        <s v="03.6144C"/>
        <s v="03.6145C"/>
        <s v="03.6146C"/>
        <s v="03.6147C"/>
        <s v="03.6148C"/>
        <s v="03.6149C"/>
        <s v="03.6150C"/>
        <s v="03.6151C"/>
        <s v="03.6152C"/>
        <s v="03.6153C"/>
        <s v="03.6154C"/>
        <s v="03.6155C"/>
        <s v="03.6156C"/>
        <s v="03.6157C"/>
        <s v="03.6158C"/>
        <s v="03.6159C"/>
        <s v="03.6200"/>
        <s v="03.6201"/>
        <s v="03.6202"/>
        <s v="03.6203"/>
        <s v="03.6204"/>
        <s v="03.6205"/>
        <s v="03.6206"/>
        <s v="03.6207"/>
        <s v="03.6208"/>
        <s v="03.6209"/>
        <s v="03.6210"/>
        <s v="03.6211"/>
        <s v="03.6212"/>
        <s v="03.7000"/>
        <s v="03.7001"/>
        <s v="03.7002"/>
        <s v="03.7003"/>
        <s v="03.7004"/>
        <s v="03.7005"/>
        <s v="03.7006"/>
        <s v="03.7007"/>
        <s v="03.7008"/>
        <s v="03.7010"/>
        <s v="03.7011"/>
        <s v="03.7012"/>
        <s v="03.7013"/>
        <s v="03.7014"/>
        <s v="03.7015"/>
        <s v="03.7016"/>
        <s v="03.7017"/>
        <s v="03.7018"/>
        <s v="03.7019"/>
        <s v="03.7020"/>
        <s v="03.7021"/>
        <s v="03.7022"/>
        <s v="03.7023"/>
        <s v="03.7024"/>
        <s v="03.7025"/>
        <s v="03.7026"/>
        <s v="03.7027"/>
        <s v="03.7028"/>
        <s v="03.7029"/>
        <s v="03.7030"/>
        <s v="03.7031"/>
        <s v="03.7032"/>
        <s v="03.7040"/>
        <s v="03.7041"/>
        <s v="03.7042"/>
        <s v="03.7043"/>
        <s v="03.7044"/>
        <s v="03.7045"/>
        <s v="03.7046"/>
        <s v="03.7047"/>
        <s v="03.7050"/>
        <s v="03.7051"/>
        <s v="03.7052"/>
        <s v="03.7054"/>
        <s v="03.7060"/>
        <s v="03.7061"/>
        <s v="03.7070"/>
        <s v="03.7071"/>
        <s v="03.7072"/>
        <s v="03.7073"/>
        <s v="03.7074"/>
        <s v="03.7075"/>
        <s v="03.7076"/>
        <s v="03.7077"/>
        <s v="03.7080"/>
        <s v="03.7081"/>
        <s v="03.7082"/>
        <s v="03.7083"/>
        <s v="03.7084"/>
        <s v="03.7090"/>
        <s v="03.7091"/>
        <s v="03.7092"/>
        <s v="03.7093"/>
        <s v="03.7094"/>
        <s v="03.7095"/>
        <s v="03.7100"/>
        <s v="03.7101"/>
        <s v="03.7102"/>
        <s v="03.7103"/>
        <s v="03.7110"/>
        <s v="03.7111"/>
        <s v="03.7112"/>
        <s v="03.7113"/>
        <s v="03.7114"/>
        <s v="03.7120"/>
        <s v="03.7121"/>
        <s v="03.7122"/>
        <s v="03.7123"/>
        <s v="03.7124"/>
        <s v="03.7130"/>
        <s v="03.7131"/>
        <s v="03.7132"/>
        <s v="03.7133"/>
        <s v="03.7134"/>
        <s v="03.7135"/>
        <s v="06.0100"/>
        <s v="06.0120"/>
        <s v="06.0125"/>
        <s v="06.0140"/>
        <s v="06.0150"/>
        <s v="06.0160"/>
        <s v="06.0180"/>
        <s v="06.1100"/>
        <s v="06.1120"/>
        <s v="06.1125"/>
        <s v="06.1140"/>
        <s v="06.1150"/>
        <s v="06.1160"/>
        <s v="06.1180"/>
        <s v="06.2100"/>
        <s v="06.2120"/>
        <s v="06.2125"/>
        <s v="06.2140"/>
        <s v="06.2150"/>
        <s v="06.2160"/>
        <s v="06.2180"/>
        <s v="06.3100"/>
        <s v="06.3120"/>
        <s v="06.3125"/>
        <s v="06.3140"/>
        <s v="06.3150"/>
        <s v="06.3160"/>
        <s v="06.3180"/>
        <s v="06.4100"/>
        <s v="06.4125"/>
        <s v="06.4140"/>
        <s v="06.4150"/>
        <s v="06.5100"/>
        <s v="06.5125"/>
        <s v="06.5140"/>
        <s v="06.5150"/>
        <s v="06.8100"/>
        <s v="06.8120"/>
        <s v="06.8125"/>
        <s v="06.8140"/>
        <s v="06.8150"/>
        <s v="06.8160"/>
        <s v="06.9100"/>
        <s v="06.9120"/>
        <s v="06.9125"/>
        <s v="06.9140"/>
        <s v="06.9150"/>
        <s v="06.9160"/>
        <s v="10.0008"/>
        <s v="10.0010"/>
        <s v="10.0012"/>
        <s v="11.0005"/>
        <s v="11.0006"/>
        <s v="11.0010"/>
        <s v="12.0001"/>
        <s v="13.0001.15"/>
        <s v="13.0001.19"/>
        <s v="49.0138"/>
        <s v="49.0192"/>
        <s v="49.0193"/>
        <s v="49.0220"/>
        <s v="49.0235"/>
        <s v="49.0236"/>
        <s v="49.0296"/>
        <s v="49.0330"/>
        <s v="49.0331"/>
        <s v="49.0338"/>
        <s v="49.0350"/>
        <s v="49.0351"/>
        <s v="49.0389"/>
        <s v="49.0390"/>
        <s v="49.0444"/>
        <s v="49.0449"/>
        <s v="49.0495"/>
        <s v="49.0511"/>
        <s v="49.0515"/>
        <s v="49.0518"/>
        <s v="49.0584"/>
        <s v="90.0010"/>
        <s v="90.0020"/>
        <s v="90.0025"/>
        <s v="90.0030"/>
        <s v="90.0050"/>
        <s v="90.0060"/>
        <s v="90.0070"/>
        <s v="90.0075"/>
        <s v="90.0080"/>
        <s v="90.0085"/>
        <s v="90.0090"/>
        <s v="99.0095"/>
        <s v="90.0100"/>
        <s v="90.0110"/>
        <s v="99.2250.03"/>
        <s v="99.2250.14"/>
        <s v="49.0606"/>
        <s v="20.0000"/>
        <s v="20.0001"/>
        <s v="20.0002"/>
        <s v="20.0003"/>
        <s v="20.0004"/>
        <s v="20.0005"/>
        <s v="20.0006"/>
        <s v="20.0007"/>
        <s v="20.0008"/>
        <s v="20.0009"/>
        <s v="20.0010"/>
        <s v="20.0011"/>
        <s v="20.0012"/>
        <s v="20.0015"/>
        <s v="03.5625"/>
        <s v="03.5977"/>
        <s v="03.5960"/>
        <s v="03.5975"/>
        <s v="03.5825"/>
        <s v="03.5398"/>
        <s v="03.5271"/>
        <s v="03.5979"/>
        <s v="03.5980"/>
        <s v="03.5285"/>
      </sharedItems>
    </cacheField>
    <cacheField name="Description &amp; Item no." numFmtId="0">
      <sharedItems count="462">
        <s v="MINI LITE A"/>
        <s v="FLASH MICRO R"/>
        <s v="MAG PEN 3"/>
        <s v="MATCHPEN"/>
        <s v="Lens for MATCHPEN 03.5117"/>
        <s v="Head for MATCHPEN 03.5117"/>
        <s v="Battery FLASHPEN R 5120/5136"/>
        <s v="MATCHPEN R"/>
        <s v="On/off switch MATCH PEN R"/>
        <s v="Lens for MATCHPEN R 03.5122"/>
        <s v="FLASH 12-24V"/>
        <s v="Battery FLASH 1000 R"/>
        <s v="WORK PEN 200 R"/>
        <s v="Battery FLASH200R/400R/600R"/>
        <s v="FLASH PENCIL"/>
        <s v="FLASH PEN"/>
        <s v="FLASH 300"/>
        <s v="FLASH 600"/>
        <s v="Battery 3,7V 1100mAh"/>
        <s v="FLASH PEN R"/>
        <s v="FLASH 600 R"/>
        <s v="FLASH 1000 R"/>
        <s v="Battery FLASH PEN R"/>
        <s v="BATTERY "/>
        <s v="Adapter - Schuko to UK plug"/>
        <s v="Adapter - Schuko to US plug"/>
        <s v="Adapter - Schuko to AU plug"/>
        <s v="Adapter - Schuko to Swiss plug"/>
        <s v="LINE LIGHT 6"/>
        <s v="LINE LIGHT 4"/>
        <s v="LINE LIGHT 2"/>
        <s v="LINE LIGHT 1"/>
        <s v="Clip - small metal clip"/>
        <s v="Clip"/>
        <s v="PVC cable 8 m"/>
        <s v="Magnet for for CLIP fitting"/>
        <s v="Flexible arm with magnet"/>
        <s v="Flexible arm with suction cup"/>
        <s v="LINE LIGHT 75"/>
        <s v="LINE LIGHT 120"/>
        <s v="LINE LIGHT 160"/>
        <s v="LINE LIGHT 200"/>
        <s v="LINE LIGHT 2 POST"/>
        <s v="Power supply 25 W"/>
        <s v="BONNET C+R"/>
        <s v="LINE LIGHT C+R"/>
        <s v="LINE LIGHT R"/>
        <s v="Magnet Neodym Ø30 mm - M3"/>
        <s v="Transformer UL, 100-277V"/>
        <s v="Clip holder magnetic 2-POST"/>
        <s v="Junction box black 2-POST"/>
        <s v="LINE LIGHT DIMMER"/>
        <s v="Charger 4,2V/3,5A"/>
        <s v="SITE LIGHT 40"/>
        <s v="SITE LIGHT 80"/>
        <s v="SCANGRIP TRIPOD 4,5M"/>
        <s v="UV-EXTREME"/>
        <s v="UV-EXTREME PLUS"/>
        <s v="Magnet with clip 60 mm"/>
        <s v="Power supply 200 W"/>
        <s v="Magnet with clip 30 mm"/>
        <s v="Gear for SITE LIGHT//UV-EXTREM"/>
        <s v="Power supply 100 W"/>
        <s v="Junction box"/>
        <s v="Cable UL 8 m, Line Light"/>
        <s v="Scangrip Lighting Charger"/>
        <s v="Car adaptor 5V, 12-24V"/>
        <s v="Clip  TRIPOD - small"/>
        <s v="USB/MINI DC cable 1,8 m"/>
        <s v="Charger USB 5V, 1A"/>
        <s v="Lobe knob black M8x1,25"/>
        <s v="Cable USB to Mini DC - 1 m"/>
        <s v="Dual bracket for TRIPOD"/>
        <s v="Lobe knob black M10"/>
        <s v="Lobe knob black M10 x 6"/>
        <s v="Clip with hook and magnet"/>
        <s v="BONNET holder"/>
        <s v="Battery 3,7V, 1600 mAh"/>
        <s v="Battery UNIPEN"/>
        <s v="US charging kit for MULTIMATCH"/>
        <s v="Battery  I-VIEW"/>
        <s v="Belt clip and hook"/>
        <s v="Charger 12,6V, 2,4A"/>
        <s v="Charger 12,6V, 4,3A"/>
        <s v="Stand NOVA 3K/3K C+R/MM C+R 2"/>
        <s v="Stand NOVA 5K/5K C+R"/>
        <s v="Stand NOVA 10K"/>
        <s v="Scaffolding bracket"/>
        <s v="Car adapter C+R"/>
        <s v="Battery VEGA1500 C+R - old"/>
        <s v="Rubber trim NOVA 3K/3K C+R"/>
        <s v="Rubber trim NOVA 5K/5K C+R"/>
        <s v="Rubber handle trim NOVA3K/5K"/>
        <s v="Rubber trim NOVA 10K"/>
        <s v="Rubber Handle trim NOVA 10K"/>
        <s v="Battery 11.1V, 4400 mAh"/>
        <s v="Battery NOVA 5K C+R"/>
        <s v="Bracket special for old NOVA"/>
        <s v="Charger USB 5V, 1A UK"/>
        <s v="Charger 21,6V, 1A"/>
        <s v="LENS/O-RING NOVA 6K/6K C+R/12K"/>
        <s v="Charger USB, UL, 5V, 1A"/>
        <s v="Keyboard with print card"/>
        <s v="LENS/O-RING NOVA 4K/4K C+R"/>
        <s v="Front cover VEGA1500C+R/2600"/>
        <s v="Front cover VEGA 4000"/>
        <s v="Dock charging base blue"/>
        <s v="Charger AU, 5V, 1A, black"/>
        <s v="Battery MAG"/>
        <s v="Battery MAG3"/>
        <s v="Charger USB 5V, 2A"/>
        <s v="Battery SUNMATCH 2/3"/>
        <s v="Battery STAR"/>
        <s v="Charger USB 5V, 3A"/>
        <s v="Hook for SUPERFORM"/>
        <s v="Battery for NOVA R/NOVA-UV S"/>
        <s v="LENS/O-RING NOVA R/MM R"/>
        <s v="Stand"/>
        <s v="Bumper"/>
        <s v="Battery for MINISLIM"/>
        <s v="Battery for SLIM"/>
        <s v="Charging dock UNI-EX"/>
        <s v="Magnet bracket"/>
        <s v="Magnet bracket L"/>
        <s v="Protection cap"/>
        <s v="Bracket"/>
        <s v="Rubber ring (bumper)"/>
        <s v="Rubber ring inner (handle)"/>
        <s v="Wheel for WHEELSTAND"/>
        <s v="Wheel for WHEELSTAND - lock"/>
        <s v="MAG"/>
        <s v="SUPERFORM"/>
        <s v="UV-FORM"/>
        <s v="SCANGRIP TRIPOD"/>
        <s v="SCANGRIP TRIPOD NEUTRAL"/>
        <s v="VEGA LITE C+R"/>
        <s v="VEGA LITE"/>
        <s v="NOVA BONNET"/>
        <s v="VEGA LITE COLOUR"/>
        <s v="EX-VIEW"/>
        <s v="TRIPOD EX"/>
        <s v="SCAFFOLDING BRACKET EX"/>
        <s v="MIDI-EX"/>
        <s v="MAGNET BRACKET EX"/>
        <s v="UNI-EX"/>
        <s v="NOVA-EX R"/>
        <s v="NOVA-EX"/>
        <s v="STAR"/>
        <s v="HORIZON"/>
        <s v="ZOOM"/>
        <s v="AREA LITE CO"/>
        <s v="HEAD LITE S"/>
        <s v="MINIMATCH"/>
        <s v="SUNMATCH 4"/>
        <s v="MULTIMATCH R"/>
        <s v="UNIMATCH"/>
        <s v="I-MATCH 4 "/>
        <s v="STICK LITE S"/>
        <s v="STICK LITE M"/>
        <s v="HEAD LITE"/>
        <s v="HEAD LITE A"/>
        <s v="STAR LITE"/>
        <s v="VEGA LITE COMPACT"/>
        <s v="MULTIMATCH 3 CONNECT + POWER SUPPLY"/>
        <s v="MULTIMATCH 3 CONNECT"/>
        <s v="MULTIMATCH 8 CONNECT"/>
        <s v="STARMATCH"/>
        <s v="MULTIMATCH 8 CONNECT + POWER SUPPLY"/>
        <s v="SCANGRIP WHEELSTAND"/>
        <s v="UV-GUN MOUNTING KIT"/>
        <s v="SCANGRIP TRIPOD 2 m"/>
        <s v="SCANGRIP TRIPOD 2 m NEUTRAL"/>
        <s v="MAG PRO"/>
        <s v="MAG PRO WIRELESS"/>
        <s v="MINI MAG PRO"/>
        <s v="MULTILIGHT FLEX CONNECT"/>
        <s v="MULTILIGHT FLOOD CONNECT"/>
        <s v="MULTILIGHT SEARCH CONNECT"/>
        <s v="MULTILIGHT BODY CONNECT"/>
        <s v="FLEX HEAD CONNECT"/>
        <s v="FLOOD HEAD CONNECT"/>
        <s v="SEARCH HEAD CONNECT"/>
        <s v="AREA HEAD CONNECT"/>
        <s v="Battery 3,7V/1600mAh"/>
        <s v="Battery UNIFORM 3,8V/3000mAh"/>
        <s v="HANDLE"/>
        <s v="LENS/O-RING 4SPS/4CAS/MM3"/>
        <s v="LENS/O-RING 6SPS/10SPS/10CAS/MM8"/>
        <s v="RUBBER RING (BUMPER) 6 SPS"/>
        <s v="RUBBER TRIM (BUMPER) 10 SPS"/>
        <s v="On/Off switch VEGA 1500"/>
        <s v="On/Off switch VEGA 2600/4000"/>
        <s v="Holder plastic Big"/>
        <s v="Holder plastic Small"/>
        <s v="Socket outlet VEGA 4000"/>
        <s v="Plastic clip I-VIEW/I-MATCH 2"/>
        <s v="Lens kit set for SUNMATCH 3"/>
        <s v="Head band for I-VIEW/I-MATCH 2"/>
        <s v="Dock charging base black"/>
        <s v="Battery VEGA1500 C+R - new"/>
        <s v="PCBA for Multimatch 2"/>
        <s v="SCANGRIP DIFFUSER"/>
        <s v="SCANGRIP DIFFUSER LARGE"/>
        <s v="Battery for NOVA MINI 03.6010"/>
        <s v="Battery 7,3V, 4000 MAh"/>
        <s v="Lens/o-ring for NOVA-UV S"/>
        <s v="Rubber cover for TRIPOD leg"/>
        <s v="Connection adapter SITE LIGHT"/>
        <s v="Dual bracket SITE LIGHT"/>
        <s v="UV protection glasses"/>
        <s v="Bracket  NOVA BONNET"/>
        <s v="Rubber cover and anchor"/>
        <s v="Battery for MAG PRO 03.5690"/>
        <s v="Battery 3.7V, 1200 mAh"/>
        <s v="Head band for ZONE/EX-VIEW"/>
        <s v="Head band for HEAD LITE A"/>
        <s v="Position disc for bracket"/>
        <s v="Battery for NOVA-EX R"/>
        <s v="Foot rubber square with anchor"/>
        <s v="SCANGRIP DIFFUSER SMALL"/>
        <s v="Lens complete for UV GUN"/>
        <s v="Charger 25,2V, 1,5A"/>
        <s v="SCANGRIP POWERBANK"/>
        <s v="Bracket with magnets"/>
        <s v="Light mount for WHEELSTAND"/>
        <s v="Wheel with lock for WHEELSTAND"/>
        <s v="Battery for UNI-EX"/>
        <s v="ADAPTER DIN14640 NOVA"/>
        <s v="Headband for I-VIEW incl. clip"/>
        <s v="Front cover/glass/reflector/"/>
        <s v="I-VIEW HARD HAT BRACKET"/>
        <s v="Adhesive base - set with 3 pcs"/>
        <s v="Clip for UNIPEN"/>
        <s v="UV-LIGHT"/>
        <s v="NOVA-UV S"/>
        <s v="UV-GUN"/>
        <s v="FLEX WEAR"/>
        <s v="FLEX WEAR KIT"/>
        <s v="ROPE LIGHT on reel"/>
        <s v="ROPE LIGHT 15"/>
        <s v="ROPE LIGHT 25"/>
        <s v="ROPE LIGHT 50"/>
        <s v="ZONE 2"/>
        <s v="MAGNETIC BRACKET OLD VERSION"/>
        <s v="BRACKET FOR POWER BANK"/>
        <s v="Cabel for Power Bank"/>
        <s v="BATTERY 3,65V / 4000 mAh"/>
        <s v="Mounting bracket UV-EXTREME"/>
        <s v="UV VISOR"/>
        <s v="BATTERY 3,7 V / 2600 mAh"/>
        <s v="FLEXIBLE IP-COVER, NOVA + MULTIMTCH"/>
        <s v="FLEXIBLE IP-COVER, AREA 10"/>
        <s v="SCANGRIP DIFFUSER MEDIUM"/>
        <s v="Stand NOVA 10 CONNECT/CAS"/>
        <s v="Cabel USB-C "/>
        <s v="CHARGING PAD "/>
        <s v="3-step CCT rocker switch"/>
        <s v="On/Off switch TOWER 5 CONNECT"/>
        <s v="Power supply, 24V, 1,5A"/>
        <s v="Power supply, 24V, 2A"/>
        <s v="SCANGRIP DIFFUSER X-LARGE"/>
        <s v="SCANGRIP DIFFUSER XX-LARGE"/>
        <s v="Headband for FLEXWEAR "/>
        <s v="Cap mount "/>
        <s v="QUICK-MOUNT"/>
        <s v="USB-C BATTERY 18650"/>
        <s v="ROPE LIGHT REEL"/>
        <s v="POWER BANK"/>
        <s v="Adapter for TRIPOD 2M"/>
        <s v="SPIRAL CABLE FOR POWER BANK"/>
        <s v="Headband for UNIMATCH"/>
        <s v="Headband for I-MATCH 4"/>
        <s v="CABLE C+R"/>
        <s v="Filter for UV GUN"/>
        <s v="SPS BATTERY 8Ah"/>
        <s v="SPS CHARGING SYSTEM 35W"/>
        <s v="SPS CHARGING SYSTEM 50W"/>
        <s v="SPS CHARGING SYSTEM 85W"/>
        <s v="NOVA 2 CONNECT"/>
        <s v="NOVA 4 CONNECT"/>
        <s v="NOVA 10 CONNECT"/>
        <s v="AREA 10 CONNECT"/>
        <s v="VEGA 4 CONNECT"/>
        <s v="VEGA 2 CONNECT"/>
        <s v="TOWER 8 CONNECT"/>
        <s v="AREA 6 CONNECT"/>
        <s v="BASIC CONNECT"/>
        <s v="TOWER COMPACT CONNECT"/>
        <s v="DUO CONNECT"/>
        <s v="CAS BATTERY 18V LI-POWER 5,2Ah"/>
        <s v="CAS CHARGER SC36"/>
        <s v="POWER SUPPLY CONNECT"/>
        <s v="CAS BATTERY 18V LI-POWER 2,0Ah"/>
        <s v="BOSCH CONNECTOR"/>
        <s v="BOSCH GREEN CONNECTOR"/>
        <s v="DEWALT CONNECTOR"/>
        <s v="EINHELL CONNECTOR"/>
        <s v="FEIN CONNECTOR"/>
        <s v="FLEX CONNECTOR"/>
        <s v="HAZET CONNECTOR"/>
        <s v="HIKOKI CONNECTOR"/>
        <s v="MAKITA CONNECTOR"/>
        <s v="MILWAUKEE CONNECTOR"/>
        <s v="WÛRTH CONNECTOR"/>
        <s v="SNAPON CONNECTOR"/>
        <s v="INGERSOLL CONNECTOR"/>
        <s v="FESTOOL CONNECTOR"/>
        <s v="RIDGID CONNECTOR"/>
        <s v="BERNER CONNECTOR"/>
        <s v="PANASONIC CONNECTOR"/>
        <s v="HILTI CONNECTOR"/>
        <s v="AEG / RIGID US CONNECTOR"/>
        <s v="RUPPES CONNECTOR"/>
        <s v="NOVA MINI"/>
        <s v="NOVA R"/>
        <s v="NOVA 4"/>
        <s v="NOVA 6"/>
        <s v="NOVA 4 C+R"/>
        <s v="NOVA 6 C+R"/>
        <s v="NOVA 12"/>
        <s v="MINIFORM"/>
        <s v="UNIFORM"/>
        <s v="UNIPEN"/>
        <s v="MINI SLIM"/>
        <s v="SLIM"/>
        <s v="I-VIEW"/>
        <s v="Flange kit"/>
        <s v="Lens kit"/>
        <s v="LED board kit"/>
        <s v="PC board"/>
        <s v="Battery"/>
        <s v="Rear cover kit"/>
        <s v="DC cover"/>
        <s v="Bracket kit"/>
        <s v="Switch board"/>
        <s v="Type C board"/>
        <s v="Flange"/>
        <s v="Driver"/>
        <s v="Connector kit"/>
        <s v="Cable gland"/>
        <s v="Cable EU"/>
        <s v="Cable strap"/>
        <s v="Switch board kit"/>
        <s v="Connector kit male"/>
        <s v="Housing"/>
        <s v="Housing kit"/>
        <s v="PC board and LED board"/>
        <s v="Clip and hook kit"/>
        <s v="Charging base kit"/>
        <s v="Handle kit"/>
        <s v="Switch button"/>
        <s v="Lamp head kit"/>
        <s v="Front cover"/>
        <s v="Control kit"/>
        <s v="Headband"/>
        <s v="Magnefix N - neutral 100 mm"/>
        <s v="Magnefix N - neutral 120 mm"/>
        <s v="Magnefix N - neutral 125 mm"/>
        <s v="Magnefix N - neutral 140 mm"/>
        <s v="Magnefix N - neutral 150 mm"/>
        <s v="Magnefix N - neutral 160 mm"/>
        <s v="Magnefix N - neutral 180 mm"/>
        <s v="Magnefix G - rubber 100 mm"/>
        <s v="Magnefix G - rubber 120 mm"/>
        <s v="Magnefix G - rubber 125 mm"/>
        <s v="Magnefix G - rubber 140 mm"/>
        <s v="Magnefix G - rubber 150 mm"/>
        <s v="Magnefix G - rubber 160 mm"/>
        <s v="Magnefix G - rubber 180 mm"/>
        <s v="Magnefix F - fiber 100 mm"/>
        <s v="Magnefix F - fiber 120 mm"/>
        <s v="Magnefix F - fiber 125 mm"/>
        <s v="Magnefix F - fiber 140 mm"/>
        <s v="Magnefix F - fiber 150 mm"/>
        <s v="Magnefix F - fiber 160 mm"/>
        <s v="Magnefix F - fiber 180 mm"/>
        <s v="Magnefix P - prism 100 mm"/>
        <s v="Magnefix P - prism 120 mm"/>
        <s v="Magnefix P - prism 125 mm"/>
        <s v="Magnefix P - prism 140 mm"/>
        <s v="Magnefix P - prism 150 mm"/>
        <s v="Magnefix P - prism 160 mm"/>
        <s v="Magnefix P - prism 180 mm"/>
        <s v="Magnefix PUF - 100 mm"/>
        <s v="Magnefix PUF - 125 mm"/>
        <s v="Magnefix PUF - 140 mm"/>
        <s v="Magnefix PUF - 150 mm"/>
        <s v="Magnefix PUP - 100 mm"/>
        <s v="Magnefix PUP - 125 mm"/>
        <s v="Magnefix PUP - 140 mm"/>
        <s v="Magnefix PUP - 150 mm"/>
        <s v="MAGNEFIX KIT SET"/>
        <s v="MAGNEFIX KIT SET 150 mm"/>
        <s v="Jaw/Fjederholder 80-120 mm"/>
        <s v="Jaw/Fjederholder 80-200"/>
        <s v="Fjederholder 80-200 mm"/>
        <s v="CANVIK PLUS"/>
        <s v="CANVIK PLUS - suitcase"/>
        <s v="Sikkerhedswire 5x450 mm"/>
        <s v="CANVIK BASIC"/>
        <s v="Fjederholder Canvik Center"/>
        <s v="SALES DISPLY LIGHTING"/>
        <s v="MINI SALES DISPLAY - KNOCKDOWN"/>
        <s v="MINI SALES DISPLAY - ASSEMBLED"/>
        <s v="DETAILING KIT - ESSENTIAL"/>
        <s v="SCANGRIP BAG"/>
        <s v="SCANGRIP BAG L"/>
        <s v="BROCHURE HOLDER"/>
        <s v="ACRYLIC DISPLAY FOR FLASH LIGHT R"/>
        <s v="ACRYLIC DISPLAY FOR FLASH LIGHT"/>
        <s v="FLOOD LIGHT DISPLY LIGHTING"/>
        <s v="SUITCASE SITE LIGHT 40"/>
        <s v="SUITCASE SITE LIGHT 80"/>
        <s v="SITE LIGHT 40 + SUITCASE 49.0350"/>
        <s v="SITE LIGHT 80 + SUITCASE 49.0351"/>
        <s v="FLEXIBLE TABLE DISPLAY"/>
        <s v="ACRYLIC HEADLAMP DISPLAY ROUND"/>
        <s v="SUITCASE TO DEMO KIT &quot;empty&quot;"/>
        <s v="MULTILIGHT CASE"/>
        <s v="MAG PRO WIRELESS KIT"/>
        <s v="MULTILIGHT KIT"/>
        <s v="CAS BATTERY 5.2Ah + CAS SC36 CHARGER "/>
        <s v="Fjederholder 80-145 mm. (3)"/>
        <s v="Fjederholder 145-195 mm. (5)"/>
        <s v="Fjederholder venstredrejet"/>
        <s v="Fjederholder 140-170 mm."/>
        <s v="Fjederholder 80-120 mm. (2)"/>
        <s v="Fjederholder 80-145 mm. Konisk"/>
        <s v="Fjederholder for BMW E39+E46"/>
        <s v="Fjederholder BMW serie/1/2/3/4"/>
        <s v="Fjederholder til Mercedes C"/>
        <s v="Fjederholder til Mercedes"/>
        <s v="Fjederholder til Mercedes E"/>
        <s v="Fjederholder Renault Twingo"/>
        <s v="Fjederholder 80-145 mm. (Par)"/>
        <s v="McPherson Strut Vice"/>
        <s v="Bolt M10x30 mm. Gr 12.9"/>
        <s v="Sikkerhedsstift til fj.spænder"/>
        <s v="DEMO BOX with FOR LIFE Handlamps "/>
        <s v="Let your passion shine T-shirt, S"/>
        <s v="Let your passion shine T-shirt, M"/>
        <s v="Let your passion shine T-shirt, L"/>
        <s v="Let your passion shine T-shirt, XL"/>
        <s v="Let your passion shine T-shirt, XXL"/>
        <s v="Let your passion shine T-shirt, 3XXL"/>
        <s v="Let your passion shine Hoodie, S"/>
        <s v="Let your passion shine Hoodie, M"/>
        <s v="Let your passion shine Hoodie, L"/>
        <s v="Let your passion shine Hoodie, XL"/>
        <s v="Let your passion shine Hoodie, XXL"/>
        <s v="Let your passion shine Hoodie, 3XL"/>
        <s v="Let your passion shine Hoodie, 4XL"/>
        <s v="Let your passion shine Cap, one size"/>
        <s v="SPRAY MATCH"/>
        <s v="PROTECTIVE LENS COVER"/>
        <s v="Mounting screw kit"/>
        <s v="Vehicle C+R charging kit"/>
        <s v="Lobe knob yellow M8 x 1,25 mm"/>
        <s v="End cap"/>
        <s v="Clip small including base"/>
        <s v="Clip big including base"/>
        <s v="300 mm. connection cable"/>
      </sharedItems>
    </cacheField>
    <cacheField name="Product_Line" numFmtId="0">
      <sharedItems count="9">
        <s v="WORKLIGHTS"/>
        <s v="COLOURMATCH"/>
        <s v="SPAREPARTS"/>
        <s v="ACCESSORIES"/>
        <s v="UV CURING"/>
        <s v="EXPROOF"/>
        <s v="CONNECT"/>
        <s v="MAGNEFIX"/>
        <s v="CANVIK"/>
      </sharedItems>
    </cacheField>
    <cacheField name="Family" numFmtId="0">
      <sharedItems containsBlank="1" count="19">
        <s v="FLASH"/>
        <s v="MAG"/>
        <m/>
        <s v=" "/>
        <s v="LINE LIGHT"/>
        <s v="SITE LIGHT"/>
        <s v="FORM"/>
        <s v="VEGA LITE"/>
        <s v="NOVA"/>
        <s v="Other"/>
        <s v="AREA LITE"/>
        <s v="HEAD LITE"/>
        <s v="STICK LITE"/>
        <s v="ROPE LIGHT"/>
        <s v="AREA"/>
        <s v="VEGA"/>
        <s v="TOWER"/>
        <s v="CONNECTOR"/>
        <s v="SLIM"/>
      </sharedItems>
    </cacheField>
    <cacheField name="Discount Group" numFmtId="0">
      <sharedItems count="12">
        <s v="C"/>
        <s v="A"/>
        <s v="CM"/>
        <s v="E"/>
        <s v="UV"/>
        <s v="EX"/>
        <s v="D"/>
        <s v="N"/>
        <s v="B"/>
        <s v="MAGNEFIX"/>
        <s v="CANVIK"/>
        <s v="NET"/>
      </sharedItems>
    </cacheField>
    <cacheField name="Discount Name" numFmtId="0">
      <sharedItems/>
    </cacheField>
    <cacheField name="EAN no." numFmtId="0">
      <sharedItems count="645">
        <s v="5708997351024"/>
        <s v="5708997351130"/>
        <s v="5708997006139"/>
        <s v="5708997351161"/>
        <s v="5708997351178"/>
        <s v="5708997351185"/>
        <s v="5708997351192"/>
        <s v="5708997351215"/>
        <s v="5708997351222"/>
        <s v="5708997122013"/>
        <s v="5708997351239"/>
        <s v="5708997351246"/>
        <s v="5708997351253"/>
        <s v="5708997351277"/>
        <s v="5708997007198"/>
        <s v="5708997351291"/>
        <s v="5708997351307"/>
        <s v="5708997351314"/>
        <s v="5708997351321"/>
        <s v="5708997351338"/>
        <s v="5708997351345"/>
        <s v="5708997351369"/>
        <s v="5708997351376"/>
        <s v="5708997351383"/>
        <s v="5708997007204"/>
        <s v="5708997351390"/>
        <s v="5708997351406"/>
        <s v="5708997351680"/>
        <s v="5708997351697"/>
        <s v="5708997351703"/>
        <s v="5708997351987"/>
        <s v="5708997352007"/>
        <s v="5708997000441"/>
        <s v="5708997001141"/>
        <s v="5708997002551"/>
        <s v="5708997352014"/>
        <s v="5708997000472"/>
        <s v="5708997001158"/>
        <s v="5708997002544"/>
        <s v="5708997352021"/>
        <s v="5708997001165"/>
        <s v="5708997002513"/>
        <s v="5708997352038"/>
        <s v="5708997001172"/>
        <s v="5708997002520"/>
        <s v="5708997352137"/>
        <s v="5708997352144"/>
        <s v="5708997352151"/>
        <s v="5708997352168"/>
        <s v="5708997352182"/>
        <s v="5708997352199"/>
        <s v="5708997352212"/>
        <s v="5708997352229"/>
        <s v="5708997352236"/>
        <s v="5708997352243"/>
        <s v="5708997352250"/>
        <s v="5708997001189"/>
        <s v="5708997002537"/>
        <s v="5708997352298"/>
        <s v="5708997352403"/>
        <s v="5708997003596"/>
        <s v="5708997001561"/>
        <s v="5708997001554"/>
        <s v="5708997006054"/>
        <s v="5708997352434"/>
        <s v="5708997002926"/>
        <s v="5708997001578"/>
        <s v="5708997001608"/>
        <s v="5708997002490"/>
        <s v="5708997352441"/>
        <s v="5708997002483"/>
        <s v="5708997352465"/>
        <s v="5708997352526"/>
        <s v="5708997352571"/>
        <s v="5708997352588"/>
        <s v="5708997352649"/>
        <s v="5708997352656"/>
        <s v="5708997001790"/>
        <s v="5708997002568"/>
        <s v="5708997352687"/>
        <s v="5708997005767"/>
        <s v="5708997352694"/>
        <s v="5708997005774"/>
        <s v="5708997352700"/>
        <s v="5708997352724"/>
        <s v="5708997352731"/>
        <s v="5708997352762"/>
        <s v="5708997352779"/>
        <s v="5708997352793"/>
        <s v="5708997352816"/>
        <s v="5708997352823"/>
        <s v="5708997352830"/>
        <s v="5708997352908"/>
        <s v="5708997353004"/>
        <s v="5708997353011"/>
        <s v="5708997353028"/>
        <s v="5708997353035"/>
        <s v="5708997353059"/>
        <s v="5708997353066"/>
        <s v="5708997353073"/>
        <s v="5708997353080"/>
        <s v="5708997353097"/>
        <s v="5708997353110"/>
        <s v="5708997353127"/>
        <s v="5708997353141"/>
        <s v="5708997353165"/>
        <s v="5708997353172"/>
        <s v="5708997353226"/>
        <s v="5708997353288"/>
        <s v="5708997353301"/>
        <s v="5708997353356"/>
        <s v="5708997001950"/>
        <s v="5708997001776"/>
        <s v="5708997001981"/>
        <s v="5708997353363"/>
        <s v="5708997001967"/>
        <s v="5708997001783"/>
        <s v="5708997353370"/>
        <s v="5708997353387"/>
        <s v="5708997353394"/>
        <s v="5708997353417"/>
        <s v="5708997353424"/>
        <s v="5708997353431"/>
        <s v="5708997353448"/>
        <s v="5708997353455"/>
        <s v="5708997353462"/>
        <s v="5708997353479"/>
        <s v="5708997353486"/>
        <s v="5708997353493"/>
        <s v="5708997353509"/>
        <s v="5708997353516"/>
        <s v="5708997353523"/>
        <s v="5708997353530"/>
        <s v="5708997003268"/>
        <s v="5708997003534"/>
        <s v="5708997004333"/>
        <s v="5708997353547"/>
        <s v="5708997353554"/>
        <s v="5708997353561"/>
        <s v="5708997353578"/>
        <s v="5708997353585"/>
        <s v="5708997353592"/>
        <s v="5708997353608"/>
        <s v="5708997353639"/>
        <s v="5708997353646"/>
        <s v="5708997353653"/>
        <s v="5708997353660"/>
        <s v="5708997353677"/>
        <s v="5708997353684"/>
        <s v="5708997353714"/>
        <s v="5708997353721"/>
        <s v="5708997353738"/>
        <s v="5708997002780"/>
        <s v="5708997002452"/>
        <s v="5708997002636"/>
        <s v="5708997353752"/>
        <s v="5708997353769"/>
        <s v="5708997353783"/>
        <s v="5708997353790"/>
        <s v="5708997353813"/>
        <s v="5708997353820"/>
        <s v="5708997353837"/>
        <s v="5708997353844"/>
        <s v="5708997353875"/>
        <s v="5708997353882"/>
        <s v="5708997353899"/>
        <s v="5708997353905"/>
        <s v="5708997353912"/>
        <s v="5708997353929"/>
        <s v="5708997353936"/>
        <s v="5708997353943"/>
        <s v="5708997353950"/>
        <s v="5708997353967"/>
        <s v="5708997353974"/>
        <s v="5708997354001"/>
        <s v="5708997354063"/>
        <s v="5708997001400"/>
        <s v="5708997354087"/>
        <s v="5708997354315"/>
        <s v="5708997354322"/>
        <s v="5708997354513"/>
        <s v="5708997001844"/>
        <s v="5708997354537"/>
        <s v="5708997354575"/>
        <s v="5708997354599"/>
        <s v="5708997007846"/>
        <s v="5708997354841"/>
        <s v="5708997355350"/>
        <s v="5708997356067"/>
        <s v="5708997356074"/>
        <s v="5708997356098"/>
        <s v="5708997356111"/>
        <s v="5708997356166"/>
        <s v="5708997356173"/>
        <s v="5708997005606"/>
        <s v="5708997005613"/>
        <s v="5708997356180"/>
        <s v="5708997005651"/>
        <s v="5708997356197"/>
        <s v="5708997006665"/>
        <s v="5708997007235"/>
        <s v="5708997356203"/>
        <s v="5708997356210"/>
        <s v="5708997356272"/>
        <s v="5708997356371"/>
        <s v="5708997005194"/>
        <s v="5708997356456"/>
        <s v="5708997356500"/>
        <s v="5708997356579"/>
        <s v="5708997356586"/>
        <s v="5708997356593"/>
        <s v="5708997356630"/>
        <s v="5708997356654"/>
        <s v="5708997356661"/>
        <s v="5708997356692"/>
        <s v="5708997356708"/>
        <s v="5708997356715"/>
        <s v="5708997356739"/>
        <s v="5708997006153"/>
        <s v="5708997356746"/>
        <s v="5708997007891"/>
        <s v="5708997007907"/>
        <s v="5708997007914"/>
        <s v="5708997007921"/>
        <s v="5708997007928"/>
        <s v="5708997356753"/>
        <s v="5708997356760"/>
        <s v="5708997356777"/>
        <s v="5708997356791"/>
        <s v="5708997007945"/>
        <s v="5708997007952"/>
        <s v="5708997007969"/>
        <s v="5708997007976"/>
        <s v="5708997007983"/>
        <s v="5708997356821"/>
        <s v="5708997356845"/>
        <s v="5708997356852"/>
        <s v="5708997356869"/>
        <s v="5708997356906"/>
        <s v="5708997356913"/>
        <s v="5708997356920"/>
        <s v="5708997356937"/>
        <s v="5708997356944"/>
        <s v="5708997356951"/>
        <s v="5708997356968"/>
        <s v="5708997356975"/>
        <s v="5708997356982"/>
        <s v="5708997356999"/>
        <s v="5708997357019"/>
        <s v="5708997357101"/>
        <s v="5708997357118"/>
        <s v="5708997357125"/>
        <s v="5708997357132"/>
        <s v="5708997357149"/>
        <s v="5708997357156"/>
        <s v="5708997357163"/>
        <s v="5708997357170"/>
        <s v="5708997357187"/>
        <s v="5708997357194"/>
        <s v="5708997357200"/>
        <s v="5708997357217"/>
        <s v="5708997357224"/>
        <s v="5708997357262"/>
        <s v="5708997357279"/>
        <s v="5708997357286"/>
        <s v="5708997357293"/>
        <s v="5708997357309"/>
        <s v="5708997357415"/>
        <s v="5708997357422"/>
        <s v="5708997357453"/>
        <s v="5708997357477"/>
        <s v="5708997357484"/>
        <s v="5708997357491"/>
        <s v="5708997357507"/>
        <s v="5708997357514"/>
        <s v="5708997357521"/>
        <s v="5708997357538"/>
        <s v="5708997357545"/>
        <s v="5708997357569"/>
        <s v="5708997035757"/>
        <s v="5708997357583"/>
        <s v="5708997057599"/>
        <s v="5708997357606"/>
        <s v="5708997357613"/>
        <s v="5708997357620"/>
        <s v="5708997357675"/>
        <s v="5708997357682"/>
        <s v="5708997357699"/>
        <s v="5708997357705"/>
        <s v="5708997357729"/>
        <s v="5708997357750"/>
        <s v="5708997357767"/>
        <s v="5708997357774"/>
        <s v="5708997357781"/>
        <s v="5708997357798"/>
        <s v="5708997357804"/>
        <s v="5708997357828"/>
        <s v="5708997357835"/>
        <s v="5708997357859"/>
        <s v="5708997357866"/>
        <s v="5708997357873"/>
        <s v="5708997357880"/>
        <s v="5708997357897"/>
        <s v="5708997357903"/>
        <s v="5708997357910"/>
        <s v="5708997357927"/>
        <s v="5708997357972"/>
        <s v="5708997357989"/>
        <s v="5708997357996"/>
        <s v="5708997358016"/>
        <s v="5708997358023"/>
        <s v="5708997358030"/>
        <s v="5708997005668"/>
        <s v="5708997006429"/>
        <s v="5708997006160"/>
        <s v="5708997005545"/>
        <s v="5708997005583"/>
        <s v="5708997358108"/>
        <s v="5708997358115"/>
        <s v="5708997007211"/>
        <s v="5708997358160"/>
        <s v="5708997008218"/>
        <s v="5708997008225"/>
        <s v="5708997358184"/>
        <s v="5708997008232"/>
        <s v="5708997358191"/>
        <s v="5708997008249"/>
        <s v="5708997358207"/>
        <s v="5708997008256"/>
        <s v="5708997358504"/>
        <s v="5708997359266"/>
        <s v="5708997359112"/>
        <s v="5708997359129"/>
        <s v="5708997359136"/>
        <s v="5708997359150"/>
        <s v="5708997359167"/>
        <s v="5708997359181"/>
        <s v="5708997359204"/>
        <s v="5708997359211"/>
        <s v="5708997359228"/>
        <s v="5708997359242"/>
        <s v="5708997359259"/>
        <s v="5708997359105"/>
        <s v="5708997359280"/>
        <s v="5708997359297"/>
        <s v="5708997359457"/>
        <s v="5708997359495"/>
        <s v="5708997359501"/>
        <s v="5708997359518"/>
        <s v="5708997359525"/>
        <s v="5708997359563"/>
        <s v="5708997359570"/>
        <s v="5708997359587 "/>
        <s v="5708997359594"/>
        <s v="5708997359617"/>
        <s v="5708997359624"/>
        <s v="5708997359631"/>
        <s v="5708997359648"/>
        <s v="5708997359655"/>
        <s v="5708997359662"/>
        <s v="5708997359679"/>
        <s v="5708997359686"/>
        <s v="5708997360040"/>
        <s v="5708997360064"/>
        <s v="5708997003695"/>
        <s v="5708997003701"/>
        <s v="5708997003718"/>
        <s v="5708997360071"/>
        <s v="5708997003725"/>
        <s v="5708997003732"/>
        <s v="5708997005699"/>
        <s v="5708997360088"/>
        <s v="5708997003756"/>
        <s v="5708997003763"/>
        <s v="5708997003770"/>
        <s v="5708997006719"/>
        <s v="5708997006726"/>
        <s v="5708997006733"/>
        <s v="5708997006757"/>
        <s v="5708997006764"/>
        <s v="5708997006771"/>
        <s v="5708997008010"/>
        <s v="5708997006740"/>
        <s v="5708997006962"/>
        <s v="5708997006979"/>
        <s v="5708997006986"/>
        <s v="5708997361214"/>
        <s v="5708997361221"/>
        <s v="5708997006368"/>
        <s v="5708997006795"/>
        <s v="5708997007143"/>
        <s v="5708997006818"/>
        <s v="5708997007150"/>
        <s v="5708997006825"/>
        <s v="5708997007051"/>
        <s v="5708997361245"/>
        <s v="5708997361405"/>
        <s v="5708997361412"/>
        <s v="5708997361429"/>
        <s v="5708997361436"/>
        <s v="5708997361443"/>
        <s v="5708997361450"/>
        <s v="5708997361467"/>
        <s v="5708997361474"/>
        <s v="5708997361481"/>
        <s v="5708997361498"/>
        <s v="5708997361504"/>
        <s v="5708997361511"/>
        <s v="5708997361528"/>
        <s v="5708997361535"/>
        <s v="5708997361542"/>
        <s v="5708997361559"/>
        <s v="5708997361566"/>
        <s v="5708997361573"/>
        <s v="5708997361580"/>
        <s v="5708997361597"/>
        <s v="5708997362006"/>
        <s v="5708997362013"/>
        <s v="5708997362020"/>
        <s v="5708997007792"/>
        <s v="5708997007655"/>
        <s v="5708997362037"/>
        <s v="5708997007808"/>
        <s v="5708997007662"/>
        <s v="5708997362044"/>
        <s v="5708997007280"/>
        <s v="5708997007815"/>
        <s v="5708997007679"/>
        <s v="5708997362051"/>
        <s v="5708997007297"/>
        <s v="5708997007822"/>
        <s v="5708997007686"/>
        <s v="5708997362068"/>
        <s v="5708997007839"/>
        <s v="5708997007693"/>
        <s v="5708997362075"/>
        <s v="5708997362082"/>
        <s v="5708997362099"/>
        <s v="5708997362105"/>
        <s v="5708997362112"/>
        <s v="5708997362129"/>
        <s v="5708997370001"/>
        <s v="5708997370018"/>
        <s v="5708997370025"/>
        <s v="5708997370032"/>
        <s v="5708997370049"/>
        <s v="5708997370056"/>
        <s v="5708997370063"/>
        <s v="5708997370070"/>
        <s v="5708997370087"/>
        <s v="5708997370100"/>
        <s v="5708997370117"/>
        <s v="5708997370124"/>
        <s v="5708997370131"/>
        <s v="5708997370148"/>
        <s v="5708997370155"/>
        <s v="5708997370162"/>
        <s v="5708997370179"/>
        <s v="5708997370186"/>
        <s v="5708997370193"/>
        <s v="5708997370209"/>
        <s v="5708997370216"/>
        <s v="5708997370223"/>
        <s v="5708997370230"/>
        <s v="5708997370247"/>
        <s v="5708997370254"/>
        <s v="5708997370261"/>
        <s v="5708997370278"/>
        <s v="5708997370285"/>
        <s v="5708997370292"/>
        <s v="5708997370308"/>
        <s v="5708997370315"/>
        <s v="5708997370322"/>
        <s v="5708997370407"/>
        <s v="5708997370414"/>
        <s v="5708997370421"/>
        <s v="5708997370438"/>
        <s v="5708997370445"/>
        <s v="5708997370452"/>
        <s v="5708997370469"/>
        <s v="5708997370476"/>
        <s v="5708997370506"/>
        <s v="5708997370513"/>
        <s v="5708997370520"/>
        <s v="5708997370544"/>
        <s v="5708997370605"/>
        <s v="5708997370612"/>
        <s v="5708997370704"/>
        <s v="5708997370711"/>
        <s v="5708997370728"/>
        <s v="5708997370735"/>
        <s v="5708997370742"/>
        <s v="5708997370759"/>
        <s v="5708997370766"/>
        <s v="5708997370773"/>
        <s v="5708997370803"/>
        <s v="5708997370810"/>
        <s v="5708997370827"/>
        <s v="5708997370834"/>
        <s v="5708997370841"/>
        <s v="5708997370902"/>
        <s v="5708997370919"/>
        <s v="5708997370926"/>
        <s v="5708997370933"/>
        <s v="5708997370940"/>
        <s v="5708997370957"/>
        <s v="5708997371008"/>
        <s v="5708997371015"/>
        <s v="5708997371022"/>
        <s v="5708997371039"/>
        <s v="5708997371107"/>
        <s v="5708997371114"/>
        <s v="5708997371121"/>
        <s v="5708997371138"/>
        <s v="5708997371145"/>
        <s v="5708997371206"/>
        <s v="5708997371213"/>
        <s v="5708997371220"/>
        <s v="5708997371237"/>
        <s v="5708997371244"/>
        <s v="5708997371305"/>
        <s v="5708997371312"/>
        <s v="5708997371329"/>
        <s v="5708997371336"/>
        <s v="5708997371343"/>
        <s v="5708997371350"/>
        <s v="5708997601006"/>
        <s v="5708997601204"/>
        <s v="5708997601259"/>
        <s v="5708997601402"/>
        <s v="5708997601501"/>
        <s v="5708997601600"/>
        <s v="5708997601808"/>
        <s v="5708997611005"/>
        <s v="5708997611203"/>
        <s v="5708997611258"/>
        <s v="5708997611401"/>
        <s v="5708997611500"/>
        <s v="5708997611609"/>
        <s v="5708997611807"/>
        <s v="5708997621004"/>
        <s v="5708997621202"/>
        <s v="5708997621257"/>
        <s v="5708997621400"/>
        <s v="5708997621509"/>
        <s v="5708997621608"/>
        <s v="5708997621806"/>
        <s v="5708997631003"/>
        <s v="5708997631201"/>
        <s v="5708997631256"/>
        <s v="5708997631409"/>
        <s v="5708997631508"/>
        <s v="5708997631607"/>
        <s v="5708997631805"/>
        <s v="5708997641002"/>
        <s v="5708997641255"/>
        <s v="5708997641408"/>
        <s v="5708997641507"/>
        <s v="5708997651001"/>
        <s v="5708997651254"/>
        <s v="5708997651407"/>
        <s v="5708997651506"/>
        <s v="5708997681008"/>
        <s v="5708997681206"/>
        <s v="5708997681251"/>
        <s v="5708997681404"/>
        <s v="5708997681503"/>
        <s v="5708997681602"/>
        <s v="5708997691007"/>
        <s v="5708997691205"/>
        <s v="5708997691250"/>
        <s v="5708997691403"/>
        <s v="5708997691502"/>
        <s v="5708997691601"/>
        <s v="5708926100082"/>
        <s v="5708926100105"/>
        <s v="5708926100129"/>
        <s v="5708926100051"/>
        <s v="5708926100068"/>
        <s v="5708926101102"/>
        <s v="5708926200010"/>
        <s v="5708926301151"/>
        <s v="5708926301199"/>
        <s v="5708997901380"/>
        <s v="5708997901922"/>
        <s v="5708997901939"/>
        <s v="5708997902202"/>
        <s v="5708997902356"/>
        <s v="5708997902363"/>
        <s v="5708997902967"/>
        <s v="5708997903308"/>
        <s v="5708997903315"/>
        <s v="5708997903384"/>
        <s v="5708997903506"/>
        <s v="5708997903513"/>
        <s v="5708997903896"/>
        <s v="5708997903902"/>
        <s v="5708997904442"/>
        <s v="5708997904497"/>
        <s v="5708997904954"/>
        <s v="5708997905111"/>
        <s v="5708997905159"/>
        <s v="5708997905180"/>
        <s v="5708997905845"/>
        <s v="5708926900101"/>
        <s v="5708926900200"/>
        <s v="5708926900255"/>
        <s v="5708926900309"/>
        <s v="5708926900507"/>
        <s v="5708926900606"/>
        <s v="5708926900705"/>
        <s v="5708926900750"/>
        <s v="5708926900804"/>
        <s v="5708926900859"/>
        <s v="5708926900903"/>
        <s v="5708926900958"/>
        <s v="5708926901009"/>
        <s v="5708926901108"/>
        <s v="5708926250039"/>
        <s v="5708926250145"/>
        <s v="5708997906064"/>
        <s v="5708997300008"/>
        <s v="5708997300015"/>
        <s v="5708997300022"/>
        <s v="5708997300039"/>
        <s v="5708997300046"/>
        <s v="5708997300053"/>
        <s v="5708997300060"/>
        <s v="5708997300077"/>
        <s v="5708997300084"/>
        <s v="5708997300091"/>
        <s v="5708997300107"/>
        <s v="5708997300114"/>
        <s v="5708997300121"/>
        <s v="5708997300152"/>
        <s v="5708997356258"/>
        <s v="5708997359778"/>
        <s v="5708997359600"/>
        <s v="5708997359754"/>
        <s v="5708997358252"/>
        <s v="5708997353981"/>
        <s v="5708997352717"/>
        <s v="5708997359792"/>
        <s v="5708997359808"/>
        <s v="5708997352854"/>
      </sharedItems>
    </cacheField>
    <cacheField name="Box qty" numFmtId="0">
      <sharedItems containsMixedTypes="1" containsNumber="1" containsInteger="1" minValue="1" maxValue="144" count="17">
        <n v="144"/>
        <n v="24"/>
        <n v="50"/>
        <s v=" "/>
        <n v="48"/>
        <n v="1"/>
        <n v="30"/>
        <n v="10"/>
        <n v="20"/>
        <n v="40"/>
        <n v="12"/>
        <n v="4"/>
        <n v="3"/>
        <n v="6"/>
        <n v="96"/>
        <n v="100"/>
        <n v="18"/>
      </sharedItems>
    </cacheField>
    <cacheField name="Plug variant" numFmtId="0">
      <sharedItems count="16">
        <s v=" "/>
        <s v="Type G (UK plug)"/>
        <s v="Type A (US plug)"/>
        <s v="Type I (AU plug)"/>
        <s v="Type F (Schuko plug)"/>
        <s v="Type J (Schuko plug w/Swiss Adapter)"/>
        <s v="Type G (UK plug adapter)"/>
        <s v="Type J (Swiss)"/>
        <s v="Type C (Euro plug)"/>
        <s v="Type G - UK"/>
        <s v="Type C - Europlug"/>
        <s v="Type A (JPN plug)"/>
        <s v="Type F - Schuko"/>
        <s v="Charger not included"/>
        <s v="  "/>
        <s v="Type I - AU"/>
      </sharedItems>
    </cacheField>
    <cacheField name="2026 (EUR)" numFmtId="4">
      <sharedItems containsMixedTypes="1" containsNumber="1" minValue="0.5" maxValue="3374.9" count="240">
        <n v="8.9"/>
        <n v="14.9"/>
        <n v="37.9"/>
        <n v="42.9"/>
        <n v="3.8000000000000003"/>
        <n v="21.9"/>
        <n v="12.9"/>
        <n v="54.9"/>
        <n v="10.9"/>
        <n v="4.3"/>
        <n v="29.9"/>
        <n v="19.3"/>
        <n v="15.9"/>
        <n v="19.899999999999999"/>
        <n v="27.9"/>
        <n v="34.9"/>
        <n v="44.9"/>
        <n v="14.5"/>
        <n v="39.9"/>
        <n v="59.9"/>
        <n v="69.900000000000006"/>
        <n v="14"/>
        <n v="11.9"/>
        <n v="6.5"/>
        <n v="1514.9"/>
        <n v="1009.9"/>
        <n v="393.9"/>
        <n v="241.9"/>
        <n v="4.1999999999999993"/>
        <n v="6.6999999999999993"/>
        <n v="8.5"/>
        <n v="23.9"/>
        <n v="31.9"/>
        <n v="26.9"/>
        <n v="120.89999999999999"/>
        <n v="201.9"/>
        <n v="231.89999999999998"/>
        <n v="272.90000000000003"/>
        <n v="403.90000000000003"/>
        <n v="31.5"/>
        <n v="169.9"/>
        <n v="104.89999999999999"/>
        <n v="92.899999999999991"/>
        <n v="70.899999999999991"/>
        <n v="56.9"/>
        <n v="669.9"/>
        <n v="1069.9000000000001"/>
        <n v="314.89999999999998"/>
        <n v="2184.9"/>
        <n v="3374.9"/>
        <n v="74.900000000000006"/>
        <n v="20.9"/>
        <n v="5.5"/>
        <n v="51.9"/>
        <n v="35.9"/>
        <n v="13.9"/>
        <n v="9.6"/>
        <n v="2.5"/>
        <n v="10.6"/>
        <n v="3.1"/>
        <n v="2.1"/>
        <n v="3.3000000000000003"/>
        <n v="61.600000000000009"/>
        <n v="5.9"/>
        <n v="53.9"/>
        <n v="58.9"/>
        <n v="12.4"/>
        <n v="8.1"/>
        <n v="8.6"/>
        <n v="4.0999999999999996"/>
        <n v="9.9"/>
        <n v="2.7"/>
        <n v="80.900000000000006"/>
        <n v="83.9"/>
        <n v="47.9"/>
        <n v="24.9"/>
        <n v="11.6"/>
        <n v="18.200000000000003"/>
        <n v="32.9"/>
        <n v="1.3"/>
        <n v="7.3"/>
        <n v="16.100000000000001"/>
        <n v="6.3999999999999995"/>
        <n v="18.3"/>
        <n v="7.3999999999999995"/>
        <n v="52.899999999999991"/>
        <n v="61.900000000000006"/>
        <n v="79.900000000000006"/>
        <n v="129.9"/>
        <n v="134.9"/>
        <n v="154.9"/>
        <n v="149.9"/>
        <n v="179.9"/>
        <n v="104.9"/>
        <n v="145.9"/>
        <n v="41.9"/>
        <n v="62.9"/>
        <n v="279.89999999999998"/>
        <n v="769.9"/>
        <n v="479.9"/>
        <n v="99.9"/>
        <n v="164.9"/>
        <n v="94.9"/>
        <n v="139.9"/>
        <n v="84.9"/>
        <n v="274.89999999999998"/>
        <n v="219.9"/>
        <n v="329.9"/>
        <n v="379.9"/>
        <n v="89.9"/>
        <n v="64.899999999999991"/>
        <n v="49.9"/>
        <n v="17.3"/>
        <n v="10.4"/>
        <n v="12.1"/>
        <n v="8.2999999999999989"/>
        <n v="14.299999999999999"/>
        <n v="7.9"/>
        <n v="7.5"/>
        <n v="12.6"/>
        <n v="25.200000000000003"/>
        <n v="50.9"/>
        <n v="30.9"/>
        <n v="22.9"/>
        <n v="10.5"/>
        <n v="8"/>
        <n v="6.1999999999999993"/>
        <n v="78"/>
        <n v="10.1"/>
        <n v="11.2"/>
        <n v="85.9"/>
        <n v="190.9"/>
        <n v="7.75"/>
        <n v="1.95"/>
        <n v="187.9"/>
        <n v="439.9"/>
        <n v="1379.9"/>
        <n v="419.9"/>
        <s v="Net"/>
        <n v="64.900000000000006"/>
        <n v="2.9"/>
        <n v="33.9"/>
        <n v="3.9"/>
        <n v="1.9"/>
        <n v="189.9"/>
        <n v="299.89999999999998"/>
        <n v="304.89999999999998"/>
        <n v="269.89999999999998"/>
        <n v="119.9"/>
        <n v="214.9"/>
        <n v="254.9"/>
        <n v="284.89999999999998"/>
        <n v="45.9"/>
        <n v="77.900000000000006"/>
        <n v="71.900000000000006"/>
        <n v="1.1000000000000001"/>
        <n v="4.2"/>
        <n v="3"/>
        <n v="1.7"/>
        <n v="9.6999999999999993"/>
        <n v="9.3000000000000007"/>
        <n v="0.5"/>
        <n v="6.4"/>
        <n v="4.7"/>
        <n v="3.4"/>
        <n v="16.899999999999999"/>
        <n v="3.6"/>
        <n v="18.600000000000001"/>
        <n v="5.7"/>
        <n v="24.1"/>
        <n v="1.2"/>
        <n v="22"/>
        <n v="1"/>
        <n v="2.2999999999999998"/>
        <n v="11.4"/>
        <n v="10.199999999999999"/>
        <n v="26.7"/>
        <n v="36.799999999999997"/>
        <n v="1.4"/>
        <n v="4"/>
        <n v="14.4"/>
        <n v="36"/>
        <n v="13.5"/>
        <n v="0.8"/>
        <n v="5.3"/>
        <n v="16.5"/>
        <n v="17.399999999999999"/>
        <n v="6.8"/>
        <n v="7.8"/>
        <n v="6.1"/>
        <n v="11"/>
        <n v="7.6"/>
        <n v="2.8"/>
        <n v="18.2"/>
        <n v="29.5"/>
        <n v="30.6"/>
        <n v="31.7"/>
        <n v="37.200000000000003"/>
        <n v="35"/>
        <n v="39.4"/>
        <n v="40.5"/>
        <n v="34"/>
        <n v="35.1"/>
        <n v="129.5"/>
        <n v="128.30000000000001"/>
        <n v="130.6"/>
        <n v="132.69999999999999"/>
        <n v="129.4"/>
        <n v="127.3"/>
        <n v="107.9"/>
        <n v="124.9"/>
        <n v="624.9"/>
        <n v="689.9"/>
        <n v="404.9"/>
        <n v="93.9"/>
        <n v="109.9"/>
        <n v="399.9"/>
        <n v="39"/>
        <n v="45"/>
        <n v="319.89999999999998"/>
        <n v="48.9"/>
        <n v="25"/>
        <n v="465"/>
        <n v="96.9"/>
        <n v="171.9"/>
        <n v="739.9"/>
        <n v="1179.9000000000001"/>
        <n v="104.8"/>
        <n v="159.9"/>
        <n v="86.9"/>
        <n v="103.9"/>
        <n v="235.9"/>
        <n v="184.9"/>
        <n v="217.9"/>
        <n v="148.9"/>
        <n v="144.9"/>
        <n v="369.9"/>
        <n v="4.9000000000000004"/>
        <n v="249.9"/>
        <n v="18.899999999999999"/>
      </sharedItems>
    </cacheField>
    <cacheField name="2026 (DKK)" numFmtId="4">
      <sharedItems containsMixedTypes="1" containsNumber="1" minValue="4" maxValue="25109.9" count="297">
        <n v="69.900000000000006"/>
        <n v="110.9"/>
        <n v="109.9"/>
        <n v="279.89999999999998"/>
        <n v="319.89999999999998"/>
        <n v="27.9"/>
        <n v="162.9"/>
        <n v="95.9"/>
        <n v="409.9"/>
        <n v="80.900000000000006"/>
        <n v="31.9"/>
        <n v="222.9"/>
        <n v="143.9"/>
        <n v="219.89999999999998"/>
        <n v="219.9"/>
        <n v="117.9"/>
        <n v="149.9"/>
        <n v="209.9"/>
        <n v="259.89999999999998"/>
        <n v="333.9"/>
        <n v="107.9"/>
        <n v="299.89999999999998"/>
        <n v="439.9"/>
        <n v="519.9"/>
        <n v="104"/>
        <n v="89.9"/>
        <n v="49.9"/>
        <n v="11269.9"/>
        <n v="7513.9"/>
        <n v="2929.9"/>
        <n v="1799.9"/>
        <n v="29.9"/>
        <n v="62.9"/>
        <n v="177.9"/>
        <n v="236.9"/>
        <n v="199.9"/>
        <n v="899.9"/>
        <n v="1499.9"/>
        <n v="1724.9"/>
        <n v="2029.9"/>
        <n v="2999.9"/>
        <n v="229.9"/>
        <n v="1259.9000000000001"/>
        <n v="779.9"/>
        <n v="689.9"/>
        <n v="444.9"/>
        <n v="318.89999999999998"/>
        <n v="529.9"/>
        <n v="419.9"/>
        <n v="4979.8999999999996"/>
        <n v="7959.9"/>
        <n v="2339.9"/>
        <n v="16255.9"/>
        <n v="25109.9"/>
        <n v="554.9"/>
        <n v="159.9"/>
        <n v="39.9"/>
        <n v="389.9"/>
        <n v="269.89999999999998"/>
        <n v="63.9"/>
        <n v="99.9"/>
        <n v="18.899999999999999"/>
        <n v="19.899999999999999"/>
        <n v="79.900000000000006"/>
        <n v="22.9"/>
        <n v="15.9"/>
        <n v="24.9"/>
        <n v="221.9"/>
        <n v="457.9"/>
        <n v="43.9"/>
        <n v="399.9"/>
        <n v="88.9"/>
        <n v="91.9"/>
        <n v="239.9"/>
        <n v="281.89999999999998"/>
        <n v="59.9"/>
        <n v="30.9"/>
        <n v="73.900000000000006"/>
        <n v="601.9"/>
        <n v="623.9"/>
        <n v="119.9"/>
        <n v="355.9"/>
        <n v="296.89999999999998"/>
        <n v="422.9"/>
        <n v="184.9"/>
        <n v="85.9"/>
        <n v="134.9"/>
        <n v="104.9"/>
        <n v="244.9"/>
        <n v="9.9"/>
        <n v="53.9"/>
        <n v="234.9"/>
        <n v="47.9"/>
        <n v="135.9"/>
        <n v="54.9"/>
        <n v="65.900000000000006"/>
        <n v="459.90000000000003"/>
        <n v="589.9"/>
        <n v="966.9"/>
        <n v="999.9"/>
        <n v="1152.9000000000001"/>
        <n v="1114.9000000000001"/>
        <n v="1349.9"/>
        <n v="459.9"/>
        <n v="1085.9000000000001"/>
        <n v="308.89999999999998"/>
        <n v="467.9"/>
        <n v="2082.9"/>
        <n v="5728.9"/>
        <n v="3570.9"/>
        <n v="739.9"/>
        <n v="334.9"/>
        <n v="1226.9000000000001"/>
        <n v="699.9"/>
        <n v="1039.9000000000001"/>
        <n v="629.9"/>
        <n v="249.9"/>
        <n v="169.9"/>
        <n v="2044.9"/>
        <n v="1639.9"/>
        <n v="2459.9"/>
        <n v="1029.9000000000001"/>
        <n v="2824.9"/>
        <n v="1264.9000000000001"/>
        <n v="668.9"/>
        <n v="479.9"/>
        <n v="559.9"/>
        <n v="669.9"/>
        <n v="369.9"/>
        <n v="154.9"/>
        <n v="128.9"/>
        <n v="147.9"/>
        <n v="70.900000000000006"/>
        <n v="76.900000000000006"/>
        <n v="61.9"/>
        <n v="105.9"/>
        <n v="58.9"/>
        <n v="55.9"/>
        <n v="93.9"/>
        <n v="186.9"/>
        <n v="378.9"/>
        <n v="445.9"/>
        <n v="170.9"/>
        <n v="77.900000000000006"/>
        <n v="59"/>
        <n v="45.9"/>
        <n v="580.29999999999995"/>
        <n v="74.900000000000006"/>
        <n v="370.9"/>
        <n v="82.9"/>
        <n v="638.9"/>
        <n v="1419.9"/>
        <n v="56"/>
        <n v="14.5"/>
        <n v="1397.9"/>
        <n v="3272.9"/>
        <n v="10266.9"/>
        <n v="309.89999999999998"/>
        <n v="3124.9"/>
        <s v="Net"/>
        <n v="44.9"/>
        <n v="482.9"/>
        <n v="94.9"/>
        <n v="21.5"/>
        <n v="224.9"/>
        <n v="208"/>
        <n v="252.5"/>
        <n v="28.9"/>
        <n v="17.899999999999999"/>
        <n v="594.9"/>
        <n v="743.9"/>
        <n v="1409.9"/>
        <n v="2231.9"/>
        <n v="2268"/>
        <n v="1999.9"/>
        <n v="1339.9"/>
        <n v="449.9"/>
        <n v="599.9"/>
        <n v="894.9"/>
        <n v="445"/>
        <n v="179.9"/>
        <n v="1149.9000000000001"/>
        <n v="1598.9"/>
        <n v="1896.9"/>
        <n v="2119.9"/>
        <n v="339.9"/>
        <n v="579.9"/>
        <n v="534.9"/>
        <n v="8.5"/>
        <n v="31.5"/>
        <n v="22.5"/>
        <n v="13"/>
        <n v="66.5"/>
        <n v="72.5"/>
        <n v="69.5"/>
        <n v="4"/>
        <n v="48"/>
        <n v="35"/>
        <n v="25.5"/>
        <n v="126"/>
        <n v="27"/>
        <n v="138.5"/>
        <n v="16"/>
        <n v="63.5"/>
        <n v="42.5"/>
        <n v="179.5"/>
        <n v="79"/>
        <n v="9"/>
        <n v="164"/>
        <n v="7.5"/>
        <n v="17.5"/>
        <n v="85"/>
        <n v="76"/>
        <n v="199"/>
        <n v="274"/>
        <n v="148.5"/>
        <n v="10.5"/>
        <n v="334.5"/>
        <n v="30"/>
        <n v="120"/>
        <n v="104.5"/>
        <n v="107.5"/>
        <n v="268"/>
        <n v="100.5"/>
        <n v="90.5"/>
        <n v="6"/>
        <n v="39.5"/>
        <n v="44"/>
        <n v="123"/>
        <n v="129.5"/>
        <n v="51"/>
        <n v="58.5"/>
        <n v="89"/>
        <n v="45.5"/>
        <n v="77.5"/>
        <n v="82"/>
        <n v="57"/>
        <n v="86.5"/>
        <n v="21"/>
        <n v="19"/>
        <n v="135.5"/>
        <n v="220.9"/>
        <n v="227.9"/>
        <n v="235.9"/>
        <n v="252.9"/>
        <n v="277.89999999999998"/>
        <n v="260.89999999999998"/>
        <n v="293.89999999999998"/>
        <n v="301.89999999999998"/>
        <n v="253.9"/>
        <n v="963.9"/>
        <n v="955.9"/>
        <n v="972.9"/>
        <n v="897.9"/>
        <n v="962.9"/>
        <n v="947.9"/>
        <n v="987.9"/>
        <n v="802.9"/>
        <n v="929.9"/>
        <n v="4649.8999999999996"/>
        <n v="5132.8999999999996"/>
        <n v="3012.9"/>
        <n v="698.9"/>
        <n v="817.9"/>
        <n v="2968.9"/>
        <n v="290"/>
        <n v="335"/>
        <n v="2379.9"/>
        <n v="364.9"/>
        <n v="66"/>
        <n v="189"/>
        <n v="3460"/>
        <n v="719.9"/>
        <n v="1279.9000000000001"/>
        <n v="5499.9"/>
        <n v="8779.9"/>
        <n v="60"/>
        <n v="289"/>
        <n v="784.8"/>
        <n v="1189.9000000000001"/>
        <n v="557.9"/>
        <n v="646.9"/>
        <n v="624.9"/>
        <n v="773.9"/>
        <n v="1755.9"/>
        <n v="1375.9"/>
        <n v="1621.9"/>
        <n v="1107.9000000000001"/>
        <n v="1078.9000000000001"/>
        <n v="2752.9"/>
        <n v="36.9"/>
        <n v="1399.9"/>
        <n v="149"/>
        <n v="299"/>
        <n v="109"/>
        <n v="1859.9"/>
        <n v="139.9"/>
      </sharedItems>
    </cacheField>
    <cacheField name="2026 (USD)" numFmtId="4">
      <sharedItems containsMixedTypes="1" containsNumber="1" minValue="0" maxValue="3636.9" count="246">
        <n v="10.199999999999999"/>
        <n v="17.899999999999999"/>
        <n v="16.899999999999999"/>
        <n v="46.9"/>
        <n v="48.9"/>
        <n v="3.9"/>
        <n v="23.9"/>
        <n v="13.9"/>
        <n v="59.9"/>
        <n v="11.9"/>
        <n v="4.9000000000000004"/>
        <n v="36.9"/>
        <n v="21.9"/>
        <n v="35.9"/>
        <n v="33.9"/>
        <n v="41.9"/>
        <n v="53.9"/>
        <n v="15.9"/>
        <n v="47.9"/>
        <n v="64.900000000000006"/>
        <n v="84.9"/>
        <n v="12.9"/>
        <n v="6.9"/>
        <n v="1859.9"/>
        <n v="1239.9000000000001"/>
        <n v="482.9"/>
        <n v="296.89999999999998"/>
        <n v="5"/>
        <n v="7.9"/>
        <n v="9.9"/>
        <n v="25.9"/>
        <n v="30.9"/>
        <n v="148.9"/>
        <n v="247.9"/>
        <n v="284.89999999999998"/>
        <n v="334.9"/>
        <n v="495.9"/>
        <n v="38.9"/>
        <n v="210.9"/>
        <n v="126.9"/>
        <n v="111.9"/>
        <n v="62.9"/>
        <n v="39.9"/>
        <n v="86.9"/>
        <n v="65.900000000000006"/>
        <n v="729.9"/>
        <n v="1179.9000000000001"/>
        <n v="349.9"/>
        <n v="2424.9"/>
        <n v="3636.9"/>
        <n v="29.5"/>
        <n v="79.900000000000006"/>
        <n v="6"/>
        <n v="63.9"/>
        <n v="10.9"/>
        <n v="2.9"/>
        <n v="3.6"/>
        <n v="32.9"/>
        <n v="67.900000000000006"/>
        <n v="34.9"/>
        <n v="61.9"/>
        <n v="14.9"/>
        <n v="8.9"/>
        <n v="90.9"/>
        <n v="93.9"/>
        <n v="44.9"/>
        <n v="27.9"/>
        <n v="29.9"/>
        <n v="20.9"/>
        <n v="26.9"/>
        <n v="1.49"/>
        <n v="43.9"/>
        <n v="4.09"/>
        <n v="74.900000000000006"/>
        <n v="92.9"/>
        <n v="144.9"/>
        <n v="149.9"/>
        <n v="171.9"/>
        <n v="180.9"/>
        <n v="214.9"/>
        <n v="76.900000000000006"/>
        <n v="123.9"/>
        <n v="155.9"/>
        <n v="70.900000000000006"/>
        <n v="313.89999999999998"/>
        <n v="847.9"/>
        <n v="519.89599999999996"/>
        <n v="49.9"/>
        <n v="183.9"/>
        <n v="108.9"/>
        <n v="156.9"/>
        <n v="150.9"/>
        <n v="89.9"/>
        <n v="37.9"/>
        <n v="24.9"/>
        <n v="299.89999999999998"/>
        <n v="239.9"/>
        <n v="359.9"/>
        <n v="159.9"/>
        <n v="414.9"/>
        <n v="188.9"/>
        <n v="99.9"/>
        <n v="78.900000000000006"/>
        <n v="52.9"/>
        <n v="107.9"/>
        <n v="55.9"/>
        <n v="18.899999999999999"/>
        <n v="56.9"/>
        <n v="22.9"/>
        <n v="45.9"/>
        <n v="66.900000000000006"/>
        <n v="11.1"/>
        <n v="13.8"/>
        <n v="18.5"/>
        <n v="54.9"/>
        <n v="12.2"/>
        <n v="14.6"/>
        <n v="89"/>
        <n v="209.9"/>
        <n v="2.2999999999999998"/>
        <n v="205.9"/>
        <n v="502.9"/>
        <n v="1525.9"/>
        <n v="459.9"/>
        <s v="Net"/>
        <n v="9.3000000000000007"/>
        <n v="3"/>
        <n v="30.700000000000003"/>
        <n v="37.300000000000004"/>
        <n v="19.899999999999999"/>
        <n v="4.2"/>
        <n v="2.2000000000000002"/>
        <n v="325.89999999999998"/>
        <n v="338.9"/>
        <n v="145.9"/>
        <n v="91.9"/>
        <n v="289.89999999999998"/>
        <n v="199.9"/>
        <n v="189.9"/>
        <n v="134.9"/>
        <n v="58.9"/>
        <n v="94.9"/>
        <n v="69.900000000000006"/>
        <n v="129.9"/>
        <n v="172.9"/>
        <n v="238.9"/>
        <n v="282.89999999999998"/>
        <n v="316.89999999999998"/>
        <n v="68.900000000000006"/>
        <n v="1.3"/>
        <n v="4.7"/>
        <n v="3.3000000000000003"/>
        <n v="1.9000000000000001"/>
        <n v="9.8000000000000007"/>
        <n v="10.700000000000001"/>
        <n v="10.3"/>
        <n v="0.60000000000000009"/>
        <n v="7.1000000000000005"/>
        <n v="5.2"/>
        <n v="3.8000000000000003"/>
        <n v="18.600000000000001"/>
        <n v="4"/>
        <n v="20.5"/>
        <n v="2.4000000000000004"/>
        <n v="9.4"/>
        <n v="6.3000000000000007"/>
        <n v="26.6"/>
        <n v="11.700000000000001"/>
        <n v="1.4000000000000001"/>
        <n v="24.200000000000003"/>
        <n v="1.1000000000000001"/>
        <n v="2.6"/>
        <n v="12.600000000000001"/>
        <n v="11.3"/>
        <n v="29.400000000000002"/>
        <n v="40.5"/>
        <n v="21.900000000000002"/>
        <n v="1.6"/>
        <n v="49.400000000000006"/>
        <n v="4.4000000000000004"/>
        <n v="17.8"/>
        <n v="15.4"/>
        <n v="39.6"/>
        <n v="13.4"/>
        <n v="0.9"/>
        <n v="5.9"/>
        <n v="6.5"/>
        <n v="18.2"/>
        <n v="19.200000000000003"/>
        <n v="7.5"/>
        <n v="8.6"/>
        <n v="13.100000000000001"/>
        <n v="6.8000000000000007"/>
        <n v="11.5"/>
        <n v="12.100000000000001"/>
        <n v="8.4"/>
        <n v="12.8"/>
        <n v="3.1"/>
        <n v="2.8000000000000003"/>
        <n v="20.100000000000001"/>
        <n v="34.200000000000003"/>
        <n v="35.299999999999997"/>
        <n v="38.4"/>
        <n v="37.4"/>
        <n v="39.4"/>
        <n v="37.299999999999997"/>
        <n v="41.5"/>
        <n v="44.6"/>
        <n v="45.7"/>
        <n v="144.5"/>
        <n v="147.6"/>
        <n v="149.69999999999999"/>
        <n v="148.6"/>
        <n v="152.80000000000001"/>
        <n v="151.69999999999999"/>
        <n v="119.9"/>
        <n v="139.9"/>
        <n v="133.9"/>
        <n v="692.9"/>
        <n v="769.9"/>
        <n v="450.9"/>
        <n v="103.9"/>
        <n v="121.9"/>
        <n v="443.9"/>
        <n v="371.9"/>
        <n v="516.9"/>
        <n v="192.9"/>
        <n v="802.9"/>
        <n v="1281.9000000000001"/>
        <n v="72.900000000000006"/>
        <n v="114.9"/>
        <n v="174.9"/>
        <n v="96.9"/>
        <n v="115.9"/>
        <n v="261.89999999999998"/>
        <n v="311.89999999999998"/>
        <n v="241.9"/>
        <n v="165.9"/>
        <n v="162.9"/>
        <n v="207.9"/>
        <n v="409.9"/>
        <n v="0"/>
        <n v="51.9"/>
        <n v="269.89999999999998"/>
        <n v="20"/>
        <n v="24"/>
      </sharedItems>
    </cacheField>
    <cacheField name="2026 Net (EUR)" numFmtId="4">
      <sharedItems containsMixedTypes="1" containsNumber="1" minValue="0.5" maxValue="3374.9" count="240">
        <n v="8.9"/>
        <n v="14.9"/>
        <n v="37.9"/>
        <n v="42.9"/>
        <n v="3.8000000000000003"/>
        <n v="21.9"/>
        <n v="12.9"/>
        <n v="54.9"/>
        <n v="10.9"/>
        <n v="4.3"/>
        <n v="29.9"/>
        <n v="19.3"/>
        <n v="15.9"/>
        <n v="19.899999999999999"/>
        <n v="27.9"/>
        <n v="34.9"/>
        <n v="44.9"/>
        <n v="14.5"/>
        <n v="39.9"/>
        <n v="59.9"/>
        <n v="69.900000000000006"/>
        <n v="14"/>
        <n v="11.9"/>
        <n v="6.5"/>
        <n v="1514.9"/>
        <n v="1009.9"/>
        <n v="393.9"/>
        <n v="241.9"/>
        <n v="4.1999999999999993"/>
        <n v="6.6999999999999993"/>
        <n v="8.5"/>
        <n v="23.9"/>
        <n v="31.9"/>
        <n v="26.9"/>
        <n v="120.89999999999999"/>
        <n v="201.9"/>
        <n v="231.89999999999998"/>
        <n v="272.90000000000003"/>
        <n v="403.90000000000003"/>
        <n v="31.5"/>
        <n v="169.9"/>
        <n v="104.89999999999999"/>
        <n v="92.899999999999991"/>
        <n v="70.899999999999991"/>
        <n v="56.9"/>
        <n v="669.9"/>
        <n v="1069.9000000000001"/>
        <n v="314.89999999999998"/>
        <n v="2184.9"/>
        <n v="3374.9"/>
        <n v="74.900000000000006"/>
        <n v="20.9"/>
        <n v="5.5"/>
        <n v="51.9"/>
        <n v="35.9"/>
        <n v="13.9"/>
        <n v="9.6"/>
        <n v="2.5"/>
        <n v="10.6"/>
        <n v="3.1"/>
        <n v="2.1"/>
        <n v="3.3000000000000003"/>
        <n v="61.600000000000009"/>
        <n v="5.9"/>
        <n v="53.9"/>
        <n v="58.9"/>
        <n v="12.4"/>
        <n v="8.1"/>
        <n v="8.6"/>
        <n v="4.0999999999999996"/>
        <n v="9.9"/>
        <n v="2.7"/>
        <n v="80.900000000000006"/>
        <n v="83.9"/>
        <n v="47.9"/>
        <n v="24.9"/>
        <n v="11.6"/>
        <n v="18.200000000000003"/>
        <n v="32.9"/>
        <n v="1.3"/>
        <n v="7.3"/>
        <n v="16.100000000000001"/>
        <n v="6.3999999999999995"/>
        <n v="18.3"/>
        <n v="7.3999999999999995"/>
        <n v="52.899999999999991"/>
        <n v="61.900000000000006"/>
        <n v="79.900000000000006"/>
        <n v="129.9"/>
        <n v="134.9"/>
        <n v="154.9"/>
        <n v="149.9"/>
        <n v="179.9"/>
        <n v="104.9"/>
        <n v="145.9"/>
        <n v="41.9"/>
        <n v="62.9"/>
        <n v="279.89999999999998"/>
        <n v="769.9"/>
        <n v="479.9"/>
        <n v="99.9"/>
        <n v="164.9"/>
        <n v="94.9"/>
        <n v="139.9"/>
        <n v="84.9"/>
        <n v="274.89999999999998"/>
        <n v="219.9"/>
        <n v="329.9"/>
        <n v="379.9"/>
        <n v="89.9"/>
        <n v="64.899999999999991"/>
        <n v="49.9"/>
        <n v="17.3"/>
        <n v="10.4"/>
        <n v="12.1"/>
        <n v="8.2999999999999989"/>
        <n v="14.299999999999999"/>
        <n v="7.9"/>
        <n v="7.5"/>
        <n v="12.6"/>
        <n v="25.200000000000003"/>
        <n v="50.9"/>
        <n v="30.9"/>
        <n v="22.9"/>
        <n v="10.5"/>
        <n v="8"/>
        <n v="6.1999999999999993"/>
        <n v="78"/>
        <n v="10.1"/>
        <n v="11.2"/>
        <n v="85.9"/>
        <n v="190.9"/>
        <n v="7.75"/>
        <n v="1.95"/>
        <n v="187.9"/>
        <n v="439.9"/>
        <n v="1379.9"/>
        <n v="419.9"/>
        <s v="Net"/>
        <n v="64.900000000000006"/>
        <n v="2.9"/>
        <n v="33.9"/>
        <n v="3.9"/>
        <n v="1.9"/>
        <n v="189.9"/>
        <n v="299.89999999999998"/>
        <n v="304.89999999999998"/>
        <n v="269.89999999999998"/>
        <n v="119.9"/>
        <n v="214.9"/>
        <n v="254.9"/>
        <n v="284.89999999999998"/>
        <n v="45.9"/>
        <n v="77.900000000000006"/>
        <n v="71.900000000000006"/>
        <n v="1.1000000000000001"/>
        <n v="4.2"/>
        <n v="3"/>
        <n v="1.7"/>
        <n v="9.6999999999999993"/>
        <n v="9.3000000000000007"/>
        <n v="0.5"/>
        <n v="6.4"/>
        <n v="4.7"/>
        <n v="3.4"/>
        <n v="16.899999999999999"/>
        <n v="3.6"/>
        <n v="18.600000000000001"/>
        <n v="5.7"/>
        <n v="24.1"/>
        <n v="1.2"/>
        <n v="22"/>
        <n v="1"/>
        <n v="2.2999999999999998"/>
        <n v="11.4"/>
        <n v="10.199999999999999"/>
        <n v="26.7"/>
        <n v="36.799999999999997"/>
        <n v="1.4"/>
        <n v="4"/>
        <n v="14.4"/>
        <n v="36"/>
        <n v="13.5"/>
        <n v="0.8"/>
        <n v="5.3"/>
        <n v="16.5"/>
        <n v="17.399999999999999"/>
        <n v="6.8"/>
        <n v="7.8"/>
        <n v="6.1"/>
        <n v="11"/>
        <n v="7.6"/>
        <n v="2.8"/>
        <n v="18.2"/>
        <n v="29.5"/>
        <n v="30.6"/>
        <n v="31.7"/>
        <n v="37.200000000000003"/>
        <n v="35"/>
        <n v="39.4"/>
        <n v="40.5"/>
        <n v="34"/>
        <n v="35.1"/>
        <n v="129.5"/>
        <n v="128.30000000000001"/>
        <n v="130.6"/>
        <n v="132.69999999999999"/>
        <n v="129.4"/>
        <n v="127.3"/>
        <n v="107.9"/>
        <n v="124.9"/>
        <n v="624.9"/>
        <n v="689.9"/>
        <n v="404.9"/>
        <n v="93.9"/>
        <n v="109.9"/>
        <n v="399.9"/>
        <n v="39"/>
        <n v="45"/>
        <n v="319.89999999999998"/>
        <n v="48.9"/>
        <n v="25"/>
        <n v="465"/>
        <n v="96.9"/>
        <n v="171.9"/>
        <n v="739.9"/>
        <n v="1179.9000000000001"/>
        <n v="104.8"/>
        <n v="159.9"/>
        <n v="86.9"/>
        <n v="103.9"/>
        <n v="235.9"/>
        <n v="184.9"/>
        <n v="217.9"/>
        <n v="148.9"/>
        <n v="144.9"/>
        <n v="369.9"/>
        <n v="4.9000000000000004"/>
        <n v="249.9"/>
        <n v="18.899999999999999"/>
      </sharedItems>
    </cacheField>
    <cacheField name="2026 Net (DKK)" numFmtId="4">
      <sharedItems containsMixedTypes="1" containsNumber="1" minValue="4" maxValue="25109.9" count="297">
        <n v="69.900000000000006"/>
        <n v="110.9"/>
        <n v="109.9"/>
        <n v="279.89999999999998"/>
        <n v="319.89999999999998"/>
        <n v="27.9"/>
        <n v="162.9"/>
        <n v="95.9"/>
        <n v="409.9"/>
        <n v="80.900000000000006"/>
        <n v="31.9"/>
        <n v="222.9"/>
        <n v="143.9"/>
        <n v="219.89999999999998"/>
        <n v="219.9"/>
        <n v="117.9"/>
        <n v="149.9"/>
        <n v="209.9"/>
        <n v="259.89999999999998"/>
        <n v="333.9"/>
        <n v="107.9"/>
        <n v="299.89999999999998"/>
        <n v="439.9"/>
        <n v="519.9"/>
        <n v="104"/>
        <n v="89.9"/>
        <n v="49.9"/>
        <n v="11269.9"/>
        <n v="7513.9"/>
        <n v="2929.9"/>
        <n v="1799.9"/>
        <n v="29.9"/>
        <n v="62.9"/>
        <n v="177.9"/>
        <n v="236.9"/>
        <n v="199.9"/>
        <n v="899.9"/>
        <n v="1499.9"/>
        <n v="1724.9"/>
        <n v="2029.9"/>
        <n v="2999.9"/>
        <n v="229.9"/>
        <n v="1259.9000000000001"/>
        <n v="779.9"/>
        <n v="689.9"/>
        <n v="444.9"/>
        <n v="318.89999999999998"/>
        <n v="529.9"/>
        <n v="419.9"/>
        <n v="4979.8999999999996"/>
        <n v="7959.9"/>
        <n v="2339.9"/>
        <n v="16255.9"/>
        <n v="25109.9"/>
        <n v="554.9"/>
        <n v="159.9"/>
        <n v="39.9"/>
        <n v="389.9"/>
        <n v="269.89999999999998"/>
        <n v="63.9"/>
        <n v="99.9"/>
        <n v="18.899999999999999"/>
        <n v="19.899999999999999"/>
        <n v="79.900000000000006"/>
        <n v="22.9"/>
        <n v="15.9"/>
        <n v="24.9"/>
        <n v="221.9"/>
        <n v="457.9"/>
        <n v="43.9"/>
        <n v="399.9"/>
        <n v="88.9"/>
        <n v="91.9"/>
        <n v="239.9"/>
        <n v="281.89999999999998"/>
        <n v="59.9"/>
        <n v="30.9"/>
        <n v="73.900000000000006"/>
        <n v="601.9"/>
        <n v="623.9"/>
        <n v="119.9"/>
        <n v="355.9"/>
        <n v="296.89999999999998"/>
        <n v="422.9"/>
        <n v="184.9"/>
        <n v="85.9"/>
        <n v="134.9"/>
        <n v="104.9"/>
        <n v="244.9"/>
        <n v="9.9"/>
        <n v="53.9"/>
        <n v="234.9"/>
        <n v="47.9"/>
        <n v="135.9"/>
        <n v="54.9"/>
        <n v="65.900000000000006"/>
        <n v="459.90000000000003"/>
        <n v="589.9"/>
        <n v="966.9"/>
        <n v="999.9"/>
        <n v="1152.9000000000001"/>
        <n v="1114.9000000000001"/>
        <n v="1349.9"/>
        <n v="459.9"/>
        <n v="1085.9000000000001"/>
        <n v="308.89999999999998"/>
        <n v="467.9"/>
        <n v="2082.9"/>
        <n v="5728.9"/>
        <n v="3570.9"/>
        <n v="739.9"/>
        <n v="334.9"/>
        <n v="1226.9000000000001"/>
        <n v="699.9"/>
        <n v="1039.9000000000001"/>
        <n v="629.9"/>
        <n v="249.9"/>
        <n v="169.9"/>
        <n v="2044.9"/>
        <n v="1639.9"/>
        <n v="2459.9"/>
        <n v="1029.9000000000001"/>
        <n v="2824.9"/>
        <n v="1264.9000000000001"/>
        <n v="668.9"/>
        <n v="479.9"/>
        <n v="559.9"/>
        <n v="669.9"/>
        <n v="369.9"/>
        <n v="154.9"/>
        <n v="128.9"/>
        <n v="147.9"/>
        <n v="70.900000000000006"/>
        <n v="76.900000000000006"/>
        <n v="61.9"/>
        <n v="105.9"/>
        <n v="58.9"/>
        <n v="55.9"/>
        <n v="93.9"/>
        <n v="186.9"/>
        <n v="378.9"/>
        <n v="445.9"/>
        <n v="170.9"/>
        <n v="77.900000000000006"/>
        <n v="59"/>
        <n v="45.9"/>
        <n v="580.29999999999995"/>
        <n v="74.900000000000006"/>
        <n v="370.9"/>
        <n v="82.9"/>
        <n v="638.9"/>
        <n v="1419.9"/>
        <n v="56"/>
        <n v="14.5"/>
        <n v="1397.9"/>
        <n v="3272.9"/>
        <n v="10266.9"/>
        <n v="309.89999999999998"/>
        <n v="3124.9"/>
        <s v="Net"/>
        <n v="44.9"/>
        <n v="482.9"/>
        <n v="94.9"/>
        <n v="21.5"/>
        <n v="224.9"/>
        <n v="208"/>
        <n v="252.5"/>
        <n v="28.9"/>
        <n v="17.899999999999999"/>
        <n v="594.9"/>
        <n v="743.9"/>
        <n v="1409.9"/>
        <n v="2231.9"/>
        <n v="2268"/>
        <n v="1999.9"/>
        <n v="1339.9"/>
        <n v="449.9"/>
        <n v="599.9"/>
        <n v="894.9"/>
        <n v="445"/>
        <n v="179.9"/>
        <n v="1149.9000000000001"/>
        <n v="1598.9"/>
        <n v="1896.9"/>
        <n v="2119.9"/>
        <n v="339.9"/>
        <n v="579.9"/>
        <n v="534.9"/>
        <n v="8.5"/>
        <n v="31.5"/>
        <n v="22.5"/>
        <n v="13"/>
        <n v="66.5"/>
        <n v="72.5"/>
        <n v="69.5"/>
        <n v="4"/>
        <n v="48"/>
        <n v="35"/>
        <n v="25.5"/>
        <n v="126"/>
        <n v="27"/>
        <n v="138.5"/>
        <n v="16"/>
        <n v="63.5"/>
        <n v="42.5"/>
        <n v="179.5"/>
        <n v="79"/>
        <n v="9"/>
        <n v="164"/>
        <n v="7.5"/>
        <n v="17.5"/>
        <n v="85"/>
        <n v="76"/>
        <n v="199"/>
        <n v="274"/>
        <n v="148.5"/>
        <n v="10.5"/>
        <n v="334.5"/>
        <n v="30"/>
        <n v="120"/>
        <n v="104.5"/>
        <n v="107.5"/>
        <n v="268"/>
        <n v="100.5"/>
        <n v="90.5"/>
        <n v="6"/>
        <n v="39.5"/>
        <n v="44"/>
        <n v="123"/>
        <n v="129.5"/>
        <n v="51"/>
        <n v="58.5"/>
        <n v="89"/>
        <n v="45.5"/>
        <n v="77.5"/>
        <n v="82"/>
        <n v="57"/>
        <n v="86.5"/>
        <n v="21"/>
        <n v="19"/>
        <n v="135.5"/>
        <n v="220.9"/>
        <n v="227.9"/>
        <n v="235.9"/>
        <n v="252.9"/>
        <n v="277.89999999999998"/>
        <n v="260.89999999999998"/>
        <n v="293.89999999999998"/>
        <n v="301.89999999999998"/>
        <n v="253.9"/>
        <n v="963.9"/>
        <n v="955.9"/>
        <n v="972.9"/>
        <n v="897.9"/>
        <n v="962.9"/>
        <n v="947.9"/>
        <n v="987.9"/>
        <n v="802.9"/>
        <n v="929.9"/>
        <n v="4649.8999999999996"/>
        <n v="5132.8999999999996"/>
        <n v="3012.9"/>
        <n v="698.9"/>
        <n v="817.9"/>
        <n v="2968.9"/>
        <n v="290"/>
        <n v="335"/>
        <n v="2379.9"/>
        <n v="364.9"/>
        <n v="66"/>
        <n v="189"/>
        <n v="3460"/>
        <n v="719.9"/>
        <n v="1279.9000000000001"/>
        <n v="5499.9"/>
        <n v="8779.9"/>
        <n v="60"/>
        <n v="289"/>
        <n v="784.8"/>
        <n v="1189.9000000000001"/>
        <n v="557.9"/>
        <n v="646.9"/>
        <n v="624.9"/>
        <n v="773.9"/>
        <n v="1755.9"/>
        <n v="1375.9"/>
        <n v="1621.9"/>
        <n v="1107.9000000000001"/>
        <n v="1078.9000000000001"/>
        <n v="2752.9"/>
        <n v="36.9"/>
        <n v="1399.9"/>
        <n v="149"/>
        <n v="299"/>
        <n v="109"/>
        <n v="1859.9"/>
        <n v="139.9"/>
      </sharedItems>
    </cacheField>
    <cacheField name="2026 Net (USD)" numFmtId="4">
      <sharedItems containsBlank="1" containsMixedTypes="1" containsNumber="1" minValue="0" maxValue="3636.9" count="244">
        <n v="10.199999999999999"/>
        <n v="17.899999999999999"/>
        <n v="16.899999999999999"/>
        <n v="46.9"/>
        <n v="48.9"/>
        <n v="3.9"/>
        <n v="23.9"/>
        <n v="13.9"/>
        <n v="59.9"/>
        <n v="11.9"/>
        <n v="4.9000000000000004"/>
        <n v="36.9"/>
        <n v="21.9"/>
        <n v="35.9"/>
        <n v="33.9"/>
        <n v="41.9"/>
        <n v="53.9"/>
        <n v="15.9"/>
        <n v="47.9"/>
        <n v="64.900000000000006"/>
        <n v="84.9"/>
        <n v="12.9"/>
        <n v="6.9"/>
        <n v="1859.9"/>
        <n v="1239.9000000000001"/>
        <n v="482.9"/>
        <n v="296.89999999999998"/>
        <n v="5"/>
        <n v="7.9"/>
        <n v="9.9"/>
        <n v="25.9"/>
        <n v="30.9"/>
        <n v="148.9"/>
        <n v="247.9"/>
        <n v="284.89999999999998"/>
        <n v="334.9"/>
        <n v="495.9"/>
        <n v="38.9"/>
        <n v="210.9"/>
        <n v="126.9"/>
        <n v="111.9"/>
        <n v="62.9"/>
        <n v="39.9"/>
        <n v="86.9"/>
        <n v="65.900000000000006"/>
        <n v="729.9"/>
        <n v="1179.9000000000001"/>
        <n v="349.9"/>
        <n v="2424.9"/>
        <n v="3636.9"/>
        <n v="29.5"/>
        <n v="79.900000000000006"/>
        <n v="6"/>
        <n v="63.9"/>
        <n v="10.9"/>
        <n v="2.9"/>
        <n v="3.6"/>
        <n v="32.9"/>
        <n v="67.900000000000006"/>
        <n v="34.9"/>
        <n v="61.9"/>
        <n v="14.9"/>
        <n v="8.9"/>
        <n v="90.9"/>
        <n v="93.9"/>
        <n v="44.9"/>
        <n v="27.9"/>
        <n v="29.9"/>
        <n v="20.9"/>
        <n v="26.9"/>
        <n v="1.49"/>
        <n v="43.9"/>
        <n v="4.09"/>
        <n v="74.900000000000006"/>
        <n v="92.9"/>
        <n v="144.9"/>
        <n v="149.9"/>
        <n v="171.9"/>
        <n v="180.9"/>
        <n v="214.9"/>
        <n v="76.900000000000006"/>
        <n v="123.9"/>
        <n v="155.9"/>
        <n v="70.900000000000006"/>
        <n v="313.89999999999998"/>
        <n v="847.9"/>
        <n v="519.89599999999996"/>
        <n v="49.9"/>
        <n v="183.9"/>
        <n v="108.9"/>
        <n v="156.9"/>
        <n v="150.9"/>
        <n v="89.9"/>
        <n v="37.9"/>
        <n v="24.9"/>
        <n v="299.89999999999998"/>
        <n v="239.9"/>
        <n v="359.9"/>
        <n v="159.9"/>
        <n v="414.9"/>
        <n v="188.9"/>
        <n v="99.9"/>
        <n v="78.900000000000006"/>
        <n v="52.9"/>
        <n v="107.9"/>
        <n v="55.9"/>
        <n v="18.899999999999999"/>
        <n v="56.9"/>
        <n v="22.9"/>
        <n v="45.9"/>
        <n v="66.900000000000006"/>
        <n v="11.1"/>
        <n v="13.8"/>
        <n v="18.5"/>
        <n v="54.9"/>
        <n v="12.2"/>
        <n v="14.6"/>
        <n v="89"/>
        <n v="209.9"/>
        <n v="2.2999999999999998"/>
        <n v="205.9"/>
        <n v="502.9"/>
        <n v="1525.9"/>
        <n v="459.9"/>
        <s v="Net"/>
        <n v="9.3000000000000007"/>
        <n v="3"/>
        <n v="30.700000000000003"/>
        <n v="37.300000000000004"/>
        <n v="19.899999999999999"/>
        <n v="4.2"/>
        <n v="2.2000000000000002"/>
        <n v="325.89999999999998"/>
        <n v="338.9"/>
        <n v="145.9"/>
        <n v="91.9"/>
        <n v="289.89999999999998"/>
        <n v="199.9"/>
        <n v="189.9"/>
        <n v="134.9"/>
        <n v="58.9"/>
        <n v="94.9"/>
        <n v="69.900000000000006"/>
        <n v="129.9"/>
        <n v="172.9"/>
        <n v="238.9"/>
        <n v="282.89999999999998"/>
        <n v="316.89999999999998"/>
        <n v="68.900000000000006"/>
        <n v="1.3"/>
        <n v="4.7"/>
        <n v="3.3000000000000003"/>
        <n v="1.9000000000000001"/>
        <n v="9.8000000000000007"/>
        <n v="10.700000000000001"/>
        <n v="10.3"/>
        <n v="0.60000000000000009"/>
        <n v="7.1000000000000005"/>
        <n v="5.2"/>
        <n v="3.8000000000000003"/>
        <n v="18.600000000000001"/>
        <n v="4"/>
        <n v="20.5"/>
        <n v="2.4000000000000004"/>
        <n v="9.4"/>
        <n v="6.3000000000000007"/>
        <n v="26.6"/>
        <n v="11.700000000000001"/>
        <n v="1.4000000000000001"/>
        <n v="24.200000000000003"/>
        <n v="1.1000000000000001"/>
        <n v="2.6"/>
        <n v="12.600000000000001"/>
        <n v="11.3"/>
        <n v="29.400000000000002"/>
        <n v="40.5"/>
        <n v="21.900000000000002"/>
        <n v="1.6"/>
        <n v="49.400000000000006"/>
        <n v="4.4000000000000004"/>
        <n v="17.8"/>
        <n v="15.4"/>
        <n v="39.6"/>
        <n v="13.4"/>
        <n v="0.9"/>
        <n v="5.9"/>
        <n v="6.5"/>
        <n v="18.2"/>
        <n v="19.200000000000003"/>
        <n v="7.5"/>
        <n v="8.6"/>
        <n v="13.100000000000001"/>
        <n v="6.8000000000000007"/>
        <n v="11.5"/>
        <n v="12.100000000000001"/>
        <n v="8.4"/>
        <n v="12.8"/>
        <n v="3.1"/>
        <n v="2.8000000000000003"/>
        <n v="20.100000000000001"/>
        <n v="34.200000000000003"/>
        <n v="35.299999999999997"/>
        <n v="38.4"/>
        <n v="37.4"/>
        <n v="39.4"/>
        <n v="37.299999999999997"/>
        <n v="41.5"/>
        <n v="44.6"/>
        <n v="45.7"/>
        <n v="144.5"/>
        <n v="147.6"/>
        <n v="149.69999999999999"/>
        <n v="148.6"/>
        <n v="152.80000000000001"/>
        <n v="151.69999999999999"/>
        <n v="119.9"/>
        <n v="139.9"/>
        <n v="133.9"/>
        <n v="692.9"/>
        <n v="769.9"/>
        <n v="450.9"/>
        <n v="103.9"/>
        <n v="121.9"/>
        <m/>
        <n v="371.9"/>
        <n v="192.9"/>
        <n v="802.9"/>
        <n v="1281.9000000000001"/>
        <n v="114.9"/>
        <n v="174.9"/>
        <n v="96.9"/>
        <n v="115.9"/>
        <n v="261.89999999999998"/>
        <n v="311.89999999999998"/>
        <n v="241.9"/>
        <n v="165.9"/>
        <n v="162.9"/>
        <n v="207.9"/>
        <n v="409.9"/>
        <n v="0"/>
        <n v="51.9"/>
        <n v="269.89999999999998"/>
        <n v="20"/>
        <n v="24"/>
      </sharedItems>
    </cacheField>
    <cacheField name="Discount" numFmtId="10">
      <sharedItems containsMixedTypes="1" containsNumber="1" containsInteger="1" minValue="0" maxValue="0" count="3">
        <n v="0"/>
        <s v=" "/>
        <s v="NET/NET"/>
      </sharedItems>
    </cacheField>
    <cacheField name="End 30-06-2026 (EUR)" numFmtId="4">
      <sharedItems containsString="0" containsBlank="1" containsNumber="1" minValue="27.7" maxValue="124.5"/>
    </cacheField>
    <cacheField name="Net/Net (EUR)" numFmtId="4">
      <sharedItems containsMixedTypes="1" containsNumber="1" minValue="0.5" maxValue="3374.9"/>
    </cacheField>
    <cacheField name="Net/Net (DKK)" numFmtId="4">
      <sharedItems containsMixedTypes="1" containsNumber="1" minValue="4" maxValue="25109.9"/>
    </cacheField>
    <cacheField name="Special Net (EUR)" numFmtId="4">
      <sharedItems/>
    </cacheField>
    <cacheField name="Special Net (DKK)" numFmtId="4">
      <sharedItems/>
    </cacheField>
  </cacheFields>
  <extLst>
    <ext xmlns:x14="http://schemas.microsoft.com/office/spreadsheetml/2009/9/main" uri="{725AE2AE-9491-48be-B2B4-4EB974FC3084}">
      <x14:pivotCacheDefinition pivotCacheId="71056300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x v="0"/>
    <x v="0"/>
    <x v="0"/>
    <x v="0"/>
    <x v="0"/>
    <x v="0"/>
    <s v="C_"/>
    <x v="0"/>
    <x v="0"/>
    <x v="0"/>
    <x v="0"/>
    <x v="0"/>
    <x v="0"/>
    <x v="0"/>
    <x v="0"/>
    <x v="0"/>
    <x v="0"/>
    <m/>
    <n v="8.9"/>
    <n v="69.900000000000006"/>
    <s v="0"/>
    <s v="0"/>
  </r>
  <r>
    <x v="1"/>
    <x v="1"/>
    <x v="1"/>
    <x v="0"/>
    <x v="0"/>
    <x v="1"/>
    <s v="A"/>
    <x v="1"/>
    <x v="0"/>
    <x v="0"/>
    <x v="1"/>
    <x v="1"/>
    <x v="1"/>
    <x v="1"/>
    <x v="1"/>
    <x v="1"/>
    <x v="0"/>
    <m/>
    <n v="14.9"/>
    <n v="110.9"/>
    <s v="0"/>
    <s v="0"/>
  </r>
  <r>
    <x v="2"/>
    <x v="2"/>
    <x v="1"/>
    <x v="0"/>
    <x v="0"/>
    <x v="1"/>
    <s v="A"/>
    <x v="2"/>
    <x v="0"/>
    <x v="0"/>
    <x v="1"/>
    <x v="2"/>
    <x v="2"/>
    <x v="1"/>
    <x v="2"/>
    <x v="2"/>
    <x v="0"/>
    <m/>
    <n v="14.9"/>
    <n v="109.9"/>
    <s v="0"/>
    <s v="0"/>
  </r>
  <r>
    <x v="3"/>
    <x v="3"/>
    <x v="2"/>
    <x v="0"/>
    <x v="1"/>
    <x v="1"/>
    <s v="A"/>
    <x v="3"/>
    <x v="1"/>
    <x v="0"/>
    <x v="2"/>
    <x v="3"/>
    <x v="3"/>
    <x v="2"/>
    <x v="3"/>
    <x v="3"/>
    <x v="0"/>
    <m/>
    <n v="37.9"/>
    <n v="279.89999999999998"/>
    <s v="0"/>
    <s v="0"/>
  </r>
  <r>
    <x v="4"/>
    <x v="4"/>
    <x v="3"/>
    <x v="1"/>
    <x v="2"/>
    <x v="2"/>
    <s v="CM"/>
    <x v="4"/>
    <x v="2"/>
    <x v="0"/>
    <x v="3"/>
    <x v="4"/>
    <x v="4"/>
    <x v="3"/>
    <x v="4"/>
    <x v="4"/>
    <x v="0"/>
    <m/>
    <n v="42.9"/>
    <n v="319.89999999999998"/>
    <s v="0"/>
    <s v="0"/>
  </r>
  <r>
    <x v="5"/>
    <x v="5"/>
    <x v="4"/>
    <x v="2"/>
    <x v="3"/>
    <x v="0"/>
    <s v="C_"/>
    <x v="5"/>
    <x v="3"/>
    <x v="0"/>
    <x v="4"/>
    <x v="5"/>
    <x v="5"/>
    <x v="4"/>
    <x v="5"/>
    <x v="5"/>
    <x v="0"/>
    <m/>
    <n v="3.8000000000000003"/>
    <n v="27.9"/>
    <s v="0"/>
    <s v="0"/>
  </r>
  <r>
    <x v="6"/>
    <x v="6"/>
    <x v="5"/>
    <x v="2"/>
    <x v="3"/>
    <x v="0"/>
    <s v="C_"/>
    <x v="6"/>
    <x v="3"/>
    <x v="0"/>
    <x v="5"/>
    <x v="6"/>
    <x v="6"/>
    <x v="5"/>
    <x v="6"/>
    <x v="6"/>
    <x v="0"/>
    <m/>
    <n v="21.9"/>
    <n v="162.9"/>
    <s v="0"/>
    <s v="0"/>
  </r>
  <r>
    <x v="7"/>
    <x v="7"/>
    <x v="6"/>
    <x v="2"/>
    <x v="3"/>
    <x v="0"/>
    <s v="C_"/>
    <x v="7"/>
    <x v="3"/>
    <x v="0"/>
    <x v="6"/>
    <x v="7"/>
    <x v="7"/>
    <x v="6"/>
    <x v="7"/>
    <x v="7"/>
    <x v="0"/>
    <m/>
    <n v="12.9"/>
    <n v="95.9"/>
    <s v="0"/>
    <s v="0"/>
  </r>
  <r>
    <x v="8"/>
    <x v="8"/>
    <x v="7"/>
    <x v="1"/>
    <x v="2"/>
    <x v="2"/>
    <s v="CM"/>
    <x v="8"/>
    <x v="2"/>
    <x v="0"/>
    <x v="7"/>
    <x v="8"/>
    <x v="8"/>
    <x v="7"/>
    <x v="8"/>
    <x v="8"/>
    <x v="0"/>
    <m/>
    <n v="54.9"/>
    <n v="409.9"/>
    <s v="0"/>
    <s v="0"/>
  </r>
  <r>
    <x v="9"/>
    <x v="9"/>
    <x v="8"/>
    <x v="2"/>
    <x v="3"/>
    <x v="0"/>
    <s v="C_"/>
    <x v="9"/>
    <x v="3"/>
    <x v="0"/>
    <x v="8"/>
    <x v="9"/>
    <x v="9"/>
    <x v="8"/>
    <x v="9"/>
    <x v="9"/>
    <x v="0"/>
    <m/>
    <n v="10.9"/>
    <n v="80.900000000000006"/>
    <s v="0"/>
    <s v="0"/>
  </r>
  <r>
    <x v="10"/>
    <x v="10"/>
    <x v="9"/>
    <x v="2"/>
    <x v="3"/>
    <x v="0"/>
    <s v="C_"/>
    <x v="10"/>
    <x v="3"/>
    <x v="0"/>
    <x v="9"/>
    <x v="10"/>
    <x v="10"/>
    <x v="9"/>
    <x v="10"/>
    <x v="10"/>
    <x v="0"/>
    <m/>
    <n v="4.3"/>
    <n v="31.9"/>
    <s v="0"/>
    <s v="0"/>
  </r>
  <r>
    <x v="11"/>
    <x v="11"/>
    <x v="10"/>
    <x v="0"/>
    <x v="0"/>
    <x v="1"/>
    <s v="A"/>
    <x v="11"/>
    <x v="4"/>
    <x v="0"/>
    <x v="10"/>
    <x v="11"/>
    <x v="11"/>
    <x v="10"/>
    <x v="11"/>
    <x v="11"/>
    <x v="0"/>
    <m/>
    <n v="29.9"/>
    <n v="222.9"/>
    <s v="0"/>
    <s v="0"/>
  </r>
  <r>
    <x v="12"/>
    <x v="12"/>
    <x v="11"/>
    <x v="2"/>
    <x v="3"/>
    <x v="0"/>
    <s v="C_"/>
    <x v="12"/>
    <x v="3"/>
    <x v="0"/>
    <x v="11"/>
    <x v="12"/>
    <x v="12"/>
    <x v="11"/>
    <x v="12"/>
    <x v="12"/>
    <x v="0"/>
    <m/>
    <n v="19.3"/>
    <n v="143.9"/>
    <s v="0"/>
    <s v="0"/>
  </r>
  <r>
    <x v="13"/>
    <x v="13"/>
    <x v="12"/>
    <x v="0"/>
    <x v="0"/>
    <x v="1"/>
    <s v="A"/>
    <x v="13"/>
    <x v="1"/>
    <x v="0"/>
    <x v="10"/>
    <x v="13"/>
    <x v="13"/>
    <x v="10"/>
    <x v="13"/>
    <x v="13"/>
    <x v="0"/>
    <m/>
    <n v="29.9"/>
    <n v="219.89999999999998"/>
    <s v="0"/>
    <s v="0"/>
  </r>
  <r>
    <x v="14"/>
    <x v="14"/>
    <x v="12"/>
    <x v="0"/>
    <x v="0"/>
    <x v="1"/>
    <s v="A"/>
    <x v="14"/>
    <x v="1"/>
    <x v="0"/>
    <x v="10"/>
    <x v="14"/>
    <x v="13"/>
    <x v="10"/>
    <x v="14"/>
    <x v="13"/>
    <x v="0"/>
    <m/>
    <n v="29.9"/>
    <n v="219.9"/>
    <s v="0"/>
    <s v="0"/>
  </r>
  <r>
    <x v="15"/>
    <x v="15"/>
    <x v="13"/>
    <x v="2"/>
    <x v="3"/>
    <x v="0"/>
    <s v="C_"/>
    <x v="15"/>
    <x v="3"/>
    <x v="0"/>
    <x v="12"/>
    <x v="15"/>
    <x v="1"/>
    <x v="12"/>
    <x v="15"/>
    <x v="1"/>
    <x v="0"/>
    <m/>
    <n v="15.9"/>
    <n v="117.9"/>
    <s v="0"/>
    <s v="0"/>
  </r>
  <r>
    <x v="16"/>
    <x v="16"/>
    <x v="14"/>
    <x v="0"/>
    <x v="0"/>
    <x v="1"/>
    <s v="A"/>
    <x v="16"/>
    <x v="4"/>
    <x v="0"/>
    <x v="13"/>
    <x v="16"/>
    <x v="6"/>
    <x v="13"/>
    <x v="16"/>
    <x v="6"/>
    <x v="0"/>
    <m/>
    <n v="19.899999999999999"/>
    <n v="149.9"/>
    <s v="0"/>
    <s v="0"/>
  </r>
  <r>
    <x v="17"/>
    <x v="17"/>
    <x v="15"/>
    <x v="0"/>
    <x v="0"/>
    <x v="1"/>
    <s v="A"/>
    <x v="17"/>
    <x v="4"/>
    <x v="0"/>
    <x v="14"/>
    <x v="17"/>
    <x v="14"/>
    <x v="14"/>
    <x v="17"/>
    <x v="14"/>
    <x v="0"/>
    <m/>
    <n v="27.9"/>
    <n v="209.9"/>
    <s v="0"/>
    <s v="0"/>
  </r>
  <r>
    <x v="18"/>
    <x v="18"/>
    <x v="16"/>
    <x v="0"/>
    <x v="0"/>
    <x v="1"/>
    <s v="A"/>
    <x v="18"/>
    <x v="1"/>
    <x v="0"/>
    <x v="15"/>
    <x v="18"/>
    <x v="15"/>
    <x v="15"/>
    <x v="18"/>
    <x v="15"/>
    <x v="0"/>
    <m/>
    <n v="34.9"/>
    <n v="259.89999999999998"/>
    <s v="0"/>
    <s v="0"/>
  </r>
  <r>
    <x v="19"/>
    <x v="19"/>
    <x v="17"/>
    <x v="0"/>
    <x v="0"/>
    <x v="1"/>
    <s v="A"/>
    <x v="19"/>
    <x v="1"/>
    <x v="0"/>
    <x v="16"/>
    <x v="19"/>
    <x v="16"/>
    <x v="16"/>
    <x v="19"/>
    <x v="16"/>
    <x v="0"/>
    <m/>
    <n v="44.9"/>
    <n v="333.9"/>
    <s v="0"/>
    <s v="0"/>
  </r>
  <r>
    <x v="20"/>
    <x v="20"/>
    <x v="18"/>
    <x v="2"/>
    <x v="3"/>
    <x v="0"/>
    <s v="C_"/>
    <x v="20"/>
    <x v="3"/>
    <x v="0"/>
    <x v="17"/>
    <x v="20"/>
    <x v="17"/>
    <x v="17"/>
    <x v="20"/>
    <x v="17"/>
    <x v="0"/>
    <m/>
    <n v="14.5"/>
    <n v="107.9"/>
    <s v="0"/>
    <s v="0"/>
  </r>
  <r>
    <x v="21"/>
    <x v="21"/>
    <x v="19"/>
    <x v="0"/>
    <x v="0"/>
    <x v="1"/>
    <s v="A"/>
    <x v="21"/>
    <x v="1"/>
    <x v="0"/>
    <x v="18"/>
    <x v="21"/>
    <x v="18"/>
    <x v="18"/>
    <x v="21"/>
    <x v="18"/>
    <x v="0"/>
    <m/>
    <n v="39.9"/>
    <n v="299.89999999999998"/>
    <s v="0"/>
    <s v="0"/>
  </r>
  <r>
    <x v="22"/>
    <x v="22"/>
    <x v="20"/>
    <x v="0"/>
    <x v="0"/>
    <x v="1"/>
    <s v="A"/>
    <x v="22"/>
    <x v="1"/>
    <x v="0"/>
    <x v="19"/>
    <x v="22"/>
    <x v="19"/>
    <x v="19"/>
    <x v="22"/>
    <x v="19"/>
    <x v="0"/>
    <m/>
    <n v="59.9"/>
    <n v="439.9"/>
    <s v="0"/>
    <s v="0"/>
  </r>
  <r>
    <x v="23"/>
    <x v="23"/>
    <x v="21"/>
    <x v="0"/>
    <x v="0"/>
    <x v="1"/>
    <s v="A"/>
    <x v="23"/>
    <x v="1"/>
    <x v="0"/>
    <x v="20"/>
    <x v="23"/>
    <x v="20"/>
    <x v="20"/>
    <x v="23"/>
    <x v="20"/>
    <x v="0"/>
    <m/>
    <n v="69.900000000000006"/>
    <n v="519.9"/>
    <s v="0"/>
    <s v="0"/>
  </r>
  <r>
    <x v="24"/>
    <x v="24"/>
    <x v="21"/>
    <x v="0"/>
    <x v="0"/>
    <x v="1"/>
    <s v="A"/>
    <x v="24"/>
    <x v="1"/>
    <x v="0"/>
    <x v="20"/>
    <x v="23"/>
    <x v="20"/>
    <x v="20"/>
    <x v="23"/>
    <x v="20"/>
    <x v="0"/>
    <m/>
    <n v="69.900000000000006"/>
    <n v="519.9"/>
    <s v="0"/>
    <s v="0"/>
  </r>
  <r>
    <x v="25"/>
    <x v="25"/>
    <x v="22"/>
    <x v="2"/>
    <x v="3"/>
    <x v="0"/>
    <s v="C_"/>
    <x v="25"/>
    <x v="3"/>
    <x v="0"/>
    <x v="21"/>
    <x v="24"/>
    <x v="17"/>
    <x v="21"/>
    <x v="24"/>
    <x v="17"/>
    <x v="0"/>
    <m/>
    <n v="14"/>
    <n v="104"/>
    <s v="0"/>
    <s v="0"/>
  </r>
  <r>
    <x v="26"/>
    <x v="26"/>
    <x v="23"/>
    <x v="2"/>
    <x v="3"/>
    <x v="0"/>
    <s v="C_"/>
    <x v="26"/>
    <x v="3"/>
    <x v="0"/>
    <x v="22"/>
    <x v="25"/>
    <x v="21"/>
    <x v="22"/>
    <x v="25"/>
    <x v="21"/>
    <x v="0"/>
    <m/>
    <n v="11.9"/>
    <n v="89.9"/>
    <s v="0"/>
    <s v="0"/>
  </r>
  <r>
    <x v="27"/>
    <x v="27"/>
    <x v="24"/>
    <x v="3"/>
    <x v="3"/>
    <x v="0"/>
    <s v="C_"/>
    <x v="27"/>
    <x v="5"/>
    <x v="1"/>
    <x v="23"/>
    <x v="26"/>
    <x v="22"/>
    <x v="23"/>
    <x v="26"/>
    <x v="22"/>
    <x v="0"/>
    <m/>
    <n v="6.5"/>
    <n v="49.9"/>
    <s v="0"/>
    <s v="0"/>
  </r>
  <r>
    <x v="28"/>
    <x v="28"/>
    <x v="25"/>
    <x v="3"/>
    <x v="3"/>
    <x v="0"/>
    <s v="C_"/>
    <x v="28"/>
    <x v="5"/>
    <x v="2"/>
    <x v="23"/>
    <x v="26"/>
    <x v="22"/>
    <x v="23"/>
    <x v="26"/>
    <x v="22"/>
    <x v="0"/>
    <m/>
    <n v="6.5"/>
    <n v="49.9"/>
    <s v="0"/>
    <s v="0"/>
  </r>
  <r>
    <x v="29"/>
    <x v="29"/>
    <x v="26"/>
    <x v="3"/>
    <x v="3"/>
    <x v="0"/>
    <s v="C_"/>
    <x v="29"/>
    <x v="5"/>
    <x v="3"/>
    <x v="23"/>
    <x v="26"/>
    <x v="22"/>
    <x v="23"/>
    <x v="26"/>
    <x v="22"/>
    <x v="0"/>
    <m/>
    <n v="6.5"/>
    <n v="49.9"/>
    <s v="0"/>
    <s v="0"/>
  </r>
  <r>
    <x v="30"/>
    <x v="30"/>
    <x v="27"/>
    <x v="3"/>
    <x v="3"/>
    <x v="0"/>
    <s v="C_"/>
    <x v="30"/>
    <x v="5"/>
    <x v="0"/>
    <x v="23"/>
    <x v="26"/>
    <x v="22"/>
    <x v="23"/>
    <x v="26"/>
    <x v="22"/>
    <x v="0"/>
    <m/>
    <n v="6.5"/>
    <n v="49.9"/>
    <s v="0"/>
    <s v="0"/>
  </r>
  <r>
    <x v="31"/>
    <x v="31"/>
    <x v="28"/>
    <x v="0"/>
    <x v="4"/>
    <x v="1"/>
    <s v="A"/>
    <x v="31"/>
    <x v="5"/>
    <x v="4"/>
    <x v="24"/>
    <x v="27"/>
    <x v="23"/>
    <x v="24"/>
    <x v="27"/>
    <x v="23"/>
    <x v="0"/>
    <m/>
    <n v="1514.9"/>
    <n v="11269.9"/>
    <s v="0"/>
    <s v="0"/>
  </r>
  <r>
    <x v="32"/>
    <x v="31"/>
    <x v="28"/>
    <x v="0"/>
    <x v="4"/>
    <x v="1"/>
    <s v="A"/>
    <x v="32"/>
    <x v="3"/>
    <x v="5"/>
    <x v="24"/>
    <x v="27"/>
    <x v="23"/>
    <x v="24"/>
    <x v="27"/>
    <x v="23"/>
    <x v="0"/>
    <m/>
    <n v="1514.9"/>
    <n v="11269.9"/>
    <s v="0"/>
    <s v="0"/>
  </r>
  <r>
    <x v="33"/>
    <x v="31"/>
    <x v="28"/>
    <x v="0"/>
    <x v="4"/>
    <x v="1"/>
    <s v="A"/>
    <x v="33"/>
    <x v="5"/>
    <x v="6"/>
    <x v="24"/>
    <x v="27"/>
    <x v="23"/>
    <x v="24"/>
    <x v="27"/>
    <x v="23"/>
    <x v="0"/>
    <m/>
    <n v="1514.9"/>
    <n v="11269.9"/>
    <s v="0"/>
    <s v="0"/>
  </r>
  <r>
    <x v="34"/>
    <x v="31"/>
    <x v="28"/>
    <x v="0"/>
    <x v="4"/>
    <x v="1"/>
    <s v="A"/>
    <x v="34"/>
    <x v="5"/>
    <x v="2"/>
    <x v="24"/>
    <x v="27"/>
    <x v="23"/>
    <x v="24"/>
    <x v="27"/>
    <x v="23"/>
    <x v="0"/>
    <m/>
    <n v="1514.9"/>
    <n v="11269.9"/>
    <s v="0"/>
    <s v="0"/>
  </r>
  <r>
    <x v="35"/>
    <x v="32"/>
    <x v="29"/>
    <x v="0"/>
    <x v="4"/>
    <x v="1"/>
    <s v="A"/>
    <x v="35"/>
    <x v="5"/>
    <x v="4"/>
    <x v="25"/>
    <x v="28"/>
    <x v="24"/>
    <x v="25"/>
    <x v="28"/>
    <x v="24"/>
    <x v="0"/>
    <m/>
    <n v="1009.9"/>
    <n v="7513.9"/>
    <s v="0"/>
    <s v="0"/>
  </r>
  <r>
    <x v="36"/>
    <x v="32"/>
    <x v="29"/>
    <x v="0"/>
    <x v="4"/>
    <x v="1"/>
    <s v="A"/>
    <x v="36"/>
    <x v="3"/>
    <x v="5"/>
    <x v="25"/>
    <x v="28"/>
    <x v="24"/>
    <x v="25"/>
    <x v="28"/>
    <x v="24"/>
    <x v="0"/>
    <m/>
    <n v="1009.9"/>
    <n v="7513.9"/>
    <s v="0"/>
    <s v="0"/>
  </r>
  <r>
    <x v="37"/>
    <x v="32"/>
    <x v="29"/>
    <x v="0"/>
    <x v="4"/>
    <x v="1"/>
    <s v="A"/>
    <x v="37"/>
    <x v="5"/>
    <x v="6"/>
    <x v="25"/>
    <x v="28"/>
    <x v="24"/>
    <x v="25"/>
    <x v="28"/>
    <x v="24"/>
    <x v="0"/>
    <m/>
    <n v="1009.9"/>
    <n v="7513.9"/>
    <s v="0"/>
    <s v="0"/>
  </r>
  <r>
    <x v="38"/>
    <x v="32"/>
    <x v="29"/>
    <x v="0"/>
    <x v="4"/>
    <x v="1"/>
    <s v="A"/>
    <x v="38"/>
    <x v="5"/>
    <x v="2"/>
    <x v="25"/>
    <x v="28"/>
    <x v="24"/>
    <x v="25"/>
    <x v="28"/>
    <x v="24"/>
    <x v="0"/>
    <m/>
    <n v="1009.9"/>
    <n v="7513.9"/>
    <s v="0"/>
    <s v="0"/>
  </r>
  <r>
    <x v="39"/>
    <x v="33"/>
    <x v="30"/>
    <x v="0"/>
    <x v="4"/>
    <x v="1"/>
    <s v="A"/>
    <x v="39"/>
    <x v="5"/>
    <x v="4"/>
    <x v="26"/>
    <x v="29"/>
    <x v="25"/>
    <x v="26"/>
    <x v="29"/>
    <x v="25"/>
    <x v="0"/>
    <m/>
    <n v="393.9"/>
    <n v="2929.9"/>
    <s v="0"/>
    <s v="0"/>
  </r>
  <r>
    <x v="40"/>
    <x v="33"/>
    <x v="30"/>
    <x v="0"/>
    <x v="4"/>
    <x v="1"/>
    <s v="A"/>
    <x v="40"/>
    <x v="5"/>
    <x v="6"/>
    <x v="26"/>
    <x v="29"/>
    <x v="25"/>
    <x v="26"/>
    <x v="29"/>
    <x v="25"/>
    <x v="0"/>
    <m/>
    <n v="393.9"/>
    <n v="2929.9"/>
    <s v="0"/>
    <s v="0"/>
  </r>
  <r>
    <x v="41"/>
    <x v="33"/>
    <x v="30"/>
    <x v="0"/>
    <x v="4"/>
    <x v="1"/>
    <s v="A"/>
    <x v="41"/>
    <x v="5"/>
    <x v="2"/>
    <x v="26"/>
    <x v="29"/>
    <x v="25"/>
    <x v="26"/>
    <x v="29"/>
    <x v="25"/>
    <x v="0"/>
    <m/>
    <n v="393.9"/>
    <n v="2929.9"/>
    <s v="0"/>
    <s v="0"/>
  </r>
  <r>
    <x v="42"/>
    <x v="34"/>
    <x v="31"/>
    <x v="0"/>
    <x v="4"/>
    <x v="1"/>
    <s v="A"/>
    <x v="42"/>
    <x v="5"/>
    <x v="4"/>
    <x v="27"/>
    <x v="30"/>
    <x v="26"/>
    <x v="27"/>
    <x v="30"/>
    <x v="26"/>
    <x v="0"/>
    <m/>
    <n v="241.9"/>
    <n v="1799.9"/>
    <s v="0"/>
    <s v="0"/>
  </r>
  <r>
    <x v="43"/>
    <x v="34"/>
    <x v="31"/>
    <x v="0"/>
    <x v="4"/>
    <x v="1"/>
    <s v="A"/>
    <x v="43"/>
    <x v="3"/>
    <x v="6"/>
    <x v="27"/>
    <x v="30"/>
    <x v="26"/>
    <x v="27"/>
    <x v="30"/>
    <x v="26"/>
    <x v="0"/>
    <m/>
    <n v="241.9"/>
    <n v="1799.9"/>
    <s v="0"/>
    <s v="0"/>
  </r>
  <r>
    <x v="44"/>
    <x v="34"/>
    <x v="31"/>
    <x v="0"/>
    <x v="4"/>
    <x v="1"/>
    <s v="A"/>
    <x v="44"/>
    <x v="5"/>
    <x v="2"/>
    <x v="27"/>
    <x v="30"/>
    <x v="26"/>
    <x v="27"/>
    <x v="30"/>
    <x v="26"/>
    <x v="0"/>
    <m/>
    <n v="241.9"/>
    <n v="1799.9"/>
    <s v="0"/>
    <s v="0"/>
  </r>
  <r>
    <x v="45"/>
    <x v="35"/>
    <x v="32"/>
    <x v="3"/>
    <x v="3"/>
    <x v="0"/>
    <s v="C_"/>
    <x v="45"/>
    <x v="5"/>
    <x v="0"/>
    <x v="28"/>
    <x v="31"/>
    <x v="27"/>
    <x v="28"/>
    <x v="31"/>
    <x v="27"/>
    <x v="0"/>
    <m/>
    <n v="4.1999999999999993"/>
    <n v="29.9"/>
    <s v="0"/>
    <s v="0"/>
  </r>
  <r>
    <x v="46"/>
    <x v="36"/>
    <x v="33"/>
    <x v="3"/>
    <x v="3"/>
    <x v="0"/>
    <s v="C_"/>
    <x v="46"/>
    <x v="5"/>
    <x v="0"/>
    <x v="29"/>
    <x v="26"/>
    <x v="28"/>
    <x v="29"/>
    <x v="26"/>
    <x v="28"/>
    <x v="0"/>
    <m/>
    <n v="6.6999999999999993"/>
    <n v="49.9"/>
    <s v="0"/>
    <s v="0"/>
  </r>
  <r>
    <x v="47"/>
    <x v="37"/>
    <x v="34"/>
    <x v="3"/>
    <x v="3"/>
    <x v="0"/>
    <s v="C_"/>
    <x v="47"/>
    <x v="5"/>
    <x v="0"/>
    <x v="30"/>
    <x v="32"/>
    <x v="29"/>
    <x v="30"/>
    <x v="32"/>
    <x v="29"/>
    <x v="0"/>
    <m/>
    <n v="8.5"/>
    <n v="62.9"/>
    <s v="0"/>
    <s v="0"/>
  </r>
  <r>
    <x v="48"/>
    <x v="38"/>
    <x v="35"/>
    <x v="3"/>
    <x v="3"/>
    <x v="0"/>
    <s v="C_"/>
    <x v="48"/>
    <x v="5"/>
    <x v="0"/>
    <x v="31"/>
    <x v="33"/>
    <x v="30"/>
    <x v="31"/>
    <x v="33"/>
    <x v="30"/>
    <x v="0"/>
    <m/>
    <n v="23.9"/>
    <n v="177.9"/>
    <s v="0"/>
    <s v="0"/>
  </r>
  <r>
    <x v="49"/>
    <x v="39"/>
    <x v="36"/>
    <x v="3"/>
    <x v="3"/>
    <x v="0"/>
    <s v="C_"/>
    <x v="49"/>
    <x v="5"/>
    <x v="0"/>
    <x v="32"/>
    <x v="34"/>
    <x v="11"/>
    <x v="32"/>
    <x v="34"/>
    <x v="11"/>
    <x v="0"/>
    <m/>
    <n v="31.9"/>
    <n v="236.9"/>
    <s v="0"/>
    <s v="0"/>
  </r>
  <r>
    <x v="50"/>
    <x v="40"/>
    <x v="37"/>
    <x v="3"/>
    <x v="3"/>
    <x v="0"/>
    <s v="C_"/>
    <x v="50"/>
    <x v="5"/>
    <x v="0"/>
    <x v="33"/>
    <x v="35"/>
    <x v="31"/>
    <x v="33"/>
    <x v="35"/>
    <x v="31"/>
    <x v="0"/>
    <m/>
    <n v="26.9"/>
    <n v="199.9"/>
    <s v="0"/>
    <s v="0"/>
  </r>
  <r>
    <x v="51"/>
    <x v="41"/>
    <x v="38"/>
    <x v="0"/>
    <x v="4"/>
    <x v="1"/>
    <s v="A"/>
    <x v="51"/>
    <x v="5"/>
    <x v="0"/>
    <x v="34"/>
    <x v="36"/>
    <x v="32"/>
    <x v="34"/>
    <x v="36"/>
    <x v="32"/>
    <x v="0"/>
    <m/>
    <n v="120.89999999999999"/>
    <n v="899.9"/>
    <s v="0"/>
    <s v="0"/>
  </r>
  <r>
    <x v="52"/>
    <x v="42"/>
    <x v="39"/>
    <x v="0"/>
    <x v="4"/>
    <x v="1"/>
    <s v="A"/>
    <x v="52"/>
    <x v="5"/>
    <x v="0"/>
    <x v="35"/>
    <x v="37"/>
    <x v="33"/>
    <x v="35"/>
    <x v="37"/>
    <x v="33"/>
    <x v="0"/>
    <m/>
    <n v="201.9"/>
    <n v="1499.9"/>
    <s v="0"/>
    <s v="0"/>
  </r>
  <r>
    <x v="53"/>
    <x v="43"/>
    <x v="40"/>
    <x v="0"/>
    <x v="4"/>
    <x v="1"/>
    <s v="A"/>
    <x v="53"/>
    <x v="5"/>
    <x v="0"/>
    <x v="36"/>
    <x v="38"/>
    <x v="34"/>
    <x v="36"/>
    <x v="38"/>
    <x v="34"/>
    <x v="0"/>
    <m/>
    <n v="231.89999999999998"/>
    <n v="1724.9"/>
    <s v="0"/>
    <s v="0"/>
  </r>
  <r>
    <x v="54"/>
    <x v="44"/>
    <x v="41"/>
    <x v="0"/>
    <x v="4"/>
    <x v="1"/>
    <s v="A"/>
    <x v="54"/>
    <x v="5"/>
    <x v="0"/>
    <x v="37"/>
    <x v="39"/>
    <x v="35"/>
    <x v="37"/>
    <x v="39"/>
    <x v="35"/>
    <x v="0"/>
    <m/>
    <n v="272.90000000000003"/>
    <n v="2029.9"/>
    <s v="0"/>
    <s v="0"/>
  </r>
  <r>
    <x v="55"/>
    <x v="45"/>
    <x v="42"/>
    <x v="0"/>
    <x v="4"/>
    <x v="1"/>
    <s v="A"/>
    <x v="55"/>
    <x v="5"/>
    <x v="4"/>
    <x v="38"/>
    <x v="40"/>
    <x v="36"/>
    <x v="38"/>
    <x v="40"/>
    <x v="36"/>
    <x v="0"/>
    <m/>
    <n v="403.90000000000003"/>
    <n v="2999.9"/>
    <s v="0"/>
    <s v="0"/>
  </r>
  <r>
    <x v="56"/>
    <x v="45"/>
    <x v="42"/>
    <x v="0"/>
    <x v="4"/>
    <x v="1"/>
    <s v="A"/>
    <x v="56"/>
    <x v="3"/>
    <x v="6"/>
    <x v="38"/>
    <x v="40"/>
    <x v="36"/>
    <x v="38"/>
    <x v="40"/>
    <x v="36"/>
    <x v="0"/>
    <m/>
    <n v="403.90000000000003"/>
    <n v="2999.9"/>
    <s v="0"/>
    <s v="0"/>
  </r>
  <r>
    <x v="57"/>
    <x v="45"/>
    <x v="42"/>
    <x v="0"/>
    <x v="4"/>
    <x v="1"/>
    <s v="A"/>
    <x v="57"/>
    <x v="5"/>
    <x v="2"/>
    <x v="38"/>
    <x v="40"/>
    <x v="36"/>
    <x v="38"/>
    <x v="40"/>
    <x v="36"/>
    <x v="0"/>
    <m/>
    <n v="403.90000000000003"/>
    <n v="2999.9"/>
    <s v="0"/>
    <s v="0"/>
  </r>
  <r>
    <x v="58"/>
    <x v="46"/>
    <x v="43"/>
    <x v="0"/>
    <x v="4"/>
    <x v="1"/>
    <s v="A"/>
    <x v="58"/>
    <x v="5"/>
    <x v="4"/>
    <x v="39"/>
    <x v="41"/>
    <x v="37"/>
    <x v="39"/>
    <x v="41"/>
    <x v="37"/>
    <x v="0"/>
    <m/>
    <n v="31.5"/>
    <n v="229.9"/>
    <s v="0"/>
    <s v="0"/>
  </r>
  <r>
    <x v="59"/>
    <x v="47"/>
    <x v="44"/>
    <x v="0"/>
    <x v="4"/>
    <x v="1"/>
    <s v="A"/>
    <x v="59"/>
    <x v="5"/>
    <x v="4"/>
    <x v="40"/>
    <x v="42"/>
    <x v="38"/>
    <x v="40"/>
    <x v="42"/>
    <x v="38"/>
    <x v="0"/>
    <m/>
    <n v="169.9"/>
    <n v="1259.9000000000001"/>
    <s v="0"/>
    <s v="0"/>
  </r>
  <r>
    <x v="60"/>
    <x v="47"/>
    <x v="44"/>
    <x v="0"/>
    <x v="4"/>
    <x v="1"/>
    <s v="A"/>
    <x v="60"/>
    <x v="5"/>
    <x v="3"/>
    <x v="40"/>
    <x v="42"/>
    <x v="38"/>
    <x v="40"/>
    <x v="42"/>
    <x v="38"/>
    <x v="0"/>
    <m/>
    <n v="169.9"/>
    <n v="1259.9000000000001"/>
    <s v="0"/>
    <s v="0"/>
  </r>
  <r>
    <x v="61"/>
    <x v="47"/>
    <x v="44"/>
    <x v="0"/>
    <x v="4"/>
    <x v="1"/>
    <s v="A"/>
    <x v="61"/>
    <x v="3"/>
    <x v="5"/>
    <x v="40"/>
    <x v="42"/>
    <x v="38"/>
    <x v="40"/>
    <x v="42"/>
    <x v="38"/>
    <x v="0"/>
    <m/>
    <n v="169.9"/>
    <n v="1259.9000000000001"/>
    <s v="0"/>
    <s v="0"/>
  </r>
  <r>
    <x v="62"/>
    <x v="47"/>
    <x v="44"/>
    <x v="0"/>
    <x v="4"/>
    <x v="1"/>
    <s v="A"/>
    <x v="62"/>
    <x v="5"/>
    <x v="6"/>
    <x v="40"/>
    <x v="42"/>
    <x v="38"/>
    <x v="40"/>
    <x v="42"/>
    <x v="38"/>
    <x v="0"/>
    <m/>
    <n v="169.9"/>
    <n v="1259.9000000000001"/>
    <s v="0"/>
    <s v="0"/>
  </r>
  <r>
    <x v="63"/>
    <x v="47"/>
    <x v="44"/>
    <x v="0"/>
    <x v="4"/>
    <x v="1"/>
    <s v="A"/>
    <x v="63"/>
    <x v="5"/>
    <x v="2"/>
    <x v="40"/>
    <x v="42"/>
    <x v="38"/>
    <x v="40"/>
    <x v="42"/>
    <x v="38"/>
    <x v="0"/>
    <m/>
    <n v="169.9"/>
    <n v="1259.9000000000001"/>
    <s v="0"/>
    <s v="0"/>
  </r>
  <r>
    <x v="64"/>
    <x v="48"/>
    <x v="45"/>
    <x v="0"/>
    <x v="4"/>
    <x v="1"/>
    <s v="A"/>
    <x v="64"/>
    <x v="5"/>
    <x v="4"/>
    <x v="41"/>
    <x v="43"/>
    <x v="39"/>
    <x v="41"/>
    <x v="43"/>
    <x v="39"/>
    <x v="0"/>
    <m/>
    <n v="104.89999999999999"/>
    <n v="779.9"/>
    <s v="0"/>
    <s v="0"/>
  </r>
  <r>
    <x v="65"/>
    <x v="48"/>
    <x v="45"/>
    <x v="0"/>
    <x v="4"/>
    <x v="1"/>
    <s v="A"/>
    <x v="65"/>
    <x v="5"/>
    <x v="3"/>
    <x v="41"/>
    <x v="43"/>
    <x v="39"/>
    <x v="41"/>
    <x v="43"/>
    <x v="39"/>
    <x v="0"/>
    <m/>
    <n v="104.89999999999999"/>
    <n v="779.9"/>
    <s v="0"/>
    <s v="0"/>
  </r>
  <r>
    <x v="66"/>
    <x v="48"/>
    <x v="45"/>
    <x v="0"/>
    <x v="4"/>
    <x v="1"/>
    <s v="A"/>
    <x v="66"/>
    <x v="3"/>
    <x v="5"/>
    <x v="41"/>
    <x v="43"/>
    <x v="39"/>
    <x v="41"/>
    <x v="43"/>
    <x v="39"/>
    <x v="0"/>
    <m/>
    <n v="104.89999999999999"/>
    <n v="779.9"/>
    <s v="0"/>
    <s v="0"/>
  </r>
  <r>
    <x v="67"/>
    <x v="48"/>
    <x v="45"/>
    <x v="0"/>
    <x v="4"/>
    <x v="1"/>
    <s v="A"/>
    <x v="67"/>
    <x v="5"/>
    <x v="6"/>
    <x v="41"/>
    <x v="43"/>
    <x v="39"/>
    <x v="41"/>
    <x v="43"/>
    <x v="39"/>
    <x v="0"/>
    <m/>
    <n v="104.89999999999999"/>
    <n v="779.9"/>
    <s v="0"/>
    <s v="0"/>
  </r>
  <r>
    <x v="68"/>
    <x v="48"/>
    <x v="45"/>
    <x v="0"/>
    <x v="4"/>
    <x v="1"/>
    <s v="A"/>
    <x v="68"/>
    <x v="5"/>
    <x v="2"/>
    <x v="41"/>
    <x v="43"/>
    <x v="39"/>
    <x v="41"/>
    <x v="43"/>
    <x v="39"/>
    <x v="0"/>
    <m/>
    <n v="104.89999999999999"/>
    <n v="779.9"/>
    <s v="0"/>
    <s v="0"/>
  </r>
  <r>
    <x v="69"/>
    <x v="49"/>
    <x v="46"/>
    <x v="0"/>
    <x v="4"/>
    <x v="1"/>
    <s v="A"/>
    <x v="69"/>
    <x v="5"/>
    <x v="0"/>
    <x v="42"/>
    <x v="44"/>
    <x v="40"/>
    <x v="42"/>
    <x v="44"/>
    <x v="40"/>
    <x v="0"/>
    <m/>
    <n v="92.899999999999991"/>
    <n v="689.9"/>
    <s v="0"/>
    <s v="0"/>
  </r>
  <r>
    <x v="70"/>
    <x v="49"/>
    <x v="46"/>
    <x v="0"/>
    <x v="4"/>
    <x v="1"/>
    <s v="A"/>
    <x v="70"/>
    <x v="5"/>
    <x v="2"/>
    <x v="42"/>
    <x v="44"/>
    <x v="40"/>
    <x v="42"/>
    <x v="44"/>
    <x v="40"/>
    <x v="0"/>
    <m/>
    <n v="92.899999999999991"/>
    <n v="689.9"/>
    <s v="0"/>
    <s v="0"/>
  </r>
  <r>
    <x v="71"/>
    <x v="50"/>
    <x v="47"/>
    <x v="3"/>
    <x v="3"/>
    <x v="0"/>
    <s v="C_"/>
    <x v="71"/>
    <x v="5"/>
    <x v="0"/>
    <x v="12"/>
    <x v="15"/>
    <x v="1"/>
    <x v="12"/>
    <x v="15"/>
    <x v="1"/>
    <x v="0"/>
    <m/>
    <n v="15.9"/>
    <n v="117.9"/>
    <s v="0"/>
    <s v="0"/>
  </r>
  <r>
    <x v="72"/>
    <x v="51"/>
    <x v="48"/>
    <x v="3"/>
    <x v="3"/>
    <x v="0"/>
    <s v="C_"/>
    <x v="72"/>
    <x v="3"/>
    <x v="2"/>
    <x v="19"/>
    <x v="45"/>
    <x v="41"/>
    <x v="19"/>
    <x v="45"/>
    <x v="41"/>
    <x v="0"/>
    <m/>
    <n v="59.9"/>
    <n v="444.9"/>
    <s v="0"/>
    <s v="0"/>
  </r>
  <r>
    <x v="73"/>
    <x v="52"/>
    <x v="49"/>
    <x v="3"/>
    <x v="3"/>
    <x v="0"/>
    <s v="C_"/>
    <x v="73"/>
    <x v="5"/>
    <x v="0"/>
    <x v="3"/>
    <x v="46"/>
    <x v="18"/>
    <x v="3"/>
    <x v="46"/>
    <x v="18"/>
    <x v="0"/>
    <m/>
    <n v="42.9"/>
    <n v="318.89999999999998"/>
    <s v="0"/>
    <s v="0"/>
  </r>
  <r>
    <x v="74"/>
    <x v="53"/>
    <x v="50"/>
    <x v="3"/>
    <x v="3"/>
    <x v="0"/>
    <s v="C_"/>
    <x v="74"/>
    <x v="3"/>
    <x v="0"/>
    <x v="15"/>
    <x v="18"/>
    <x v="42"/>
    <x v="15"/>
    <x v="18"/>
    <x v="42"/>
    <x v="0"/>
    <m/>
    <n v="34.9"/>
    <n v="259.89999999999998"/>
    <s v="0"/>
    <s v="0"/>
  </r>
  <r>
    <x v="75"/>
    <x v="54"/>
    <x v="51"/>
    <x v="0"/>
    <x v="4"/>
    <x v="1"/>
    <s v="A"/>
    <x v="75"/>
    <x v="5"/>
    <x v="0"/>
    <x v="43"/>
    <x v="47"/>
    <x v="43"/>
    <x v="43"/>
    <x v="47"/>
    <x v="43"/>
    <x v="0"/>
    <m/>
    <n v="70.899999999999991"/>
    <n v="529.9"/>
    <s v="0"/>
    <s v="0"/>
  </r>
  <r>
    <x v="76"/>
    <x v="55"/>
    <x v="52"/>
    <x v="3"/>
    <x v="3"/>
    <x v="0"/>
    <s v="C_"/>
    <x v="76"/>
    <x v="5"/>
    <x v="4"/>
    <x v="44"/>
    <x v="48"/>
    <x v="44"/>
    <x v="44"/>
    <x v="48"/>
    <x v="44"/>
    <x v="0"/>
    <m/>
    <n v="56.9"/>
    <n v="419.9"/>
    <s v="0"/>
    <s v="0"/>
  </r>
  <r>
    <x v="77"/>
    <x v="55"/>
    <x v="52"/>
    <x v="3"/>
    <x v="3"/>
    <x v="0"/>
    <s v="C_"/>
    <x v="77"/>
    <x v="6"/>
    <x v="3"/>
    <x v="44"/>
    <x v="48"/>
    <x v="44"/>
    <x v="44"/>
    <x v="48"/>
    <x v="44"/>
    <x v="0"/>
    <m/>
    <n v="56.9"/>
    <n v="419.9"/>
    <s v="0"/>
    <s v="0"/>
  </r>
  <r>
    <x v="78"/>
    <x v="55"/>
    <x v="52"/>
    <x v="3"/>
    <x v="3"/>
    <x v="0"/>
    <s v="C_"/>
    <x v="78"/>
    <x v="6"/>
    <x v="2"/>
    <x v="44"/>
    <x v="48"/>
    <x v="44"/>
    <x v="44"/>
    <x v="48"/>
    <x v="44"/>
    <x v="0"/>
    <m/>
    <n v="56.9"/>
    <n v="419.9"/>
    <s v="0"/>
    <s v="0"/>
  </r>
  <r>
    <x v="79"/>
    <x v="56"/>
    <x v="53"/>
    <x v="0"/>
    <x v="5"/>
    <x v="3"/>
    <s v="E"/>
    <x v="79"/>
    <x v="5"/>
    <x v="4"/>
    <x v="45"/>
    <x v="49"/>
    <x v="45"/>
    <x v="45"/>
    <x v="49"/>
    <x v="45"/>
    <x v="0"/>
    <m/>
    <n v="669.9"/>
    <n v="4979.8999999999996"/>
    <s v="0"/>
    <s v="0"/>
  </r>
  <r>
    <x v="80"/>
    <x v="56"/>
    <x v="53"/>
    <x v="0"/>
    <x v="5"/>
    <x v="3"/>
    <s v="E"/>
    <x v="80"/>
    <x v="5"/>
    <x v="7"/>
    <x v="45"/>
    <x v="49"/>
    <x v="45"/>
    <x v="45"/>
    <x v="49"/>
    <x v="45"/>
    <x v="0"/>
    <m/>
    <n v="669.9"/>
    <n v="4979.8999999999996"/>
    <s v="0"/>
    <s v="0"/>
  </r>
  <r>
    <x v="81"/>
    <x v="57"/>
    <x v="54"/>
    <x v="0"/>
    <x v="5"/>
    <x v="3"/>
    <s v="E"/>
    <x v="81"/>
    <x v="5"/>
    <x v="4"/>
    <x v="46"/>
    <x v="50"/>
    <x v="46"/>
    <x v="46"/>
    <x v="50"/>
    <x v="46"/>
    <x v="0"/>
    <m/>
    <n v="1069.9000000000001"/>
    <n v="7959.9"/>
    <s v="0"/>
    <s v="0"/>
  </r>
  <r>
    <x v="82"/>
    <x v="57"/>
    <x v="54"/>
    <x v="0"/>
    <x v="5"/>
    <x v="3"/>
    <s v="E"/>
    <x v="82"/>
    <x v="5"/>
    <x v="7"/>
    <x v="46"/>
    <x v="50"/>
    <x v="46"/>
    <x v="46"/>
    <x v="50"/>
    <x v="46"/>
    <x v="0"/>
    <m/>
    <n v="1069.9000000000001"/>
    <n v="7959.9"/>
    <s v="0"/>
    <s v="0"/>
  </r>
  <r>
    <x v="83"/>
    <x v="58"/>
    <x v="55"/>
    <x v="3"/>
    <x v="3"/>
    <x v="0"/>
    <s v="C_"/>
    <x v="83"/>
    <x v="5"/>
    <x v="0"/>
    <x v="47"/>
    <x v="51"/>
    <x v="47"/>
    <x v="47"/>
    <x v="51"/>
    <x v="47"/>
    <x v="0"/>
    <m/>
    <n v="314.89999999999998"/>
    <n v="2339.9"/>
    <s v="0"/>
    <s v="0"/>
  </r>
  <r>
    <x v="84"/>
    <x v="59"/>
    <x v="56"/>
    <x v="4"/>
    <x v="2"/>
    <x v="4"/>
    <s v="UV"/>
    <x v="84"/>
    <x v="3"/>
    <x v="4"/>
    <x v="48"/>
    <x v="52"/>
    <x v="48"/>
    <x v="48"/>
    <x v="52"/>
    <x v="48"/>
    <x v="0"/>
    <m/>
    <n v="2184.9"/>
    <n v="16255.9"/>
    <s v="0"/>
    <s v="0"/>
  </r>
  <r>
    <x v="85"/>
    <x v="60"/>
    <x v="57"/>
    <x v="4"/>
    <x v="2"/>
    <x v="4"/>
    <s v="UV"/>
    <x v="85"/>
    <x v="3"/>
    <x v="4"/>
    <x v="49"/>
    <x v="53"/>
    <x v="49"/>
    <x v="49"/>
    <x v="53"/>
    <x v="49"/>
    <x v="0"/>
    <m/>
    <n v="3374.9"/>
    <n v="25109.9"/>
    <s v="0"/>
    <s v="0"/>
  </r>
  <r>
    <x v="86"/>
    <x v="61"/>
    <x v="58"/>
    <x v="3"/>
    <x v="3"/>
    <x v="0"/>
    <s v="C_"/>
    <x v="86"/>
    <x v="3"/>
    <x v="0"/>
    <x v="33"/>
    <x v="35"/>
    <x v="50"/>
    <x v="33"/>
    <x v="35"/>
    <x v="50"/>
    <x v="0"/>
    <m/>
    <n v="26.9"/>
    <n v="199.9"/>
    <s v="0"/>
    <s v="0"/>
  </r>
  <r>
    <x v="87"/>
    <x v="62"/>
    <x v="59"/>
    <x v="0"/>
    <x v="4"/>
    <x v="1"/>
    <s v="A"/>
    <x v="87"/>
    <x v="5"/>
    <x v="0"/>
    <x v="50"/>
    <x v="54"/>
    <x v="51"/>
    <x v="50"/>
    <x v="54"/>
    <x v="51"/>
    <x v="0"/>
    <m/>
    <n v="74.900000000000006"/>
    <n v="554.9"/>
    <s v="0"/>
    <s v="0"/>
  </r>
  <r>
    <x v="88"/>
    <x v="63"/>
    <x v="60"/>
    <x v="3"/>
    <x v="3"/>
    <x v="0"/>
    <s v="C_"/>
    <x v="88"/>
    <x v="3"/>
    <x v="0"/>
    <x v="51"/>
    <x v="55"/>
    <x v="6"/>
    <x v="51"/>
    <x v="55"/>
    <x v="6"/>
    <x v="0"/>
    <m/>
    <n v="20.9"/>
    <n v="159.9"/>
    <s v="0"/>
    <s v="0"/>
  </r>
  <r>
    <x v="89"/>
    <x v="64"/>
    <x v="61"/>
    <x v="2"/>
    <x v="3"/>
    <x v="0"/>
    <s v="C_"/>
    <x v="89"/>
    <x v="3"/>
    <x v="0"/>
    <x v="52"/>
    <x v="56"/>
    <x v="52"/>
    <x v="52"/>
    <x v="56"/>
    <x v="52"/>
    <x v="0"/>
    <m/>
    <n v="5.5"/>
    <n v="39.9"/>
    <s v="0"/>
    <s v="0"/>
  </r>
  <r>
    <x v="90"/>
    <x v="65"/>
    <x v="62"/>
    <x v="0"/>
    <x v="4"/>
    <x v="1"/>
    <s v="A"/>
    <x v="90"/>
    <x v="3"/>
    <x v="0"/>
    <x v="53"/>
    <x v="57"/>
    <x v="53"/>
    <x v="53"/>
    <x v="57"/>
    <x v="53"/>
    <x v="0"/>
    <m/>
    <n v="51.9"/>
    <n v="389.9"/>
    <s v="0"/>
    <s v="0"/>
  </r>
  <r>
    <x v="91"/>
    <x v="66"/>
    <x v="63"/>
    <x v="0"/>
    <x v="4"/>
    <x v="1"/>
    <s v="A"/>
    <x v="91"/>
    <x v="3"/>
    <x v="0"/>
    <x v="54"/>
    <x v="58"/>
    <x v="42"/>
    <x v="54"/>
    <x v="58"/>
    <x v="42"/>
    <x v="0"/>
    <m/>
    <n v="35.9"/>
    <n v="269.89999999999998"/>
    <s v="0"/>
    <s v="0"/>
  </r>
  <r>
    <x v="92"/>
    <x v="37"/>
    <x v="64"/>
    <x v="3"/>
    <x v="3"/>
    <x v="0"/>
    <s v="C_"/>
    <x v="92"/>
    <x v="3"/>
    <x v="0"/>
    <x v="30"/>
    <x v="59"/>
    <x v="29"/>
    <x v="30"/>
    <x v="59"/>
    <x v="29"/>
    <x v="0"/>
    <m/>
    <n v="8.5"/>
    <n v="63.9"/>
    <s v="0"/>
    <s v="0"/>
  </r>
  <r>
    <x v="93"/>
    <x v="67"/>
    <x v="65"/>
    <x v="3"/>
    <x v="3"/>
    <x v="0"/>
    <s v="C_"/>
    <x v="93"/>
    <x v="5"/>
    <x v="8"/>
    <x v="55"/>
    <x v="60"/>
    <x v="17"/>
    <x v="55"/>
    <x v="60"/>
    <x v="17"/>
    <x v="0"/>
    <m/>
    <n v="13.9"/>
    <n v="99.9"/>
    <s v="0"/>
    <s v="0"/>
  </r>
  <r>
    <x v="94"/>
    <x v="68"/>
    <x v="66"/>
    <x v="3"/>
    <x v="3"/>
    <x v="0"/>
    <s v="C_"/>
    <x v="94"/>
    <x v="5"/>
    <x v="0"/>
    <x v="56"/>
    <x v="0"/>
    <x v="54"/>
    <x v="56"/>
    <x v="0"/>
    <x v="54"/>
    <x v="0"/>
    <m/>
    <n v="9.6"/>
    <n v="69.900000000000006"/>
    <s v="0"/>
    <s v="0"/>
  </r>
  <r>
    <x v="95"/>
    <x v="69"/>
    <x v="67"/>
    <x v="2"/>
    <x v="3"/>
    <x v="0"/>
    <s v="C_"/>
    <x v="95"/>
    <x v="3"/>
    <x v="0"/>
    <x v="57"/>
    <x v="61"/>
    <x v="55"/>
    <x v="57"/>
    <x v="61"/>
    <x v="55"/>
    <x v="0"/>
    <m/>
    <n v="2.5"/>
    <n v="18.899999999999999"/>
    <s v="0"/>
    <s v="0"/>
  </r>
  <r>
    <x v="96"/>
    <x v="70"/>
    <x v="68"/>
    <x v="3"/>
    <x v="3"/>
    <x v="0"/>
    <s v="C_"/>
    <x v="96"/>
    <x v="5"/>
    <x v="0"/>
    <x v="57"/>
    <x v="62"/>
    <x v="55"/>
    <x v="57"/>
    <x v="62"/>
    <x v="55"/>
    <x v="0"/>
    <m/>
    <n v="2.5"/>
    <n v="19.899999999999999"/>
    <s v="0"/>
    <s v="0"/>
  </r>
  <r>
    <x v="97"/>
    <x v="71"/>
    <x v="69"/>
    <x v="3"/>
    <x v="3"/>
    <x v="0"/>
    <s v="C_"/>
    <x v="97"/>
    <x v="5"/>
    <x v="8"/>
    <x v="58"/>
    <x v="63"/>
    <x v="9"/>
    <x v="58"/>
    <x v="63"/>
    <x v="9"/>
    <x v="0"/>
    <m/>
    <n v="10.6"/>
    <n v="79.900000000000006"/>
    <s v="0"/>
    <s v="0"/>
  </r>
  <r>
    <x v="98"/>
    <x v="72"/>
    <x v="70"/>
    <x v="2"/>
    <x v="3"/>
    <x v="0"/>
    <s v="C_"/>
    <x v="98"/>
    <x v="3"/>
    <x v="0"/>
    <x v="59"/>
    <x v="64"/>
    <x v="5"/>
    <x v="59"/>
    <x v="64"/>
    <x v="5"/>
    <x v="0"/>
    <m/>
    <n v="3.1"/>
    <n v="22.9"/>
    <s v="0"/>
    <s v="0"/>
  </r>
  <r>
    <x v="99"/>
    <x v="73"/>
    <x v="71"/>
    <x v="3"/>
    <x v="3"/>
    <x v="0"/>
    <s v="C_"/>
    <x v="99"/>
    <x v="5"/>
    <x v="0"/>
    <x v="60"/>
    <x v="65"/>
    <x v="55"/>
    <x v="60"/>
    <x v="65"/>
    <x v="55"/>
    <x v="0"/>
    <m/>
    <n v="2.1"/>
    <n v="15.9"/>
    <s v="0"/>
    <s v="0"/>
  </r>
  <r>
    <x v="100"/>
    <x v="74"/>
    <x v="72"/>
    <x v="3"/>
    <x v="3"/>
    <x v="0"/>
    <s v="C_"/>
    <x v="100"/>
    <x v="5"/>
    <x v="0"/>
    <x v="10"/>
    <x v="11"/>
    <x v="14"/>
    <x v="10"/>
    <x v="11"/>
    <x v="14"/>
    <x v="0"/>
    <m/>
    <n v="29.9"/>
    <n v="222.9"/>
    <s v="0"/>
    <s v="0"/>
  </r>
  <r>
    <x v="101"/>
    <x v="75"/>
    <x v="73"/>
    <x v="2"/>
    <x v="3"/>
    <x v="0"/>
    <s v="C_"/>
    <x v="101"/>
    <x v="3"/>
    <x v="0"/>
    <x v="61"/>
    <x v="66"/>
    <x v="5"/>
    <x v="61"/>
    <x v="66"/>
    <x v="5"/>
    <x v="0"/>
    <m/>
    <n v="3.3000000000000003"/>
    <n v="24.9"/>
    <s v="0"/>
    <s v="0"/>
  </r>
  <r>
    <x v="102"/>
    <x v="76"/>
    <x v="74"/>
    <x v="2"/>
    <x v="3"/>
    <x v="0"/>
    <s v="C_"/>
    <x v="102"/>
    <x v="3"/>
    <x v="0"/>
    <x v="61"/>
    <x v="66"/>
    <x v="56"/>
    <x v="61"/>
    <x v="66"/>
    <x v="56"/>
    <x v="0"/>
    <m/>
    <n v="3.3000000000000003"/>
    <n v="24.9"/>
    <s v="0"/>
    <s v="0"/>
  </r>
  <r>
    <x v="103"/>
    <x v="77"/>
    <x v="75"/>
    <x v="3"/>
    <x v="3"/>
    <x v="0"/>
    <s v="C_"/>
    <x v="103"/>
    <x v="7"/>
    <x v="0"/>
    <x v="22"/>
    <x v="25"/>
    <x v="7"/>
    <x v="22"/>
    <x v="25"/>
    <x v="7"/>
    <x v="0"/>
    <m/>
    <n v="11.9"/>
    <n v="89.9"/>
    <s v="0"/>
    <s v="0"/>
  </r>
  <r>
    <x v="104"/>
    <x v="78"/>
    <x v="76"/>
    <x v="3"/>
    <x v="3"/>
    <x v="0"/>
    <s v="C_"/>
    <x v="104"/>
    <x v="8"/>
    <x v="0"/>
    <x v="3"/>
    <x v="4"/>
    <x v="18"/>
    <x v="3"/>
    <x v="4"/>
    <x v="18"/>
    <x v="0"/>
    <m/>
    <n v="42.9"/>
    <n v="319.89999999999998"/>
    <s v="0"/>
    <s v="0"/>
  </r>
  <r>
    <x v="105"/>
    <x v="79"/>
    <x v="77"/>
    <x v="2"/>
    <x v="3"/>
    <x v="0"/>
    <s v="C_"/>
    <x v="105"/>
    <x v="3"/>
    <x v="0"/>
    <x v="10"/>
    <x v="67"/>
    <x v="57"/>
    <x v="10"/>
    <x v="67"/>
    <x v="57"/>
    <x v="0"/>
    <m/>
    <n v="29.9"/>
    <n v="221.9"/>
    <s v="0"/>
    <s v="0"/>
  </r>
  <r>
    <x v="106"/>
    <x v="80"/>
    <x v="78"/>
    <x v="2"/>
    <x v="3"/>
    <x v="0"/>
    <s v="C_"/>
    <x v="106"/>
    <x v="3"/>
    <x v="0"/>
    <x v="12"/>
    <x v="15"/>
    <x v="1"/>
    <x v="12"/>
    <x v="15"/>
    <x v="1"/>
    <x v="0"/>
    <m/>
    <n v="15.9"/>
    <n v="117.9"/>
    <s v="0"/>
    <s v="0"/>
  </r>
  <r>
    <x v="107"/>
    <x v="81"/>
    <x v="79"/>
    <x v="2"/>
    <x v="3"/>
    <x v="0"/>
    <s v="C_"/>
    <x v="107"/>
    <x v="3"/>
    <x v="2"/>
    <x v="62"/>
    <x v="68"/>
    <x v="58"/>
    <x v="62"/>
    <x v="68"/>
    <x v="58"/>
    <x v="0"/>
    <m/>
    <n v="61.600000000000009"/>
    <n v="457.9"/>
    <s v="0"/>
    <s v="0"/>
  </r>
  <r>
    <x v="108"/>
    <x v="82"/>
    <x v="80"/>
    <x v="2"/>
    <x v="3"/>
    <x v="0"/>
    <s v="C_"/>
    <x v="108"/>
    <x v="3"/>
    <x v="0"/>
    <x v="32"/>
    <x v="34"/>
    <x v="59"/>
    <x v="32"/>
    <x v="34"/>
    <x v="59"/>
    <x v="0"/>
    <m/>
    <n v="31.9"/>
    <n v="236.9"/>
    <s v="0"/>
    <s v="0"/>
  </r>
  <r>
    <x v="109"/>
    <x v="83"/>
    <x v="81"/>
    <x v="2"/>
    <x v="3"/>
    <x v="0"/>
    <s v="C_"/>
    <x v="109"/>
    <x v="3"/>
    <x v="0"/>
    <x v="63"/>
    <x v="69"/>
    <x v="22"/>
    <x v="63"/>
    <x v="69"/>
    <x v="22"/>
    <x v="0"/>
    <m/>
    <n v="5.9"/>
    <n v="43.9"/>
    <s v="0"/>
    <s v="0"/>
  </r>
  <r>
    <x v="110"/>
    <x v="84"/>
    <x v="82"/>
    <x v="3"/>
    <x v="3"/>
    <x v="0"/>
    <s v="C_"/>
    <x v="110"/>
    <x v="5"/>
    <x v="4"/>
    <x v="64"/>
    <x v="70"/>
    <x v="60"/>
    <x v="64"/>
    <x v="70"/>
    <x v="60"/>
    <x v="0"/>
    <m/>
    <n v="53.9"/>
    <n v="399.9"/>
    <s v="0"/>
    <s v="0"/>
  </r>
  <r>
    <x v="111"/>
    <x v="84"/>
    <x v="82"/>
    <x v="3"/>
    <x v="3"/>
    <x v="0"/>
    <s v="C_"/>
    <x v="111"/>
    <x v="3"/>
    <x v="3"/>
    <x v="64"/>
    <x v="70"/>
    <x v="60"/>
    <x v="64"/>
    <x v="70"/>
    <x v="60"/>
    <x v="0"/>
    <m/>
    <n v="53.9"/>
    <n v="399.9"/>
    <s v="0"/>
    <s v="0"/>
  </r>
  <r>
    <x v="112"/>
    <x v="84"/>
    <x v="82"/>
    <x v="3"/>
    <x v="3"/>
    <x v="0"/>
    <s v="C_"/>
    <x v="112"/>
    <x v="3"/>
    <x v="1"/>
    <x v="64"/>
    <x v="70"/>
    <x v="60"/>
    <x v="64"/>
    <x v="70"/>
    <x v="60"/>
    <x v="0"/>
    <m/>
    <n v="53.9"/>
    <n v="399.9"/>
    <s v="0"/>
    <s v="0"/>
  </r>
  <r>
    <x v="113"/>
    <x v="84"/>
    <x v="82"/>
    <x v="3"/>
    <x v="3"/>
    <x v="0"/>
    <s v="C_"/>
    <x v="113"/>
    <x v="3"/>
    <x v="2"/>
    <x v="64"/>
    <x v="70"/>
    <x v="60"/>
    <x v="64"/>
    <x v="70"/>
    <x v="60"/>
    <x v="0"/>
    <m/>
    <n v="53.9"/>
    <n v="399.9"/>
    <s v="0"/>
    <s v="0"/>
  </r>
  <r>
    <x v="114"/>
    <x v="85"/>
    <x v="83"/>
    <x v="3"/>
    <x v="3"/>
    <x v="0"/>
    <s v="C_"/>
    <x v="114"/>
    <x v="5"/>
    <x v="4"/>
    <x v="65"/>
    <x v="22"/>
    <x v="58"/>
    <x v="65"/>
    <x v="22"/>
    <x v="58"/>
    <x v="0"/>
    <m/>
    <n v="58.9"/>
    <n v="439.9"/>
    <s v="0"/>
    <s v="0"/>
  </r>
  <r>
    <x v="115"/>
    <x v="85"/>
    <x v="83"/>
    <x v="3"/>
    <x v="3"/>
    <x v="0"/>
    <s v="C_"/>
    <x v="115"/>
    <x v="3"/>
    <x v="3"/>
    <x v="65"/>
    <x v="22"/>
    <x v="58"/>
    <x v="65"/>
    <x v="22"/>
    <x v="58"/>
    <x v="0"/>
    <m/>
    <n v="58.9"/>
    <n v="439.9"/>
    <s v="0"/>
    <s v="0"/>
  </r>
  <r>
    <x v="116"/>
    <x v="85"/>
    <x v="83"/>
    <x v="3"/>
    <x v="3"/>
    <x v="0"/>
    <s v="C_"/>
    <x v="116"/>
    <x v="3"/>
    <x v="1"/>
    <x v="65"/>
    <x v="22"/>
    <x v="58"/>
    <x v="65"/>
    <x v="22"/>
    <x v="58"/>
    <x v="0"/>
    <m/>
    <n v="58.9"/>
    <n v="439.9"/>
    <s v="0"/>
    <s v="0"/>
  </r>
  <r>
    <x v="117"/>
    <x v="86"/>
    <x v="84"/>
    <x v="2"/>
    <x v="3"/>
    <x v="0"/>
    <s v="C_"/>
    <x v="117"/>
    <x v="3"/>
    <x v="0"/>
    <x v="22"/>
    <x v="71"/>
    <x v="21"/>
    <x v="22"/>
    <x v="71"/>
    <x v="21"/>
    <x v="0"/>
    <m/>
    <n v="11.9"/>
    <n v="88.9"/>
    <s v="0"/>
    <s v="0"/>
  </r>
  <r>
    <x v="118"/>
    <x v="87"/>
    <x v="85"/>
    <x v="2"/>
    <x v="3"/>
    <x v="0"/>
    <s v="C_"/>
    <x v="118"/>
    <x v="3"/>
    <x v="0"/>
    <x v="66"/>
    <x v="72"/>
    <x v="7"/>
    <x v="66"/>
    <x v="72"/>
    <x v="7"/>
    <x v="0"/>
    <m/>
    <n v="12.4"/>
    <n v="91.9"/>
    <s v="0"/>
    <s v="0"/>
  </r>
  <r>
    <x v="119"/>
    <x v="88"/>
    <x v="86"/>
    <x v="2"/>
    <x v="3"/>
    <x v="0"/>
    <s v="C_"/>
    <x v="119"/>
    <x v="3"/>
    <x v="0"/>
    <x v="6"/>
    <x v="7"/>
    <x v="61"/>
    <x v="6"/>
    <x v="7"/>
    <x v="61"/>
    <x v="0"/>
    <m/>
    <n v="12.9"/>
    <n v="95.9"/>
    <s v="0"/>
    <s v="0"/>
  </r>
  <r>
    <x v="120"/>
    <x v="89"/>
    <x v="87"/>
    <x v="3"/>
    <x v="3"/>
    <x v="0"/>
    <s v="C_"/>
    <x v="120"/>
    <x v="5"/>
    <x v="0"/>
    <x v="15"/>
    <x v="18"/>
    <x v="37"/>
    <x v="15"/>
    <x v="18"/>
    <x v="37"/>
    <x v="0"/>
    <m/>
    <n v="34.9"/>
    <n v="259.89999999999998"/>
    <s v="0"/>
    <s v="0"/>
  </r>
  <r>
    <x v="121"/>
    <x v="90"/>
    <x v="88"/>
    <x v="3"/>
    <x v="3"/>
    <x v="0"/>
    <s v="C_"/>
    <x v="121"/>
    <x v="9"/>
    <x v="0"/>
    <x v="32"/>
    <x v="73"/>
    <x v="11"/>
    <x v="32"/>
    <x v="73"/>
    <x v="11"/>
    <x v="0"/>
    <m/>
    <n v="31.9"/>
    <n v="239.9"/>
    <s v="0"/>
    <s v="0"/>
  </r>
  <r>
    <x v="122"/>
    <x v="91"/>
    <x v="89"/>
    <x v="2"/>
    <x v="3"/>
    <x v="0"/>
    <s v="C_"/>
    <x v="122"/>
    <x v="3"/>
    <x v="0"/>
    <x v="2"/>
    <x v="74"/>
    <x v="15"/>
    <x v="2"/>
    <x v="74"/>
    <x v="15"/>
    <x v="0"/>
    <m/>
    <n v="37.9"/>
    <n v="281.89999999999998"/>
    <s v="0"/>
    <s v="0"/>
  </r>
  <r>
    <x v="123"/>
    <x v="92"/>
    <x v="90"/>
    <x v="2"/>
    <x v="3"/>
    <x v="0"/>
    <s v="C_"/>
    <x v="123"/>
    <x v="5"/>
    <x v="0"/>
    <x v="67"/>
    <x v="75"/>
    <x v="62"/>
    <x v="67"/>
    <x v="75"/>
    <x v="62"/>
    <x v="0"/>
    <m/>
    <n v="8.1"/>
    <n v="59.9"/>
    <s v="0"/>
    <s v="0"/>
  </r>
  <r>
    <x v="124"/>
    <x v="93"/>
    <x v="91"/>
    <x v="2"/>
    <x v="3"/>
    <x v="0"/>
    <s v="C_"/>
    <x v="124"/>
    <x v="3"/>
    <x v="0"/>
    <x v="68"/>
    <x v="59"/>
    <x v="29"/>
    <x v="68"/>
    <x v="59"/>
    <x v="29"/>
    <x v="0"/>
    <m/>
    <n v="8.6"/>
    <n v="63.9"/>
    <s v="0"/>
    <s v="0"/>
  </r>
  <r>
    <x v="125"/>
    <x v="94"/>
    <x v="92"/>
    <x v="2"/>
    <x v="3"/>
    <x v="0"/>
    <s v="C_"/>
    <x v="125"/>
    <x v="3"/>
    <x v="0"/>
    <x v="69"/>
    <x v="76"/>
    <x v="10"/>
    <x v="69"/>
    <x v="76"/>
    <x v="10"/>
    <x v="0"/>
    <m/>
    <n v="4.0999999999999996"/>
    <n v="30.9"/>
    <s v="0"/>
    <s v="0"/>
  </r>
  <r>
    <x v="126"/>
    <x v="95"/>
    <x v="93"/>
    <x v="2"/>
    <x v="3"/>
    <x v="0"/>
    <s v="C_"/>
    <x v="126"/>
    <x v="3"/>
    <x v="0"/>
    <x v="70"/>
    <x v="77"/>
    <x v="54"/>
    <x v="70"/>
    <x v="77"/>
    <x v="54"/>
    <x v="0"/>
    <m/>
    <n v="9.9"/>
    <n v="73.900000000000006"/>
    <s v="0"/>
    <s v="0"/>
  </r>
  <r>
    <x v="127"/>
    <x v="96"/>
    <x v="94"/>
    <x v="2"/>
    <x v="3"/>
    <x v="0"/>
    <s v="C_"/>
    <x v="127"/>
    <x v="3"/>
    <x v="0"/>
    <x v="71"/>
    <x v="62"/>
    <x v="55"/>
    <x v="71"/>
    <x v="62"/>
    <x v="55"/>
    <x v="0"/>
    <m/>
    <n v="2.7"/>
    <n v="19.899999999999999"/>
    <s v="0"/>
    <s v="0"/>
  </r>
  <r>
    <x v="128"/>
    <x v="97"/>
    <x v="95"/>
    <x v="2"/>
    <x v="3"/>
    <x v="0"/>
    <s v="C_"/>
    <x v="128"/>
    <x v="3"/>
    <x v="0"/>
    <x v="72"/>
    <x v="78"/>
    <x v="63"/>
    <x v="72"/>
    <x v="78"/>
    <x v="63"/>
    <x v="0"/>
    <m/>
    <n v="80.900000000000006"/>
    <n v="601.9"/>
    <s v="0"/>
    <s v="0"/>
  </r>
  <r>
    <x v="129"/>
    <x v="98"/>
    <x v="96"/>
    <x v="2"/>
    <x v="3"/>
    <x v="0"/>
    <s v="C_"/>
    <x v="129"/>
    <x v="3"/>
    <x v="0"/>
    <x v="73"/>
    <x v="79"/>
    <x v="64"/>
    <x v="73"/>
    <x v="79"/>
    <x v="64"/>
    <x v="0"/>
    <m/>
    <n v="83.9"/>
    <n v="623.9"/>
    <s v="0"/>
    <s v="0"/>
  </r>
  <r>
    <x v="130"/>
    <x v="99"/>
    <x v="97"/>
    <x v="3"/>
    <x v="3"/>
    <x v="0"/>
    <s v="C_"/>
    <x v="130"/>
    <x v="5"/>
    <x v="0"/>
    <x v="12"/>
    <x v="80"/>
    <x v="1"/>
    <x v="12"/>
    <x v="80"/>
    <x v="1"/>
    <x v="0"/>
    <m/>
    <n v="15.9"/>
    <n v="119.9"/>
    <s v="0"/>
    <s v="0"/>
  </r>
  <r>
    <x v="131"/>
    <x v="100"/>
    <x v="98"/>
    <x v="3"/>
    <x v="3"/>
    <x v="0"/>
    <s v="C_"/>
    <x v="131"/>
    <x v="3"/>
    <x v="9"/>
    <x v="58"/>
    <x v="63"/>
    <x v="9"/>
    <x v="58"/>
    <x v="63"/>
    <x v="9"/>
    <x v="0"/>
    <m/>
    <n v="10.6"/>
    <n v="79.900000000000006"/>
    <s v="0"/>
    <s v="0"/>
  </r>
  <r>
    <x v="132"/>
    <x v="101"/>
    <x v="99"/>
    <x v="3"/>
    <x v="3"/>
    <x v="0"/>
    <s v="C_"/>
    <x v="132"/>
    <x v="5"/>
    <x v="4"/>
    <x v="65"/>
    <x v="22"/>
    <x v="44"/>
    <x v="65"/>
    <x v="22"/>
    <x v="44"/>
    <x v="0"/>
    <m/>
    <n v="58.9"/>
    <n v="439.9"/>
    <s v="0"/>
    <s v="0"/>
  </r>
  <r>
    <x v="133"/>
    <x v="101"/>
    <x v="99"/>
    <x v="3"/>
    <x v="3"/>
    <x v="0"/>
    <s v="C_"/>
    <x v="133"/>
    <x v="5"/>
    <x v="3"/>
    <x v="65"/>
    <x v="22"/>
    <x v="44"/>
    <x v="65"/>
    <x v="22"/>
    <x v="44"/>
    <x v="0"/>
    <m/>
    <n v="58.9"/>
    <n v="439.9"/>
    <s v="0"/>
    <s v="0"/>
  </r>
  <r>
    <x v="134"/>
    <x v="101"/>
    <x v="99"/>
    <x v="3"/>
    <x v="3"/>
    <x v="0"/>
    <s v="C_"/>
    <x v="134"/>
    <x v="5"/>
    <x v="1"/>
    <x v="65"/>
    <x v="22"/>
    <x v="44"/>
    <x v="65"/>
    <x v="22"/>
    <x v="44"/>
    <x v="0"/>
    <m/>
    <n v="58.9"/>
    <n v="439.9"/>
    <s v="0"/>
    <s v="0"/>
  </r>
  <r>
    <x v="135"/>
    <x v="101"/>
    <x v="99"/>
    <x v="3"/>
    <x v="3"/>
    <x v="0"/>
    <s v="C_"/>
    <x v="135"/>
    <x v="5"/>
    <x v="2"/>
    <x v="65"/>
    <x v="22"/>
    <x v="44"/>
    <x v="65"/>
    <x v="22"/>
    <x v="44"/>
    <x v="0"/>
    <m/>
    <n v="58.9"/>
    <n v="439.9"/>
    <s v="0"/>
    <s v="0"/>
  </r>
  <r>
    <x v="136"/>
    <x v="102"/>
    <x v="100"/>
    <x v="2"/>
    <x v="3"/>
    <x v="0"/>
    <s v="C_"/>
    <x v="136"/>
    <x v="3"/>
    <x v="0"/>
    <x v="22"/>
    <x v="71"/>
    <x v="21"/>
    <x v="22"/>
    <x v="71"/>
    <x v="21"/>
    <x v="0"/>
    <m/>
    <n v="11.9"/>
    <n v="88.9"/>
    <s v="0"/>
    <s v="0"/>
  </r>
  <r>
    <x v="137"/>
    <x v="71"/>
    <x v="101"/>
    <x v="3"/>
    <x v="3"/>
    <x v="0"/>
    <s v="C_"/>
    <x v="137"/>
    <x v="5"/>
    <x v="2"/>
    <x v="8"/>
    <x v="63"/>
    <x v="9"/>
    <x v="8"/>
    <x v="63"/>
    <x v="9"/>
    <x v="0"/>
    <m/>
    <n v="10.9"/>
    <n v="79.900000000000006"/>
    <s v="0"/>
    <s v="0"/>
  </r>
  <r>
    <x v="138"/>
    <x v="103"/>
    <x v="102"/>
    <x v="2"/>
    <x v="3"/>
    <x v="0"/>
    <s v="C_"/>
    <x v="138"/>
    <x v="3"/>
    <x v="0"/>
    <x v="22"/>
    <x v="71"/>
    <x v="21"/>
    <x v="22"/>
    <x v="71"/>
    <x v="21"/>
    <x v="0"/>
    <m/>
    <n v="11.9"/>
    <n v="88.9"/>
    <s v="0"/>
    <s v="0"/>
  </r>
  <r>
    <x v="139"/>
    <x v="104"/>
    <x v="102"/>
    <x v="2"/>
    <x v="3"/>
    <x v="0"/>
    <s v="C_"/>
    <x v="139"/>
    <x v="3"/>
    <x v="0"/>
    <x v="74"/>
    <x v="81"/>
    <x v="16"/>
    <x v="74"/>
    <x v="81"/>
    <x v="16"/>
    <x v="0"/>
    <m/>
    <n v="47.9"/>
    <n v="355.9"/>
    <s v="0"/>
    <s v="0"/>
  </r>
  <r>
    <x v="140"/>
    <x v="105"/>
    <x v="102"/>
    <x v="2"/>
    <x v="3"/>
    <x v="0"/>
    <s v="C_"/>
    <x v="140"/>
    <x v="3"/>
    <x v="0"/>
    <x v="22"/>
    <x v="71"/>
    <x v="21"/>
    <x v="22"/>
    <x v="71"/>
    <x v="21"/>
    <x v="0"/>
    <m/>
    <n v="11.9"/>
    <n v="88.9"/>
    <s v="0"/>
    <s v="0"/>
  </r>
  <r>
    <x v="141"/>
    <x v="106"/>
    <x v="102"/>
    <x v="2"/>
    <x v="3"/>
    <x v="0"/>
    <s v="C_"/>
    <x v="141"/>
    <x v="3"/>
    <x v="0"/>
    <x v="18"/>
    <x v="82"/>
    <x v="65"/>
    <x v="18"/>
    <x v="82"/>
    <x v="65"/>
    <x v="0"/>
    <m/>
    <n v="39.9"/>
    <n v="296.89999999999998"/>
    <s v="0"/>
    <s v="0"/>
  </r>
  <r>
    <x v="142"/>
    <x v="107"/>
    <x v="102"/>
    <x v="2"/>
    <x v="3"/>
    <x v="0"/>
    <s v="C_"/>
    <x v="142"/>
    <x v="3"/>
    <x v="0"/>
    <x v="44"/>
    <x v="83"/>
    <x v="41"/>
    <x v="44"/>
    <x v="83"/>
    <x v="41"/>
    <x v="0"/>
    <m/>
    <n v="56.9"/>
    <n v="422.9"/>
    <s v="0"/>
    <s v="0"/>
  </r>
  <r>
    <x v="143"/>
    <x v="108"/>
    <x v="103"/>
    <x v="2"/>
    <x v="3"/>
    <x v="0"/>
    <s v="C_"/>
    <x v="143"/>
    <x v="3"/>
    <x v="0"/>
    <x v="8"/>
    <x v="9"/>
    <x v="9"/>
    <x v="8"/>
    <x v="9"/>
    <x v="9"/>
    <x v="0"/>
    <m/>
    <n v="10.9"/>
    <n v="80.900000000000006"/>
    <s v="0"/>
    <s v="0"/>
  </r>
  <r>
    <x v="144"/>
    <x v="109"/>
    <x v="104"/>
    <x v="2"/>
    <x v="3"/>
    <x v="0"/>
    <s v="C_"/>
    <x v="144"/>
    <x v="3"/>
    <x v="0"/>
    <x v="75"/>
    <x v="84"/>
    <x v="66"/>
    <x v="75"/>
    <x v="84"/>
    <x v="66"/>
    <x v="0"/>
    <m/>
    <n v="24.9"/>
    <n v="184.9"/>
    <s v="0"/>
    <s v="0"/>
  </r>
  <r>
    <x v="145"/>
    <x v="110"/>
    <x v="105"/>
    <x v="2"/>
    <x v="3"/>
    <x v="0"/>
    <s v="C_"/>
    <x v="145"/>
    <x v="3"/>
    <x v="0"/>
    <x v="33"/>
    <x v="35"/>
    <x v="67"/>
    <x v="33"/>
    <x v="35"/>
    <x v="67"/>
    <x v="0"/>
    <m/>
    <n v="26.9"/>
    <n v="199.9"/>
    <s v="0"/>
    <s v="0"/>
  </r>
  <r>
    <x v="146"/>
    <x v="111"/>
    <x v="106"/>
    <x v="2"/>
    <x v="3"/>
    <x v="0"/>
    <s v="C_"/>
    <x v="146"/>
    <x v="3"/>
    <x v="0"/>
    <x v="22"/>
    <x v="71"/>
    <x v="21"/>
    <x v="22"/>
    <x v="71"/>
    <x v="21"/>
    <x v="0"/>
    <m/>
    <n v="11.9"/>
    <n v="88.9"/>
    <s v="0"/>
    <s v="0"/>
  </r>
  <r>
    <x v="147"/>
    <x v="112"/>
    <x v="78"/>
    <x v="2"/>
    <x v="3"/>
    <x v="0"/>
    <s v="C_"/>
    <x v="147"/>
    <x v="3"/>
    <x v="0"/>
    <x v="70"/>
    <x v="77"/>
    <x v="54"/>
    <x v="70"/>
    <x v="77"/>
    <x v="54"/>
    <x v="0"/>
    <m/>
    <n v="9.9"/>
    <n v="73.900000000000006"/>
    <s v="0"/>
    <s v="0"/>
  </r>
  <r>
    <x v="148"/>
    <x v="113"/>
    <x v="107"/>
    <x v="3"/>
    <x v="3"/>
    <x v="0"/>
    <s v="C_"/>
    <x v="148"/>
    <x v="3"/>
    <x v="3"/>
    <x v="8"/>
    <x v="63"/>
    <x v="9"/>
    <x v="8"/>
    <x v="63"/>
    <x v="9"/>
    <x v="0"/>
    <m/>
    <n v="10.9"/>
    <n v="79.900000000000006"/>
    <s v="0"/>
    <s v="0"/>
  </r>
  <r>
    <x v="149"/>
    <x v="114"/>
    <x v="108"/>
    <x v="2"/>
    <x v="3"/>
    <x v="0"/>
    <s v="C_"/>
    <x v="149"/>
    <x v="3"/>
    <x v="0"/>
    <x v="76"/>
    <x v="85"/>
    <x v="21"/>
    <x v="76"/>
    <x v="85"/>
    <x v="21"/>
    <x v="0"/>
    <m/>
    <n v="11.6"/>
    <n v="85.9"/>
    <s v="0"/>
    <s v="0"/>
  </r>
  <r>
    <x v="150"/>
    <x v="115"/>
    <x v="109"/>
    <x v="2"/>
    <x v="3"/>
    <x v="0"/>
    <s v="C_"/>
    <x v="150"/>
    <x v="3"/>
    <x v="0"/>
    <x v="77"/>
    <x v="86"/>
    <x v="68"/>
    <x v="77"/>
    <x v="86"/>
    <x v="68"/>
    <x v="0"/>
    <m/>
    <n v="18.200000000000003"/>
    <n v="134.9"/>
    <s v="0"/>
    <s v="0"/>
  </r>
  <r>
    <x v="151"/>
    <x v="116"/>
    <x v="110"/>
    <x v="3"/>
    <x v="3"/>
    <x v="0"/>
    <s v="C_"/>
    <x v="151"/>
    <x v="5"/>
    <x v="8"/>
    <x v="55"/>
    <x v="87"/>
    <x v="17"/>
    <x v="55"/>
    <x v="87"/>
    <x v="17"/>
    <x v="0"/>
    <m/>
    <n v="13.9"/>
    <n v="104.9"/>
    <s v="0"/>
    <s v="0"/>
  </r>
  <r>
    <x v="152"/>
    <x v="116"/>
    <x v="110"/>
    <x v="3"/>
    <x v="3"/>
    <x v="0"/>
    <s v="C_"/>
    <x v="152"/>
    <x v="5"/>
    <x v="3"/>
    <x v="55"/>
    <x v="87"/>
    <x v="17"/>
    <x v="55"/>
    <x v="87"/>
    <x v="17"/>
    <x v="0"/>
    <m/>
    <n v="13.9"/>
    <n v="104.9"/>
    <s v="0"/>
    <s v="0"/>
  </r>
  <r>
    <x v="153"/>
    <x v="116"/>
    <x v="110"/>
    <x v="3"/>
    <x v="3"/>
    <x v="0"/>
    <s v="C_"/>
    <x v="153"/>
    <x v="5"/>
    <x v="1"/>
    <x v="55"/>
    <x v="87"/>
    <x v="17"/>
    <x v="55"/>
    <x v="87"/>
    <x v="17"/>
    <x v="0"/>
    <m/>
    <n v="13.9"/>
    <n v="104.9"/>
    <s v="0"/>
    <s v="0"/>
  </r>
  <r>
    <x v="154"/>
    <x v="116"/>
    <x v="110"/>
    <x v="3"/>
    <x v="3"/>
    <x v="0"/>
    <s v="C_"/>
    <x v="154"/>
    <x v="5"/>
    <x v="2"/>
    <x v="55"/>
    <x v="87"/>
    <x v="17"/>
    <x v="55"/>
    <x v="87"/>
    <x v="17"/>
    <x v="0"/>
    <m/>
    <n v="13.9"/>
    <n v="104.9"/>
    <s v="0"/>
    <s v="0"/>
  </r>
  <r>
    <x v="155"/>
    <x v="117"/>
    <x v="111"/>
    <x v="2"/>
    <x v="3"/>
    <x v="0"/>
    <s v="C_"/>
    <x v="155"/>
    <x v="3"/>
    <x v="0"/>
    <x v="31"/>
    <x v="33"/>
    <x v="69"/>
    <x v="31"/>
    <x v="33"/>
    <x v="69"/>
    <x v="0"/>
    <m/>
    <n v="23.9"/>
    <n v="177.9"/>
    <s v="0"/>
    <s v="0"/>
  </r>
  <r>
    <x v="156"/>
    <x v="118"/>
    <x v="112"/>
    <x v="2"/>
    <x v="3"/>
    <x v="0"/>
    <s v="C_"/>
    <x v="156"/>
    <x v="3"/>
    <x v="0"/>
    <x v="78"/>
    <x v="88"/>
    <x v="13"/>
    <x v="78"/>
    <x v="88"/>
    <x v="13"/>
    <x v="0"/>
    <m/>
    <n v="32.9"/>
    <n v="244.9"/>
    <s v="0"/>
    <s v="0"/>
  </r>
  <r>
    <x v="157"/>
    <x v="119"/>
    <x v="113"/>
    <x v="3"/>
    <x v="3"/>
    <x v="0"/>
    <s v="C_"/>
    <x v="157"/>
    <x v="5"/>
    <x v="10"/>
    <x v="75"/>
    <x v="84"/>
    <x v="69"/>
    <x v="75"/>
    <x v="84"/>
    <x v="69"/>
    <x v="0"/>
    <m/>
    <n v="24.9"/>
    <n v="184.9"/>
    <s v="0"/>
    <s v="0"/>
  </r>
  <r>
    <x v="158"/>
    <x v="120"/>
    <x v="114"/>
    <x v="2"/>
    <x v="3"/>
    <x v="0"/>
    <s v="C_"/>
    <x v="158"/>
    <x v="3"/>
    <x v="0"/>
    <x v="79"/>
    <x v="89"/>
    <x v="70"/>
    <x v="79"/>
    <x v="89"/>
    <x v="70"/>
    <x v="0"/>
    <m/>
    <n v="1.3"/>
    <n v="9.9"/>
    <s v="0"/>
    <s v="0"/>
  </r>
  <r>
    <x v="159"/>
    <x v="121"/>
    <x v="115"/>
    <x v="2"/>
    <x v="3"/>
    <x v="0"/>
    <s v="C_"/>
    <x v="159"/>
    <x v="3"/>
    <x v="0"/>
    <x v="33"/>
    <x v="35"/>
    <x v="67"/>
    <x v="33"/>
    <x v="35"/>
    <x v="67"/>
    <x v="0"/>
    <m/>
    <n v="26.9"/>
    <n v="199.9"/>
    <s v="0"/>
    <s v="0"/>
  </r>
  <r>
    <x v="160"/>
    <x v="122"/>
    <x v="116"/>
    <x v="2"/>
    <x v="3"/>
    <x v="0"/>
    <s v="C_"/>
    <x v="160"/>
    <x v="3"/>
    <x v="0"/>
    <x v="80"/>
    <x v="90"/>
    <x v="28"/>
    <x v="80"/>
    <x v="90"/>
    <x v="28"/>
    <x v="0"/>
    <m/>
    <n v="7.3"/>
    <n v="53.9"/>
    <s v="0"/>
    <s v="0"/>
  </r>
  <r>
    <x v="161"/>
    <x v="123"/>
    <x v="117"/>
    <x v="2"/>
    <x v="3"/>
    <x v="0"/>
    <s v="C_"/>
    <x v="161"/>
    <x v="3"/>
    <x v="0"/>
    <x v="77"/>
    <x v="86"/>
    <x v="68"/>
    <x v="77"/>
    <x v="86"/>
    <x v="68"/>
    <x v="0"/>
    <m/>
    <n v="18.200000000000003"/>
    <n v="134.9"/>
    <s v="0"/>
    <s v="0"/>
  </r>
  <r>
    <x v="162"/>
    <x v="124"/>
    <x v="118"/>
    <x v="2"/>
    <x v="3"/>
    <x v="0"/>
    <s v="C_"/>
    <x v="162"/>
    <x v="3"/>
    <x v="0"/>
    <x v="70"/>
    <x v="77"/>
    <x v="54"/>
    <x v="70"/>
    <x v="77"/>
    <x v="54"/>
    <x v="0"/>
    <m/>
    <n v="9.9"/>
    <n v="73.900000000000006"/>
    <s v="0"/>
    <s v="0"/>
  </r>
  <r>
    <x v="163"/>
    <x v="125"/>
    <x v="119"/>
    <x v="2"/>
    <x v="3"/>
    <x v="0"/>
    <s v="C_"/>
    <x v="163"/>
    <x v="3"/>
    <x v="0"/>
    <x v="81"/>
    <x v="80"/>
    <x v="1"/>
    <x v="81"/>
    <x v="80"/>
    <x v="1"/>
    <x v="0"/>
    <m/>
    <n v="16.100000000000001"/>
    <n v="119.9"/>
    <s v="0"/>
    <s v="0"/>
  </r>
  <r>
    <x v="164"/>
    <x v="126"/>
    <x v="120"/>
    <x v="2"/>
    <x v="3"/>
    <x v="0"/>
    <s v="C_"/>
    <x v="164"/>
    <x v="3"/>
    <x v="0"/>
    <x v="11"/>
    <x v="12"/>
    <x v="12"/>
    <x v="11"/>
    <x v="12"/>
    <x v="12"/>
    <x v="0"/>
    <m/>
    <n v="19.3"/>
    <n v="143.9"/>
    <s v="0"/>
    <s v="0"/>
  </r>
  <r>
    <x v="165"/>
    <x v="127"/>
    <x v="121"/>
    <x v="2"/>
    <x v="3"/>
    <x v="0"/>
    <s v="C_"/>
    <x v="165"/>
    <x v="3"/>
    <x v="0"/>
    <x v="33"/>
    <x v="35"/>
    <x v="67"/>
    <x v="33"/>
    <x v="35"/>
    <x v="67"/>
    <x v="0"/>
    <m/>
    <n v="26.9"/>
    <n v="199.9"/>
    <s v="0"/>
    <s v="0"/>
  </r>
  <r>
    <x v="166"/>
    <x v="128"/>
    <x v="122"/>
    <x v="3"/>
    <x v="3"/>
    <x v="0"/>
    <s v="C_"/>
    <x v="166"/>
    <x v="5"/>
    <x v="0"/>
    <x v="32"/>
    <x v="91"/>
    <x v="11"/>
    <x v="32"/>
    <x v="91"/>
    <x v="11"/>
    <x v="0"/>
    <m/>
    <n v="31.9"/>
    <n v="234.9"/>
    <s v="0"/>
    <s v="0"/>
  </r>
  <r>
    <x v="167"/>
    <x v="129"/>
    <x v="123"/>
    <x v="3"/>
    <x v="3"/>
    <x v="0"/>
    <s v="C_"/>
    <x v="167"/>
    <x v="5"/>
    <x v="0"/>
    <x v="7"/>
    <x v="70"/>
    <x v="60"/>
    <x v="7"/>
    <x v="70"/>
    <x v="60"/>
    <x v="0"/>
    <m/>
    <n v="54.9"/>
    <n v="399.9"/>
    <s v="0"/>
    <s v="0"/>
  </r>
  <r>
    <x v="168"/>
    <x v="130"/>
    <x v="124"/>
    <x v="2"/>
    <x v="3"/>
    <x v="0"/>
    <s v="C_"/>
    <x v="168"/>
    <x v="3"/>
    <x v="0"/>
    <x v="82"/>
    <x v="92"/>
    <x v="22"/>
    <x v="82"/>
    <x v="92"/>
    <x v="22"/>
    <x v="0"/>
    <m/>
    <n v="6.3999999999999995"/>
    <n v="47.9"/>
    <s v="0"/>
    <s v="0"/>
  </r>
  <r>
    <x v="169"/>
    <x v="131"/>
    <x v="125"/>
    <x v="2"/>
    <x v="3"/>
    <x v="0"/>
    <s v="C_"/>
    <x v="169"/>
    <x v="3"/>
    <x v="0"/>
    <x v="18"/>
    <x v="82"/>
    <x v="71"/>
    <x v="18"/>
    <x v="82"/>
    <x v="71"/>
    <x v="0"/>
    <m/>
    <n v="39.9"/>
    <n v="296.89999999999998"/>
    <s v="0"/>
    <s v="0"/>
  </r>
  <r>
    <x v="170"/>
    <x v="132"/>
    <x v="126"/>
    <x v="2"/>
    <x v="3"/>
    <x v="0"/>
    <s v="C_"/>
    <x v="170"/>
    <x v="3"/>
    <x v="0"/>
    <x v="83"/>
    <x v="93"/>
    <x v="68"/>
    <x v="83"/>
    <x v="93"/>
    <x v="68"/>
    <x v="0"/>
    <m/>
    <n v="18.3"/>
    <n v="135.9"/>
    <s v="0"/>
    <s v="0"/>
  </r>
  <r>
    <x v="171"/>
    <x v="133"/>
    <x v="127"/>
    <x v="2"/>
    <x v="3"/>
    <x v="0"/>
    <s v="C_"/>
    <x v="171"/>
    <x v="3"/>
    <x v="0"/>
    <x v="4"/>
    <x v="5"/>
    <x v="72"/>
    <x v="4"/>
    <x v="5"/>
    <x v="72"/>
    <x v="0"/>
    <m/>
    <n v="3.8000000000000003"/>
    <n v="27.9"/>
    <s v="0"/>
    <s v="0"/>
  </r>
  <r>
    <x v="172"/>
    <x v="134"/>
    <x v="128"/>
    <x v="2"/>
    <x v="3"/>
    <x v="0"/>
    <s v="C_"/>
    <x v="172"/>
    <x v="3"/>
    <x v="0"/>
    <x v="84"/>
    <x v="94"/>
    <x v="28"/>
    <x v="84"/>
    <x v="94"/>
    <x v="28"/>
    <x v="0"/>
    <m/>
    <n v="7.3999999999999995"/>
    <n v="54.9"/>
    <s v="0"/>
    <s v="0"/>
  </r>
  <r>
    <x v="173"/>
    <x v="135"/>
    <x v="129"/>
    <x v="2"/>
    <x v="3"/>
    <x v="0"/>
    <s v="C_"/>
    <x v="173"/>
    <x v="3"/>
    <x v="0"/>
    <x v="0"/>
    <x v="95"/>
    <x v="29"/>
    <x v="0"/>
    <x v="95"/>
    <x v="29"/>
    <x v="0"/>
    <m/>
    <n v="8.9"/>
    <n v="65.900000000000006"/>
    <s v="0"/>
    <s v="0"/>
  </r>
  <r>
    <x v="174"/>
    <x v="136"/>
    <x v="130"/>
    <x v="0"/>
    <x v="1"/>
    <x v="1"/>
    <s v="A"/>
    <x v="174"/>
    <x v="1"/>
    <x v="0"/>
    <x v="85"/>
    <x v="57"/>
    <x v="60"/>
    <x v="85"/>
    <x v="57"/>
    <x v="60"/>
    <x v="0"/>
    <m/>
    <n v="52.899999999999991"/>
    <n v="389.9"/>
    <s v="0"/>
    <s v="0"/>
  </r>
  <r>
    <x v="175"/>
    <x v="137"/>
    <x v="131"/>
    <x v="0"/>
    <x v="6"/>
    <x v="1"/>
    <s v="A"/>
    <x v="175"/>
    <x v="10"/>
    <x v="4"/>
    <x v="86"/>
    <x v="96"/>
    <x v="73"/>
    <x v="86"/>
    <x v="96"/>
    <x v="73"/>
    <x v="0"/>
    <m/>
    <n v="61.900000000000006"/>
    <n v="459.90000000000003"/>
    <s v="0"/>
    <s v="0"/>
  </r>
  <r>
    <x v="176"/>
    <x v="137"/>
    <x v="131"/>
    <x v="0"/>
    <x v="6"/>
    <x v="1"/>
    <s v="A"/>
    <x v="176"/>
    <x v="10"/>
    <x v="5"/>
    <x v="86"/>
    <x v="96"/>
    <x v="73"/>
    <x v="86"/>
    <x v="96"/>
    <x v="73"/>
    <x v="0"/>
    <m/>
    <n v="61.900000000000006"/>
    <n v="459.90000000000003"/>
    <s v="0"/>
    <s v="0"/>
  </r>
  <r>
    <x v="177"/>
    <x v="138"/>
    <x v="132"/>
    <x v="0"/>
    <x v="6"/>
    <x v="1"/>
    <s v="A"/>
    <x v="177"/>
    <x v="1"/>
    <x v="0"/>
    <x v="87"/>
    <x v="97"/>
    <x v="74"/>
    <x v="87"/>
    <x v="97"/>
    <x v="74"/>
    <x v="0"/>
    <m/>
    <n v="79.900000000000006"/>
    <n v="589.9"/>
    <s v="0"/>
    <s v="0"/>
  </r>
  <r>
    <x v="178"/>
    <x v="139"/>
    <x v="133"/>
    <x v="3"/>
    <x v="3"/>
    <x v="0"/>
    <s v="C_"/>
    <x v="178"/>
    <x v="5"/>
    <x v="0"/>
    <x v="88"/>
    <x v="98"/>
    <x v="75"/>
    <x v="88"/>
    <x v="98"/>
    <x v="75"/>
    <x v="0"/>
    <m/>
    <n v="129.9"/>
    <n v="966.9"/>
    <s v="0"/>
    <s v="0"/>
  </r>
  <r>
    <x v="179"/>
    <x v="140"/>
    <x v="134"/>
    <x v="3"/>
    <x v="3"/>
    <x v="0"/>
    <s v="C_"/>
    <x v="179"/>
    <x v="5"/>
    <x v="0"/>
    <x v="88"/>
    <x v="98"/>
    <x v="75"/>
    <x v="88"/>
    <x v="98"/>
    <x v="75"/>
    <x v="0"/>
    <m/>
    <n v="129.9"/>
    <n v="966.9"/>
    <s v="0"/>
    <s v="0"/>
  </r>
  <r>
    <x v="180"/>
    <x v="141"/>
    <x v="135"/>
    <x v="0"/>
    <x v="7"/>
    <x v="0"/>
    <s v="C_"/>
    <x v="180"/>
    <x v="11"/>
    <x v="4"/>
    <x v="89"/>
    <x v="99"/>
    <x v="76"/>
    <x v="89"/>
    <x v="99"/>
    <x v="76"/>
    <x v="0"/>
    <m/>
    <n v="134.9"/>
    <n v="999.9"/>
    <s v="0"/>
    <s v="0"/>
  </r>
  <r>
    <x v="181"/>
    <x v="141"/>
    <x v="135"/>
    <x v="0"/>
    <x v="7"/>
    <x v="0"/>
    <s v="C_"/>
    <x v="181"/>
    <x v="11"/>
    <x v="5"/>
    <x v="89"/>
    <x v="99"/>
    <x v="76"/>
    <x v="89"/>
    <x v="99"/>
    <x v="76"/>
    <x v="0"/>
    <m/>
    <n v="134.9"/>
    <n v="999.9"/>
    <s v="0"/>
    <s v="0"/>
  </r>
  <r>
    <x v="182"/>
    <x v="142"/>
    <x v="136"/>
    <x v="0"/>
    <x v="7"/>
    <x v="0"/>
    <s v="C_"/>
    <x v="182"/>
    <x v="11"/>
    <x v="4"/>
    <x v="90"/>
    <x v="100"/>
    <x v="77"/>
    <x v="90"/>
    <x v="100"/>
    <x v="77"/>
    <x v="0"/>
    <m/>
    <n v="154.9"/>
    <n v="1152.9000000000001"/>
    <s v="0"/>
    <s v="0"/>
  </r>
  <r>
    <x v="183"/>
    <x v="143"/>
    <x v="137"/>
    <x v="0"/>
    <x v="8"/>
    <x v="1"/>
    <s v="A"/>
    <x v="183"/>
    <x v="3"/>
    <x v="0"/>
    <x v="91"/>
    <x v="101"/>
    <x v="78"/>
    <x v="91"/>
    <x v="101"/>
    <x v="78"/>
    <x v="0"/>
    <m/>
    <n v="149.9"/>
    <n v="1114.9000000000001"/>
    <s v="0"/>
    <s v="0"/>
  </r>
  <r>
    <x v="184"/>
    <x v="144"/>
    <x v="138"/>
    <x v="0"/>
    <x v="7"/>
    <x v="0"/>
    <s v="C_"/>
    <x v="184"/>
    <x v="11"/>
    <x v="4"/>
    <x v="92"/>
    <x v="102"/>
    <x v="79"/>
    <x v="92"/>
    <x v="102"/>
    <x v="79"/>
    <x v="0"/>
    <m/>
    <n v="179.9"/>
    <n v="1349.9"/>
    <s v="0"/>
    <s v="0"/>
  </r>
  <r>
    <x v="185"/>
    <x v="144"/>
    <x v="138"/>
    <x v="0"/>
    <x v="7"/>
    <x v="0"/>
    <s v="C_"/>
    <x v="185"/>
    <x v="11"/>
    <x v="7"/>
    <x v="92"/>
    <x v="102"/>
    <x v="79"/>
    <x v="92"/>
    <x v="102"/>
    <x v="79"/>
    <x v="0"/>
    <m/>
    <n v="179.9"/>
    <n v="1349.9"/>
    <s v="0"/>
    <s v="0"/>
  </r>
  <r>
    <x v="186"/>
    <x v="137"/>
    <x v="131"/>
    <x v="0"/>
    <x v="6"/>
    <x v="1"/>
    <s v="A"/>
    <x v="186"/>
    <x v="8"/>
    <x v="1"/>
    <x v="86"/>
    <x v="103"/>
    <x v="80"/>
    <x v="86"/>
    <x v="103"/>
    <x v="80"/>
    <x v="0"/>
    <m/>
    <n v="61.900000000000006"/>
    <n v="459.9"/>
    <s v="0"/>
    <s v="0"/>
  </r>
  <r>
    <x v="187"/>
    <x v="141"/>
    <x v="135"/>
    <x v="0"/>
    <x v="7"/>
    <x v="0"/>
    <s v="C_"/>
    <x v="187"/>
    <x v="3"/>
    <x v="1"/>
    <x v="88"/>
    <x v="98"/>
    <x v="75"/>
    <x v="88"/>
    <x v="98"/>
    <x v="75"/>
    <x v="0"/>
    <m/>
    <n v="129.9"/>
    <n v="966.9"/>
    <s v="0"/>
    <s v="0"/>
  </r>
  <r>
    <x v="188"/>
    <x v="145"/>
    <x v="139"/>
    <x v="5"/>
    <x v="2"/>
    <x v="5"/>
    <s v="EX"/>
    <x v="188"/>
    <x v="1"/>
    <x v="8"/>
    <x v="93"/>
    <x v="43"/>
    <x v="81"/>
    <x v="93"/>
    <x v="43"/>
    <x v="81"/>
    <x v="0"/>
    <m/>
    <n v="104.9"/>
    <n v="779.9"/>
    <s v="0"/>
    <s v="0"/>
  </r>
  <r>
    <x v="189"/>
    <x v="146"/>
    <x v="140"/>
    <x v="5"/>
    <x v="2"/>
    <x v="5"/>
    <s v="EX"/>
    <x v="189"/>
    <x v="5"/>
    <x v="0"/>
    <x v="94"/>
    <x v="104"/>
    <x v="82"/>
    <x v="94"/>
    <x v="104"/>
    <x v="82"/>
    <x v="0"/>
    <m/>
    <n v="145.9"/>
    <n v="1085.9000000000001"/>
    <s v="0"/>
    <s v="0"/>
  </r>
  <r>
    <x v="190"/>
    <x v="147"/>
    <x v="141"/>
    <x v="5"/>
    <x v="2"/>
    <x v="5"/>
    <s v="EX"/>
    <x v="190"/>
    <x v="5"/>
    <x v="0"/>
    <x v="95"/>
    <x v="105"/>
    <x v="3"/>
    <x v="95"/>
    <x v="105"/>
    <x v="3"/>
    <x v="0"/>
    <m/>
    <n v="41.9"/>
    <n v="308.89999999999998"/>
    <s v="0"/>
    <s v="0"/>
  </r>
  <r>
    <x v="191"/>
    <x v="148"/>
    <x v="142"/>
    <x v="5"/>
    <x v="2"/>
    <x v="5"/>
    <s v="EX"/>
    <x v="191"/>
    <x v="1"/>
    <x v="8"/>
    <x v="93"/>
    <x v="43"/>
    <x v="81"/>
    <x v="93"/>
    <x v="43"/>
    <x v="81"/>
    <x v="0"/>
    <m/>
    <n v="104.9"/>
    <n v="779.9"/>
    <s v="0"/>
    <s v="0"/>
  </r>
  <r>
    <x v="192"/>
    <x v="149"/>
    <x v="143"/>
    <x v="5"/>
    <x v="2"/>
    <x v="5"/>
    <s v="EX"/>
    <x v="192"/>
    <x v="3"/>
    <x v="0"/>
    <x v="96"/>
    <x v="106"/>
    <x v="83"/>
    <x v="96"/>
    <x v="106"/>
    <x v="83"/>
    <x v="0"/>
    <m/>
    <n v="62.9"/>
    <n v="467.9"/>
    <s v="0"/>
    <s v="0"/>
  </r>
  <r>
    <x v="193"/>
    <x v="150"/>
    <x v="144"/>
    <x v="5"/>
    <x v="2"/>
    <x v="5"/>
    <s v="EX"/>
    <x v="193"/>
    <x v="10"/>
    <x v="8"/>
    <x v="97"/>
    <x v="107"/>
    <x v="84"/>
    <x v="97"/>
    <x v="107"/>
    <x v="84"/>
    <x v="0"/>
    <m/>
    <n v="279.89999999999998"/>
    <n v="2082.9"/>
    <s v="0"/>
    <s v="0"/>
  </r>
  <r>
    <x v="194"/>
    <x v="150"/>
    <x v="144"/>
    <x v="5"/>
    <x v="2"/>
    <x v="5"/>
    <s v="EX"/>
    <x v="194"/>
    <x v="10"/>
    <x v="3"/>
    <x v="97"/>
    <x v="107"/>
    <x v="84"/>
    <x v="97"/>
    <x v="107"/>
    <x v="84"/>
    <x v="0"/>
    <m/>
    <n v="279.89999999999998"/>
    <n v="2082.9"/>
    <s v="0"/>
    <s v="0"/>
  </r>
  <r>
    <x v="195"/>
    <x v="150"/>
    <x v="144"/>
    <x v="5"/>
    <x v="2"/>
    <x v="5"/>
    <s v="EX"/>
    <x v="195"/>
    <x v="10"/>
    <x v="9"/>
    <x v="97"/>
    <x v="107"/>
    <x v="84"/>
    <x v="97"/>
    <x v="107"/>
    <x v="84"/>
    <x v="0"/>
    <m/>
    <n v="279.89999999999998"/>
    <n v="2082.9"/>
    <s v="0"/>
    <s v="0"/>
  </r>
  <r>
    <x v="196"/>
    <x v="151"/>
    <x v="145"/>
    <x v="5"/>
    <x v="2"/>
    <x v="5"/>
    <s v="EX"/>
    <x v="196"/>
    <x v="12"/>
    <x v="4"/>
    <x v="98"/>
    <x v="108"/>
    <x v="85"/>
    <x v="98"/>
    <x v="108"/>
    <x v="85"/>
    <x v="0"/>
    <m/>
    <n v="769.9"/>
    <n v="5728.9"/>
    <s v="0"/>
    <s v="0"/>
  </r>
  <r>
    <x v="197"/>
    <x v="151"/>
    <x v="145"/>
    <x v="5"/>
    <x v="2"/>
    <x v="5"/>
    <s v="EX"/>
    <x v="63"/>
    <x v="3"/>
    <x v="5"/>
    <x v="98"/>
    <x v="108"/>
    <x v="85"/>
    <x v="98"/>
    <x v="108"/>
    <x v="85"/>
    <x v="0"/>
    <m/>
    <n v="769.9"/>
    <n v="5728.9"/>
    <s v="0"/>
    <s v="0"/>
  </r>
  <r>
    <x v="198"/>
    <x v="151"/>
    <x v="145"/>
    <x v="5"/>
    <x v="2"/>
    <x v="5"/>
    <s v="EX"/>
    <x v="197"/>
    <x v="3"/>
    <x v="1"/>
    <x v="98"/>
    <x v="108"/>
    <x v="85"/>
    <x v="98"/>
    <x v="108"/>
    <x v="85"/>
    <x v="0"/>
    <m/>
    <n v="769.9"/>
    <n v="5728.9"/>
    <s v="0"/>
    <s v="0"/>
  </r>
  <r>
    <x v="199"/>
    <x v="152"/>
    <x v="146"/>
    <x v="5"/>
    <x v="2"/>
    <x v="5"/>
    <s v="EX"/>
    <x v="198"/>
    <x v="12"/>
    <x v="4"/>
    <x v="99"/>
    <x v="109"/>
    <x v="86"/>
    <x v="99"/>
    <x v="109"/>
    <x v="86"/>
    <x v="0"/>
    <m/>
    <n v="479.9"/>
    <n v="3570.9"/>
    <s v="0"/>
    <s v="0"/>
  </r>
  <r>
    <x v="200"/>
    <x v="152"/>
    <x v="146"/>
    <x v="5"/>
    <x v="2"/>
    <x v="5"/>
    <s v="EX"/>
    <x v="199"/>
    <x v="12"/>
    <x v="5"/>
    <x v="99"/>
    <x v="109"/>
    <x v="86"/>
    <x v="99"/>
    <x v="109"/>
    <x v="86"/>
    <x v="0"/>
    <m/>
    <n v="479.9"/>
    <n v="3570.9"/>
    <s v="0"/>
    <s v="0"/>
  </r>
  <r>
    <x v="201"/>
    <x v="152"/>
    <x v="146"/>
    <x v="5"/>
    <x v="2"/>
    <x v="5"/>
    <s v="EX"/>
    <x v="200"/>
    <x v="12"/>
    <x v="1"/>
    <x v="99"/>
    <x v="109"/>
    <x v="86"/>
    <x v="99"/>
    <x v="109"/>
    <x v="86"/>
    <x v="0"/>
    <m/>
    <n v="479.9"/>
    <n v="3570.9"/>
    <s v="0"/>
    <s v="0"/>
  </r>
  <r>
    <x v="202"/>
    <x v="153"/>
    <x v="147"/>
    <x v="0"/>
    <x v="9"/>
    <x v="1"/>
    <s v="A"/>
    <x v="201"/>
    <x v="10"/>
    <x v="0"/>
    <x v="100"/>
    <x v="110"/>
    <x v="81"/>
    <x v="100"/>
    <x v="110"/>
    <x v="81"/>
    <x v="0"/>
    <m/>
    <n v="99.9"/>
    <n v="739.9"/>
    <s v="0"/>
    <s v="0"/>
  </r>
  <r>
    <x v="203"/>
    <x v="154"/>
    <x v="148"/>
    <x v="0"/>
    <x v="9"/>
    <x v="1"/>
    <s v="A"/>
    <x v="202"/>
    <x v="1"/>
    <x v="0"/>
    <x v="16"/>
    <x v="111"/>
    <x v="87"/>
    <x v="16"/>
    <x v="111"/>
    <x v="87"/>
    <x v="0"/>
    <m/>
    <n v="44.9"/>
    <n v="334.9"/>
    <s v="0"/>
    <s v="0"/>
  </r>
  <r>
    <x v="204"/>
    <x v="155"/>
    <x v="149"/>
    <x v="0"/>
    <x v="9"/>
    <x v="0"/>
    <s v="C_"/>
    <x v="203"/>
    <x v="4"/>
    <x v="0"/>
    <x v="10"/>
    <x v="14"/>
    <x v="13"/>
    <x v="10"/>
    <x v="14"/>
    <x v="13"/>
    <x v="0"/>
    <m/>
    <n v="29.9"/>
    <n v="219.9"/>
    <s v="0"/>
    <s v="0"/>
  </r>
  <r>
    <x v="205"/>
    <x v="156"/>
    <x v="150"/>
    <x v="0"/>
    <x v="10"/>
    <x v="0"/>
    <s v="C_"/>
    <x v="204"/>
    <x v="11"/>
    <x v="4"/>
    <x v="101"/>
    <x v="112"/>
    <x v="88"/>
    <x v="101"/>
    <x v="112"/>
    <x v="88"/>
    <x v="0"/>
    <m/>
    <n v="164.9"/>
    <n v="1226.9000000000001"/>
    <s v="0"/>
    <s v="0"/>
  </r>
  <r>
    <x v="206"/>
    <x v="156"/>
    <x v="150"/>
    <x v="0"/>
    <x v="10"/>
    <x v="0"/>
    <s v="C_"/>
    <x v="205"/>
    <x v="11"/>
    <x v="7"/>
    <x v="101"/>
    <x v="112"/>
    <x v="88"/>
    <x v="101"/>
    <x v="112"/>
    <x v="88"/>
    <x v="0"/>
    <m/>
    <n v="164.9"/>
    <n v="1226.9000000000001"/>
    <s v="0"/>
    <s v="0"/>
  </r>
  <r>
    <x v="207"/>
    <x v="157"/>
    <x v="151"/>
    <x v="0"/>
    <x v="11"/>
    <x v="0"/>
    <s v="C_"/>
    <x v="206"/>
    <x v="1"/>
    <x v="0"/>
    <x v="1"/>
    <x v="1"/>
    <x v="2"/>
    <x v="1"/>
    <x v="1"/>
    <x v="2"/>
    <x v="0"/>
    <m/>
    <n v="14.9"/>
    <n v="110.9"/>
    <s v="0"/>
    <s v="0"/>
  </r>
  <r>
    <x v="208"/>
    <x v="158"/>
    <x v="152"/>
    <x v="1"/>
    <x v="2"/>
    <x v="2"/>
    <s v="CM"/>
    <x v="207"/>
    <x v="1"/>
    <x v="0"/>
    <x v="102"/>
    <x v="113"/>
    <x v="89"/>
    <x v="102"/>
    <x v="113"/>
    <x v="89"/>
    <x v="0"/>
    <m/>
    <n v="94.9"/>
    <n v="699.9"/>
    <s v="0"/>
    <s v="0"/>
  </r>
  <r>
    <x v="209"/>
    <x v="159"/>
    <x v="153"/>
    <x v="1"/>
    <x v="2"/>
    <x v="2"/>
    <s v="CM"/>
    <x v="208"/>
    <x v="1"/>
    <x v="0"/>
    <x v="103"/>
    <x v="114"/>
    <x v="90"/>
    <x v="103"/>
    <x v="114"/>
    <x v="90"/>
    <x v="0"/>
    <m/>
    <n v="139.9"/>
    <n v="1039.9000000000001"/>
    <s v="0"/>
    <s v="0"/>
  </r>
  <r>
    <x v="210"/>
    <x v="160"/>
    <x v="154"/>
    <x v="1"/>
    <x v="2"/>
    <x v="2"/>
    <s v="CM"/>
    <x v="209"/>
    <x v="13"/>
    <x v="0"/>
    <x v="89"/>
    <x v="99"/>
    <x v="91"/>
    <x v="89"/>
    <x v="99"/>
    <x v="91"/>
    <x v="0"/>
    <m/>
    <n v="134.9"/>
    <n v="999.9"/>
    <s v="0"/>
    <s v="0"/>
  </r>
  <r>
    <x v="211"/>
    <x v="161"/>
    <x v="155"/>
    <x v="1"/>
    <x v="2"/>
    <x v="2"/>
    <s v="CM"/>
    <x v="210"/>
    <x v="3"/>
    <x v="0"/>
    <x v="20"/>
    <x v="23"/>
    <x v="73"/>
    <x v="20"/>
    <x v="23"/>
    <x v="73"/>
    <x v="0"/>
    <m/>
    <n v="69.900000000000006"/>
    <n v="519.9"/>
    <s v="0"/>
    <s v="0"/>
  </r>
  <r>
    <x v="212"/>
    <x v="162"/>
    <x v="156"/>
    <x v="1"/>
    <x v="2"/>
    <x v="2"/>
    <s v="CM"/>
    <x v="211"/>
    <x v="1"/>
    <x v="0"/>
    <x v="104"/>
    <x v="115"/>
    <x v="92"/>
    <x v="104"/>
    <x v="115"/>
    <x v="92"/>
    <x v="0"/>
    <m/>
    <n v="84.9"/>
    <n v="629.9"/>
    <s v="0"/>
    <s v="0"/>
  </r>
  <r>
    <x v="213"/>
    <x v="163"/>
    <x v="157"/>
    <x v="0"/>
    <x v="12"/>
    <x v="0"/>
    <s v="C_"/>
    <x v="212"/>
    <x v="1"/>
    <x v="0"/>
    <x v="75"/>
    <x v="84"/>
    <x v="69"/>
    <x v="75"/>
    <x v="84"/>
    <x v="69"/>
    <x v="0"/>
    <m/>
    <n v="24.9"/>
    <n v="184.9"/>
    <s v="0"/>
    <s v="0"/>
  </r>
  <r>
    <x v="214"/>
    <x v="164"/>
    <x v="158"/>
    <x v="0"/>
    <x v="12"/>
    <x v="0"/>
    <s v="C_"/>
    <x v="213"/>
    <x v="1"/>
    <x v="0"/>
    <x v="15"/>
    <x v="18"/>
    <x v="93"/>
    <x v="15"/>
    <x v="18"/>
    <x v="93"/>
    <x v="0"/>
    <m/>
    <n v="34.9"/>
    <n v="259.89999999999998"/>
    <s v="0"/>
    <s v="0"/>
  </r>
  <r>
    <x v="215"/>
    <x v="165"/>
    <x v="159"/>
    <x v="0"/>
    <x v="11"/>
    <x v="0"/>
    <s v="C_"/>
    <x v="214"/>
    <x v="1"/>
    <x v="0"/>
    <x v="78"/>
    <x v="116"/>
    <x v="11"/>
    <x v="78"/>
    <x v="116"/>
    <x v="11"/>
    <x v="0"/>
    <m/>
    <n v="32.9"/>
    <n v="249.9"/>
    <s v="0"/>
    <s v="0"/>
  </r>
  <r>
    <x v="216"/>
    <x v="166"/>
    <x v="160"/>
    <x v="0"/>
    <x v="11"/>
    <x v="0"/>
    <s v="C_"/>
    <x v="215"/>
    <x v="1"/>
    <x v="0"/>
    <x v="5"/>
    <x v="117"/>
    <x v="94"/>
    <x v="5"/>
    <x v="117"/>
    <x v="94"/>
    <x v="0"/>
    <m/>
    <n v="21.9"/>
    <n v="169.9"/>
    <s v="0"/>
    <s v="0"/>
  </r>
  <r>
    <x v="217"/>
    <x v="167"/>
    <x v="161"/>
    <x v="0"/>
    <x v="9"/>
    <x v="0"/>
    <s v="C_"/>
    <x v="216"/>
    <x v="8"/>
    <x v="4"/>
    <x v="15"/>
    <x v="18"/>
    <x v="93"/>
    <x v="15"/>
    <x v="18"/>
    <x v="93"/>
    <x v="0"/>
    <m/>
    <n v="34.9"/>
    <n v="259.89999999999998"/>
    <s v="0"/>
    <s v="0"/>
  </r>
  <r>
    <x v="218"/>
    <x v="168"/>
    <x v="162"/>
    <x v="0"/>
    <x v="7"/>
    <x v="0"/>
    <s v="C_"/>
    <x v="217"/>
    <x v="11"/>
    <x v="4"/>
    <x v="89"/>
    <x v="99"/>
    <x v="76"/>
    <x v="89"/>
    <x v="99"/>
    <x v="76"/>
    <x v="0"/>
    <m/>
    <n v="134.9"/>
    <n v="999.9"/>
    <s v="0"/>
    <s v="0"/>
  </r>
  <r>
    <x v="219"/>
    <x v="168"/>
    <x v="162"/>
    <x v="0"/>
    <x v="7"/>
    <x v="0"/>
    <s v="C_"/>
    <x v="218"/>
    <x v="3"/>
    <x v="7"/>
    <x v="89"/>
    <x v="99"/>
    <x v="76"/>
    <x v="89"/>
    <x v="99"/>
    <x v="76"/>
    <x v="0"/>
    <m/>
    <n v="134.9"/>
    <n v="999.9"/>
    <s v="0"/>
    <s v="0"/>
  </r>
  <r>
    <x v="220"/>
    <x v="169"/>
    <x v="163"/>
    <x v="1"/>
    <x v="2"/>
    <x v="2"/>
    <s v="CM"/>
    <x v="219"/>
    <x v="3"/>
    <x v="4"/>
    <x v="105"/>
    <x v="118"/>
    <x v="95"/>
    <x v="105"/>
    <x v="118"/>
    <x v="95"/>
    <x v="0"/>
    <m/>
    <n v="274.89999999999998"/>
    <n v="2044.9"/>
    <s v="0"/>
    <s v="0"/>
  </r>
  <r>
    <x v="221"/>
    <x v="169"/>
    <x v="163"/>
    <x v="1"/>
    <x v="2"/>
    <x v="2"/>
    <s v="CM"/>
    <x v="220"/>
    <x v="3"/>
    <x v="3"/>
    <x v="105"/>
    <x v="118"/>
    <x v="95"/>
    <x v="105"/>
    <x v="118"/>
    <x v="95"/>
    <x v="0"/>
    <m/>
    <n v="274.89999999999998"/>
    <n v="2044.9"/>
    <s v="0"/>
    <s v="0"/>
  </r>
  <r>
    <x v="222"/>
    <x v="169"/>
    <x v="163"/>
    <x v="1"/>
    <x v="2"/>
    <x v="2"/>
    <s v="CM"/>
    <x v="221"/>
    <x v="3"/>
    <x v="7"/>
    <x v="105"/>
    <x v="118"/>
    <x v="95"/>
    <x v="105"/>
    <x v="118"/>
    <x v="95"/>
    <x v="0"/>
    <m/>
    <n v="274.89999999999998"/>
    <n v="2044.9"/>
    <s v="0"/>
    <s v="0"/>
  </r>
  <r>
    <x v="223"/>
    <x v="169"/>
    <x v="163"/>
    <x v="1"/>
    <x v="2"/>
    <x v="2"/>
    <s v="CM"/>
    <x v="222"/>
    <x v="3"/>
    <x v="11"/>
    <x v="105"/>
    <x v="118"/>
    <x v="95"/>
    <x v="105"/>
    <x v="118"/>
    <x v="95"/>
    <x v="0"/>
    <m/>
    <n v="274.89999999999998"/>
    <n v="2044.9"/>
    <s v="0"/>
    <s v="0"/>
  </r>
  <r>
    <x v="224"/>
    <x v="169"/>
    <x v="163"/>
    <x v="1"/>
    <x v="2"/>
    <x v="2"/>
    <s v="CM"/>
    <x v="223"/>
    <x v="3"/>
    <x v="1"/>
    <x v="105"/>
    <x v="118"/>
    <x v="95"/>
    <x v="105"/>
    <x v="118"/>
    <x v="95"/>
    <x v="0"/>
    <m/>
    <n v="274.89999999999998"/>
    <n v="2044.9"/>
    <s v="0"/>
    <s v="0"/>
  </r>
  <r>
    <x v="225"/>
    <x v="169"/>
    <x v="163"/>
    <x v="1"/>
    <x v="2"/>
    <x v="2"/>
    <s v="CM"/>
    <x v="224"/>
    <x v="3"/>
    <x v="2"/>
    <x v="105"/>
    <x v="118"/>
    <x v="95"/>
    <x v="105"/>
    <x v="118"/>
    <x v="95"/>
    <x v="0"/>
    <m/>
    <n v="274.89999999999998"/>
    <n v="2044.9"/>
    <s v="0"/>
    <s v="0"/>
  </r>
  <r>
    <x v="226"/>
    <x v="170"/>
    <x v="164"/>
    <x v="1"/>
    <x v="2"/>
    <x v="2"/>
    <s v="CM"/>
    <x v="225"/>
    <x v="3"/>
    <x v="0"/>
    <x v="106"/>
    <x v="119"/>
    <x v="96"/>
    <x v="106"/>
    <x v="119"/>
    <x v="96"/>
    <x v="0"/>
    <m/>
    <n v="219.9"/>
    <n v="1639.9"/>
    <s v="0"/>
    <s v="0"/>
  </r>
  <r>
    <x v="227"/>
    <x v="171"/>
    <x v="165"/>
    <x v="1"/>
    <x v="2"/>
    <x v="2"/>
    <s v="CM"/>
    <x v="226"/>
    <x v="3"/>
    <x v="0"/>
    <x v="107"/>
    <x v="120"/>
    <x v="97"/>
    <x v="107"/>
    <x v="120"/>
    <x v="97"/>
    <x v="0"/>
    <m/>
    <n v="329.9"/>
    <n v="2459.9"/>
    <s v="0"/>
    <s v="0"/>
  </r>
  <r>
    <x v="228"/>
    <x v="172"/>
    <x v="166"/>
    <x v="1"/>
    <x v="2"/>
    <x v="2"/>
    <s v="CM"/>
    <x v="227"/>
    <x v="3"/>
    <x v="0"/>
    <x v="103"/>
    <x v="121"/>
    <x v="98"/>
    <x v="103"/>
    <x v="121"/>
    <x v="98"/>
    <x v="0"/>
    <m/>
    <n v="139.9"/>
    <n v="1029.9000000000001"/>
    <s v="0"/>
    <s v="0"/>
  </r>
  <r>
    <x v="229"/>
    <x v="173"/>
    <x v="167"/>
    <x v="1"/>
    <x v="2"/>
    <x v="2"/>
    <s v="CM"/>
    <x v="228"/>
    <x v="3"/>
    <x v="4"/>
    <x v="108"/>
    <x v="122"/>
    <x v="99"/>
    <x v="108"/>
    <x v="122"/>
    <x v="99"/>
    <x v="0"/>
    <m/>
    <n v="379.9"/>
    <n v="2824.9"/>
    <s v="0"/>
    <s v="0"/>
  </r>
  <r>
    <x v="230"/>
    <x v="173"/>
    <x v="167"/>
    <x v="1"/>
    <x v="2"/>
    <x v="2"/>
    <s v="CM"/>
    <x v="229"/>
    <x v="3"/>
    <x v="3"/>
    <x v="108"/>
    <x v="122"/>
    <x v="99"/>
    <x v="108"/>
    <x v="122"/>
    <x v="99"/>
    <x v="0"/>
    <m/>
    <n v="379.9"/>
    <n v="2824.9"/>
    <s v="0"/>
    <s v="0"/>
  </r>
  <r>
    <x v="231"/>
    <x v="173"/>
    <x v="167"/>
    <x v="1"/>
    <x v="2"/>
    <x v="2"/>
    <s v="CM"/>
    <x v="230"/>
    <x v="3"/>
    <x v="7"/>
    <x v="108"/>
    <x v="122"/>
    <x v="99"/>
    <x v="108"/>
    <x v="122"/>
    <x v="99"/>
    <x v="0"/>
    <m/>
    <n v="379.9"/>
    <n v="2824.9"/>
    <s v="0"/>
    <s v="0"/>
  </r>
  <r>
    <x v="232"/>
    <x v="173"/>
    <x v="167"/>
    <x v="1"/>
    <x v="2"/>
    <x v="2"/>
    <s v="CM"/>
    <x v="231"/>
    <x v="3"/>
    <x v="11"/>
    <x v="108"/>
    <x v="122"/>
    <x v="99"/>
    <x v="108"/>
    <x v="122"/>
    <x v="99"/>
    <x v="0"/>
    <m/>
    <n v="379.9"/>
    <n v="2824.9"/>
    <s v="0"/>
    <s v="0"/>
  </r>
  <r>
    <x v="233"/>
    <x v="173"/>
    <x v="167"/>
    <x v="1"/>
    <x v="2"/>
    <x v="2"/>
    <s v="CM"/>
    <x v="232"/>
    <x v="3"/>
    <x v="1"/>
    <x v="108"/>
    <x v="122"/>
    <x v="99"/>
    <x v="108"/>
    <x v="122"/>
    <x v="99"/>
    <x v="0"/>
    <m/>
    <n v="379.9"/>
    <n v="2824.9"/>
    <s v="0"/>
    <s v="0"/>
  </r>
  <r>
    <x v="234"/>
    <x v="173"/>
    <x v="167"/>
    <x v="1"/>
    <x v="2"/>
    <x v="2"/>
    <s v="CM"/>
    <x v="233"/>
    <x v="3"/>
    <x v="2"/>
    <x v="108"/>
    <x v="122"/>
    <x v="99"/>
    <x v="108"/>
    <x v="122"/>
    <x v="99"/>
    <x v="0"/>
    <m/>
    <n v="379.9"/>
    <n v="2824.9"/>
    <s v="0"/>
    <s v="0"/>
  </r>
  <r>
    <x v="235"/>
    <x v="174"/>
    <x v="168"/>
    <x v="3"/>
    <x v="3"/>
    <x v="0"/>
    <s v="C_"/>
    <x v="234"/>
    <x v="5"/>
    <x v="0"/>
    <x v="40"/>
    <x v="123"/>
    <x v="100"/>
    <x v="40"/>
    <x v="123"/>
    <x v="100"/>
    <x v="0"/>
    <m/>
    <n v="169.9"/>
    <n v="1264.9000000000001"/>
    <s v="0"/>
    <s v="0"/>
  </r>
  <r>
    <x v="236"/>
    <x v="175"/>
    <x v="169"/>
    <x v="4"/>
    <x v="2"/>
    <x v="4"/>
    <s v="UV"/>
    <x v="235"/>
    <x v="13"/>
    <x v="0"/>
    <x v="104"/>
    <x v="115"/>
    <x v="20"/>
    <x v="104"/>
    <x v="115"/>
    <x v="20"/>
    <x v="0"/>
    <m/>
    <n v="84.9"/>
    <n v="629.9"/>
    <s v="0"/>
    <s v="0"/>
  </r>
  <r>
    <x v="237"/>
    <x v="176"/>
    <x v="170"/>
    <x v="3"/>
    <x v="3"/>
    <x v="0"/>
    <s v="C_"/>
    <x v="236"/>
    <x v="13"/>
    <x v="0"/>
    <x v="109"/>
    <x v="124"/>
    <x v="101"/>
    <x v="109"/>
    <x v="124"/>
    <x v="101"/>
    <x v="0"/>
    <m/>
    <n v="89.9"/>
    <n v="668.9"/>
    <s v="0"/>
    <s v="0"/>
  </r>
  <r>
    <x v="238"/>
    <x v="176"/>
    <x v="171"/>
    <x v="3"/>
    <x v="3"/>
    <x v="0"/>
    <s v="C_"/>
    <x v="237"/>
    <x v="13"/>
    <x v="0"/>
    <x v="109"/>
    <x v="124"/>
    <x v="101"/>
    <x v="109"/>
    <x v="124"/>
    <x v="101"/>
    <x v="0"/>
    <m/>
    <n v="89.9"/>
    <n v="668.9"/>
    <s v="0"/>
    <s v="0"/>
  </r>
  <r>
    <x v="239"/>
    <x v="177"/>
    <x v="172"/>
    <x v="0"/>
    <x v="1"/>
    <x v="1"/>
    <s v="A"/>
    <x v="238"/>
    <x v="1"/>
    <x v="0"/>
    <x v="110"/>
    <x v="125"/>
    <x v="102"/>
    <x v="110"/>
    <x v="125"/>
    <x v="102"/>
    <x v="0"/>
    <m/>
    <n v="64.899999999999991"/>
    <n v="479.9"/>
    <s v="0"/>
    <s v="0"/>
  </r>
  <r>
    <x v="240"/>
    <x v="178"/>
    <x v="173"/>
    <x v="0"/>
    <x v="1"/>
    <x v="1"/>
    <s v="A"/>
    <x v="239"/>
    <x v="1"/>
    <x v="0"/>
    <x v="50"/>
    <x v="126"/>
    <x v="92"/>
    <x v="50"/>
    <x v="126"/>
    <x v="92"/>
    <x v="0"/>
    <m/>
    <n v="74.900000000000006"/>
    <n v="559.9"/>
    <s v="0"/>
    <s v="0"/>
  </r>
  <r>
    <x v="241"/>
    <x v="179"/>
    <x v="174"/>
    <x v="0"/>
    <x v="1"/>
    <x v="1"/>
    <s v="A"/>
    <x v="240"/>
    <x v="4"/>
    <x v="0"/>
    <x v="3"/>
    <x v="4"/>
    <x v="103"/>
    <x v="3"/>
    <x v="4"/>
    <x v="103"/>
    <x v="0"/>
    <m/>
    <n v="42.9"/>
    <n v="319.89999999999998"/>
    <s v="0"/>
    <s v="0"/>
  </r>
  <r>
    <x v="242"/>
    <x v="180"/>
    <x v="175"/>
    <x v="6"/>
    <x v="2"/>
    <x v="6"/>
    <s v="D"/>
    <x v="241"/>
    <x v="13"/>
    <x v="0"/>
    <x v="109"/>
    <x v="127"/>
    <x v="101"/>
    <x v="109"/>
    <x v="127"/>
    <x v="101"/>
    <x v="0"/>
    <m/>
    <n v="89.9"/>
    <n v="669.9"/>
    <s v="0"/>
    <s v="0"/>
  </r>
  <r>
    <x v="243"/>
    <x v="181"/>
    <x v="176"/>
    <x v="6"/>
    <x v="2"/>
    <x v="6"/>
    <s v="D"/>
    <x v="242"/>
    <x v="13"/>
    <x v="0"/>
    <x v="102"/>
    <x v="113"/>
    <x v="104"/>
    <x v="102"/>
    <x v="113"/>
    <x v="104"/>
    <x v="0"/>
    <m/>
    <n v="94.9"/>
    <n v="699.9"/>
    <s v="0"/>
    <s v="0"/>
  </r>
  <r>
    <x v="244"/>
    <x v="182"/>
    <x v="177"/>
    <x v="6"/>
    <x v="2"/>
    <x v="6"/>
    <s v="D"/>
    <x v="243"/>
    <x v="13"/>
    <x v="0"/>
    <x v="109"/>
    <x v="127"/>
    <x v="101"/>
    <x v="109"/>
    <x v="127"/>
    <x v="101"/>
    <x v="0"/>
    <m/>
    <n v="89.9"/>
    <n v="669.9"/>
    <s v="0"/>
    <s v="0"/>
  </r>
  <r>
    <x v="245"/>
    <x v="183"/>
    <x v="178"/>
    <x v="6"/>
    <x v="2"/>
    <x v="6"/>
    <s v="D"/>
    <x v="244"/>
    <x v="10"/>
    <x v="0"/>
    <x v="7"/>
    <x v="70"/>
    <x v="41"/>
    <x v="7"/>
    <x v="70"/>
    <x v="41"/>
    <x v="0"/>
    <m/>
    <n v="54.9"/>
    <n v="399.9"/>
    <s v="0"/>
    <s v="0"/>
  </r>
  <r>
    <x v="246"/>
    <x v="184"/>
    <x v="179"/>
    <x v="6"/>
    <x v="2"/>
    <x v="6"/>
    <s v="D"/>
    <x v="245"/>
    <x v="1"/>
    <x v="0"/>
    <x v="16"/>
    <x v="111"/>
    <x v="87"/>
    <x v="16"/>
    <x v="111"/>
    <x v="87"/>
    <x v="0"/>
    <m/>
    <n v="44.9"/>
    <n v="334.9"/>
    <s v="0"/>
    <s v="0"/>
  </r>
  <r>
    <x v="247"/>
    <x v="185"/>
    <x v="180"/>
    <x v="6"/>
    <x v="2"/>
    <x v="6"/>
    <s v="D"/>
    <x v="246"/>
    <x v="1"/>
    <x v="0"/>
    <x v="111"/>
    <x v="128"/>
    <x v="105"/>
    <x v="111"/>
    <x v="128"/>
    <x v="105"/>
    <x v="0"/>
    <m/>
    <n v="49.9"/>
    <n v="369.9"/>
    <s v="0"/>
    <s v="0"/>
  </r>
  <r>
    <x v="248"/>
    <x v="186"/>
    <x v="181"/>
    <x v="6"/>
    <x v="2"/>
    <x v="6"/>
    <s v="D"/>
    <x v="247"/>
    <x v="4"/>
    <x v="0"/>
    <x v="16"/>
    <x v="111"/>
    <x v="87"/>
    <x v="16"/>
    <x v="111"/>
    <x v="87"/>
    <x v="0"/>
    <m/>
    <n v="44.9"/>
    <n v="334.9"/>
    <s v="0"/>
    <s v="0"/>
  </r>
  <r>
    <x v="249"/>
    <x v="187"/>
    <x v="182"/>
    <x v="6"/>
    <x v="2"/>
    <x v="6"/>
    <s v="D"/>
    <x v="248"/>
    <x v="3"/>
    <x v="0"/>
    <x v="20"/>
    <x v="23"/>
    <x v="20"/>
    <x v="20"/>
    <x v="23"/>
    <x v="20"/>
    <x v="0"/>
    <m/>
    <n v="69.900000000000006"/>
    <n v="519.9"/>
    <s v="0"/>
    <s v="0"/>
  </r>
  <r>
    <x v="250"/>
    <x v="188"/>
    <x v="183"/>
    <x v="2"/>
    <x v="3"/>
    <x v="0"/>
    <s v="C_"/>
    <x v="249"/>
    <x v="5"/>
    <x v="0"/>
    <x v="11"/>
    <x v="12"/>
    <x v="12"/>
    <x v="11"/>
    <x v="12"/>
    <x v="12"/>
    <x v="0"/>
    <m/>
    <n v="19.3"/>
    <n v="143.9"/>
    <s v="0"/>
    <s v="0"/>
  </r>
  <r>
    <x v="251"/>
    <x v="189"/>
    <x v="184"/>
    <x v="2"/>
    <x v="3"/>
    <x v="0"/>
    <s v="C_"/>
    <x v="250"/>
    <x v="3"/>
    <x v="0"/>
    <x v="51"/>
    <x v="129"/>
    <x v="6"/>
    <x v="51"/>
    <x v="129"/>
    <x v="6"/>
    <x v="0"/>
    <m/>
    <n v="20.9"/>
    <n v="154.9"/>
    <s v="0"/>
    <s v="0"/>
  </r>
  <r>
    <x v="252"/>
    <x v="190"/>
    <x v="125"/>
    <x v="2"/>
    <x v="3"/>
    <x v="0"/>
    <s v="C_"/>
    <x v="251"/>
    <x v="3"/>
    <x v="0"/>
    <x v="6"/>
    <x v="7"/>
    <x v="61"/>
    <x v="6"/>
    <x v="7"/>
    <x v="61"/>
    <x v="0"/>
    <m/>
    <n v="12.9"/>
    <n v="95.9"/>
    <s v="0"/>
    <s v="0"/>
  </r>
  <r>
    <x v="253"/>
    <x v="191"/>
    <x v="125"/>
    <x v="2"/>
    <x v="3"/>
    <x v="0"/>
    <s v="C_"/>
    <x v="252"/>
    <x v="3"/>
    <x v="0"/>
    <x v="112"/>
    <x v="130"/>
    <x v="106"/>
    <x v="112"/>
    <x v="130"/>
    <x v="106"/>
    <x v="0"/>
    <m/>
    <n v="17.3"/>
    <n v="128.9"/>
    <s v="0"/>
    <s v="0"/>
  </r>
  <r>
    <x v="254"/>
    <x v="192"/>
    <x v="125"/>
    <x v="2"/>
    <x v="3"/>
    <x v="0"/>
    <s v="C_"/>
    <x v="253"/>
    <x v="3"/>
    <x v="0"/>
    <x v="13"/>
    <x v="131"/>
    <x v="12"/>
    <x v="13"/>
    <x v="131"/>
    <x v="12"/>
    <x v="0"/>
    <m/>
    <n v="19.899999999999999"/>
    <n v="147.9"/>
    <s v="0"/>
    <s v="0"/>
  </r>
  <r>
    <x v="255"/>
    <x v="193"/>
    <x v="185"/>
    <x v="2"/>
    <x v="3"/>
    <x v="0"/>
    <s v="C_"/>
    <x v="254"/>
    <x v="3"/>
    <x v="0"/>
    <x v="63"/>
    <x v="69"/>
    <x v="22"/>
    <x v="63"/>
    <x v="69"/>
    <x v="22"/>
    <x v="0"/>
    <m/>
    <n v="5.9"/>
    <n v="43.9"/>
    <s v="0"/>
    <s v="0"/>
  </r>
  <r>
    <x v="256"/>
    <x v="194"/>
    <x v="185"/>
    <x v="2"/>
    <x v="3"/>
    <x v="0"/>
    <s v="C_"/>
    <x v="255"/>
    <x v="3"/>
    <x v="0"/>
    <x v="0"/>
    <x v="95"/>
    <x v="29"/>
    <x v="0"/>
    <x v="95"/>
    <x v="29"/>
    <x v="0"/>
    <m/>
    <n v="8.9"/>
    <n v="65.900000000000006"/>
    <s v="0"/>
    <s v="0"/>
  </r>
  <r>
    <x v="257"/>
    <x v="195"/>
    <x v="185"/>
    <x v="2"/>
    <x v="3"/>
    <x v="0"/>
    <s v="C_"/>
    <x v="256"/>
    <x v="3"/>
    <x v="0"/>
    <x v="56"/>
    <x v="132"/>
    <x v="54"/>
    <x v="56"/>
    <x v="132"/>
    <x v="54"/>
    <x v="0"/>
    <m/>
    <n v="9.6"/>
    <n v="70.900000000000006"/>
    <s v="0"/>
    <s v="0"/>
  </r>
  <r>
    <x v="258"/>
    <x v="196"/>
    <x v="186"/>
    <x v="2"/>
    <x v="3"/>
    <x v="0"/>
    <s v="C_"/>
    <x v="257"/>
    <x v="3"/>
    <x v="0"/>
    <x v="113"/>
    <x v="133"/>
    <x v="9"/>
    <x v="113"/>
    <x v="133"/>
    <x v="9"/>
    <x v="0"/>
    <m/>
    <n v="10.4"/>
    <n v="76.900000000000006"/>
    <s v="0"/>
    <s v="0"/>
  </r>
  <r>
    <x v="259"/>
    <x v="197"/>
    <x v="187"/>
    <x v="2"/>
    <x v="3"/>
    <x v="0"/>
    <s v="C_"/>
    <x v="258"/>
    <x v="3"/>
    <x v="0"/>
    <x v="114"/>
    <x v="25"/>
    <x v="7"/>
    <x v="114"/>
    <x v="25"/>
    <x v="7"/>
    <x v="0"/>
    <m/>
    <n v="12.1"/>
    <n v="89.9"/>
    <s v="0"/>
    <s v="0"/>
  </r>
  <r>
    <x v="260"/>
    <x v="198"/>
    <x v="126"/>
    <x v="2"/>
    <x v="3"/>
    <x v="0"/>
    <s v="C_"/>
    <x v="259"/>
    <x v="3"/>
    <x v="0"/>
    <x v="115"/>
    <x v="134"/>
    <x v="62"/>
    <x v="115"/>
    <x v="134"/>
    <x v="62"/>
    <x v="0"/>
    <m/>
    <n v="8.2999999999999989"/>
    <n v="61.9"/>
    <s v="0"/>
    <s v="0"/>
  </r>
  <r>
    <x v="261"/>
    <x v="199"/>
    <x v="188"/>
    <x v="2"/>
    <x v="3"/>
    <x v="0"/>
    <s v="C_"/>
    <x v="260"/>
    <x v="3"/>
    <x v="0"/>
    <x v="56"/>
    <x v="132"/>
    <x v="54"/>
    <x v="56"/>
    <x v="132"/>
    <x v="54"/>
    <x v="0"/>
    <m/>
    <n v="9.6"/>
    <n v="70.900000000000006"/>
    <s v="0"/>
    <s v="0"/>
  </r>
  <r>
    <x v="262"/>
    <x v="200"/>
    <x v="189"/>
    <x v="2"/>
    <x v="3"/>
    <x v="0"/>
    <s v="C_"/>
    <x v="261"/>
    <x v="3"/>
    <x v="0"/>
    <x v="116"/>
    <x v="135"/>
    <x v="17"/>
    <x v="116"/>
    <x v="135"/>
    <x v="17"/>
    <x v="0"/>
    <m/>
    <n v="14.299999999999999"/>
    <n v="105.9"/>
    <s v="0"/>
    <s v="0"/>
  </r>
  <r>
    <x v="263"/>
    <x v="201"/>
    <x v="190"/>
    <x v="2"/>
    <x v="3"/>
    <x v="0"/>
    <s v="C_"/>
    <x v="262"/>
    <x v="3"/>
    <x v="0"/>
    <x v="8"/>
    <x v="9"/>
    <x v="9"/>
    <x v="8"/>
    <x v="9"/>
    <x v="9"/>
    <x v="0"/>
    <m/>
    <n v="10.9"/>
    <n v="80.900000000000006"/>
    <s v="0"/>
    <s v="0"/>
  </r>
  <r>
    <x v="264"/>
    <x v="202"/>
    <x v="191"/>
    <x v="2"/>
    <x v="3"/>
    <x v="0"/>
    <s v="C_"/>
    <x v="263"/>
    <x v="3"/>
    <x v="0"/>
    <x v="8"/>
    <x v="9"/>
    <x v="9"/>
    <x v="8"/>
    <x v="9"/>
    <x v="9"/>
    <x v="0"/>
    <m/>
    <n v="10.9"/>
    <n v="80.900000000000006"/>
    <s v="0"/>
    <s v="0"/>
  </r>
  <r>
    <x v="265"/>
    <x v="203"/>
    <x v="192"/>
    <x v="2"/>
    <x v="3"/>
    <x v="0"/>
    <s v="C_"/>
    <x v="264"/>
    <x v="3"/>
    <x v="0"/>
    <x v="117"/>
    <x v="136"/>
    <x v="62"/>
    <x v="117"/>
    <x v="136"/>
    <x v="62"/>
    <x v="0"/>
    <m/>
    <n v="7.9"/>
    <n v="58.9"/>
    <s v="0"/>
    <s v="0"/>
  </r>
  <r>
    <x v="266"/>
    <x v="204"/>
    <x v="193"/>
    <x v="2"/>
    <x v="3"/>
    <x v="0"/>
    <s v="C_"/>
    <x v="265"/>
    <x v="3"/>
    <x v="0"/>
    <x v="118"/>
    <x v="137"/>
    <x v="28"/>
    <x v="118"/>
    <x v="137"/>
    <x v="28"/>
    <x v="0"/>
    <m/>
    <n v="7.5"/>
    <n v="55.9"/>
    <s v="0"/>
    <s v="0"/>
  </r>
  <r>
    <x v="267"/>
    <x v="205"/>
    <x v="194"/>
    <x v="2"/>
    <x v="3"/>
    <x v="0"/>
    <s v="C_"/>
    <x v="266"/>
    <x v="3"/>
    <x v="0"/>
    <x v="9"/>
    <x v="10"/>
    <x v="10"/>
    <x v="9"/>
    <x v="10"/>
    <x v="10"/>
    <x v="0"/>
    <m/>
    <n v="4.3"/>
    <n v="31.9"/>
    <s v="0"/>
    <s v="0"/>
  </r>
  <r>
    <x v="268"/>
    <x v="206"/>
    <x v="195"/>
    <x v="2"/>
    <x v="3"/>
    <x v="0"/>
    <s v="C_"/>
    <x v="267"/>
    <x v="3"/>
    <x v="0"/>
    <x v="9"/>
    <x v="10"/>
    <x v="10"/>
    <x v="9"/>
    <x v="10"/>
    <x v="10"/>
    <x v="0"/>
    <m/>
    <n v="4.3"/>
    <n v="31.9"/>
    <s v="0"/>
    <s v="0"/>
  </r>
  <r>
    <x v="269"/>
    <x v="207"/>
    <x v="196"/>
    <x v="2"/>
    <x v="3"/>
    <x v="0"/>
    <s v="C_"/>
    <x v="268"/>
    <x v="3"/>
    <x v="0"/>
    <x v="119"/>
    <x v="138"/>
    <x v="7"/>
    <x v="119"/>
    <x v="138"/>
    <x v="7"/>
    <x v="0"/>
    <m/>
    <n v="12.6"/>
    <n v="93.9"/>
    <s v="0"/>
    <s v="0"/>
  </r>
  <r>
    <x v="270"/>
    <x v="208"/>
    <x v="197"/>
    <x v="2"/>
    <x v="3"/>
    <x v="0"/>
    <s v="C_"/>
    <x v="269"/>
    <x v="3"/>
    <x v="0"/>
    <x v="67"/>
    <x v="75"/>
    <x v="62"/>
    <x v="67"/>
    <x v="75"/>
    <x v="62"/>
    <x v="0"/>
    <m/>
    <n v="8.1"/>
    <n v="59.9"/>
    <s v="0"/>
    <s v="0"/>
  </r>
  <r>
    <x v="271"/>
    <x v="209"/>
    <x v="198"/>
    <x v="2"/>
    <x v="3"/>
    <x v="0"/>
    <s v="C_"/>
    <x v="270"/>
    <x v="3"/>
    <x v="0"/>
    <x v="22"/>
    <x v="71"/>
    <x v="21"/>
    <x v="22"/>
    <x v="71"/>
    <x v="21"/>
    <x v="0"/>
    <m/>
    <n v="11.9"/>
    <n v="88.9"/>
    <s v="0"/>
    <s v="0"/>
  </r>
  <r>
    <x v="272"/>
    <x v="210"/>
    <x v="199"/>
    <x v="2"/>
    <x v="3"/>
    <x v="0"/>
    <s v="C_"/>
    <x v="271"/>
    <x v="3"/>
    <x v="0"/>
    <x v="120"/>
    <x v="139"/>
    <x v="66"/>
    <x v="120"/>
    <x v="139"/>
    <x v="66"/>
    <x v="0"/>
    <m/>
    <n v="25.200000000000003"/>
    <n v="186.9"/>
    <s v="0"/>
    <s v="0"/>
  </r>
  <r>
    <x v="273"/>
    <x v="211"/>
    <x v="200"/>
    <x v="2"/>
    <x v="3"/>
    <x v="0"/>
    <s v="C_"/>
    <x v="272"/>
    <x v="3"/>
    <x v="0"/>
    <x v="121"/>
    <x v="140"/>
    <x v="107"/>
    <x v="121"/>
    <x v="140"/>
    <x v="107"/>
    <x v="0"/>
    <m/>
    <n v="50.9"/>
    <n v="378.9"/>
    <s v="0"/>
    <s v="0"/>
  </r>
  <r>
    <x v="274"/>
    <x v="212"/>
    <x v="201"/>
    <x v="3"/>
    <x v="3"/>
    <x v="0"/>
    <s v="C_"/>
    <x v="273"/>
    <x v="4"/>
    <x v="0"/>
    <x v="8"/>
    <x v="63"/>
    <x v="9"/>
    <x v="8"/>
    <x v="63"/>
    <x v="9"/>
    <x v="0"/>
    <m/>
    <n v="10.9"/>
    <n v="79.900000000000006"/>
    <s v="0"/>
    <s v="0"/>
  </r>
  <r>
    <x v="275"/>
    <x v="213"/>
    <x v="202"/>
    <x v="3"/>
    <x v="3"/>
    <x v="0"/>
    <s v="C_"/>
    <x v="274"/>
    <x v="1"/>
    <x v="0"/>
    <x v="12"/>
    <x v="80"/>
    <x v="1"/>
    <x v="12"/>
    <x v="80"/>
    <x v="1"/>
    <x v="0"/>
    <m/>
    <n v="15.9"/>
    <n v="119.9"/>
    <s v="0"/>
    <s v="0"/>
  </r>
  <r>
    <x v="276"/>
    <x v="214"/>
    <x v="203"/>
    <x v="2"/>
    <x v="3"/>
    <x v="0"/>
    <s v="C_"/>
    <x v="275"/>
    <x v="3"/>
    <x v="0"/>
    <x v="51"/>
    <x v="129"/>
    <x v="108"/>
    <x v="51"/>
    <x v="129"/>
    <x v="108"/>
    <x v="0"/>
    <m/>
    <n v="20.9"/>
    <n v="154.9"/>
    <s v="0"/>
    <s v="0"/>
  </r>
  <r>
    <x v="277"/>
    <x v="215"/>
    <x v="204"/>
    <x v="2"/>
    <x v="3"/>
    <x v="0"/>
    <s v="C_"/>
    <x v="276"/>
    <x v="3"/>
    <x v="0"/>
    <x v="122"/>
    <x v="41"/>
    <x v="109"/>
    <x v="122"/>
    <x v="41"/>
    <x v="109"/>
    <x v="0"/>
    <m/>
    <n v="30.9"/>
    <n v="229.9"/>
    <s v="0"/>
    <s v="0"/>
  </r>
  <r>
    <x v="278"/>
    <x v="216"/>
    <x v="205"/>
    <x v="2"/>
    <x v="3"/>
    <x v="0"/>
    <s v="C_"/>
    <x v="277"/>
    <x v="3"/>
    <x v="0"/>
    <x v="63"/>
    <x v="69"/>
    <x v="22"/>
    <x v="63"/>
    <x v="69"/>
    <x v="22"/>
    <x v="0"/>
    <m/>
    <n v="5.9"/>
    <n v="43.9"/>
    <s v="0"/>
    <s v="0"/>
  </r>
  <r>
    <x v="279"/>
    <x v="217"/>
    <x v="206"/>
    <x v="2"/>
    <x v="3"/>
    <x v="0"/>
    <s v="C_"/>
    <x v="278"/>
    <x v="3"/>
    <x v="0"/>
    <x v="71"/>
    <x v="62"/>
    <x v="55"/>
    <x v="71"/>
    <x v="62"/>
    <x v="55"/>
    <x v="0"/>
    <m/>
    <n v="2.7"/>
    <n v="19.899999999999999"/>
    <s v="0"/>
    <s v="0"/>
  </r>
  <r>
    <x v="280"/>
    <x v="218"/>
    <x v="207"/>
    <x v="3"/>
    <x v="3"/>
    <x v="0"/>
    <s v="C_"/>
    <x v="279"/>
    <x v="3"/>
    <x v="0"/>
    <x v="64"/>
    <x v="70"/>
    <x v="8"/>
    <x v="64"/>
    <x v="70"/>
    <x v="8"/>
    <x v="0"/>
    <m/>
    <n v="53.9"/>
    <n v="399.9"/>
    <s v="0"/>
    <s v="0"/>
  </r>
  <r>
    <x v="281"/>
    <x v="219"/>
    <x v="208"/>
    <x v="3"/>
    <x v="3"/>
    <x v="0"/>
    <s v="C_"/>
    <x v="280"/>
    <x v="7"/>
    <x v="0"/>
    <x v="19"/>
    <x v="141"/>
    <x v="110"/>
    <x v="19"/>
    <x v="141"/>
    <x v="110"/>
    <x v="0"/>
    <m/>
    <n v="59.9"/>
    <n v="445.9"/>
    <s v="0"/>
    <s v="0"/>
  </r>
  <r>
    <x v="282"/>
    <x v="220"/>
    <x v="209"/>
    <x v="4"/>
    <x v="2"/>
    <x v="4"/>
    <s v="UV"/>
    <x v="281"/>
    <x v="3"/>
    <x v="0"/>
    <x v="123"/>
    <x v="142"/>
    <x v="30"/>
    <x v="123"/>
    <x v="142"/>
    <x v="30"/>
    <x v="0"/>
    <m/>
    <n v="22.9"/>
    <n v="170.9"/>
    <s v="0"/>
    <s v="0"/>
  </r>
  <r>
    <x v="283"/>
    <x v="221"/>
    <x v="210"/>
    <x v="3"/>
    <x v="3"/>
    <x v="0"/>
    <s v="C_"/>
    <x v="282"/>
    <x v="3"/>
    <x v="0"/>
    <x v="5"/>
    <x v="6"/>
    <x v="6"/>
    <x v="5"/>
    <x v="6"/>
    <x v="6"/>
    <x v="0"/>
    <m/>
    <n v="21.9"/>
    <n v="162.9"/>
    <s v="0"/>
    <s v="0"/>
  </r>
  <r>
    <x v="284"/>
    <x v="222"/>
    <x v="211"/>
    <x v="2"/>
    <x v="3"/>
    <x v="0"/>
    <s v="C_"/>
    <x v="283"/>
    <x v="3"/>
    <x v="0"/>
    <x v="63"/>
    <x v="69"/>
    <x v="22"/>
    <x v="63"/>
    <x v="69"/>
    <x v="22"/>
    <x v="0"/>
    <m/>
    <n v="5.9"/>
    <n v="43.9"/>
    <s v="0"/>
    <s v="0"/>
  </r>
  <r>
    <x v="285"/>
    <x v="223"/>
    <x v="212"/>
    <x v="2"/>
    <x v="3"/>
    <x v="0"/>
    <s v="C_"/>
    <x v="284"/>
    <x v="3"/>
    <x v="0"/>
    <x v="51"/>
    <x v="129"/>
    <x v="108"/>
    <x v="51"/>
    <x v="129"/>
    <x v="108"/>
    <x v="0"/>
    <m/>
    <n v="20.9"/>
    <n v="154.9"/>
    <s v="0"/>
    <s v="0"/>
  </r>
  <r>
    <x v="286"/>
    <x v="224"/>
    <x v="213"/>
    <x v="2"/>
    <x v="3"/>
    <x v="0"/>
    <s v="C_"/>
    <x v="285"/>
    <x v="5"/>
    <x v="0"/>
    <x v="124"/>
    <x v="143"/>
    <x v="54"/>
    <x v="124"/>
    <x v="143"/>
    <x v="54"/>
    <x v="0"/>
    <m/>
    <n v="10.5"/>
    <n v="77.900000000000006"/>
    <s v="0"/>
    <s v="0"/>
  </r>
  <r>
    <x v="287"/>
    <x v="225"/>
    <x v="214"/>
    <x v="2"/>
    <x v="3"/>
    <x v="0"/>
    <s v="C_"/>
    <x v="286"/>
    <x v="3"/>
    <x v="0"/>
    <x v="125"/>
    <x v="144"/>
    <x v="62"/>
    <x v="125"/>
    <x v="144"/>
    <x v="62"/>
    <x v="0"/>
    <m/>
    <n v="8"/>
    <n v="59"/>
    <s v="0"/>
    <s v="0"/>
  </r>
  <r>
    <x v="288"/>
    <x v="226"/>
    <x v="215"/>
    <x v="2"/>
    <x v="3"/>
    <x v="0"/>
    <s v="C_"/>
    <x v="287"/>
    <x v="3"/>
    <x v="0"/>
    <x v="67"/>
    <x v="75"/>
    <x v="62"/>
    <x v="67"/>
    <x v="75"/>
    <x v="62"/>
    <x v="0"/>
    <m/>
    <n v="8.1"/>
    <n v="59.9"/>
    <s v="0"/>
    <s v="0"/>
  </r>
  <r>
    <x v="289"/>
    <x v="227"/>
    <x v="216"/>
    <x v="2"/>
    <x v="3"/>
    <x v="0"/>
    <s v="C_"/>
    <x v="288"/>
    <x v="3"/>
    <x v="0"/>
    <x v="126"/>
    <x v="145"/>
    <x v="22"/>
    <x v="126"/>
    <x v="145"/>
    <x v="22"/>
    <x v="0"/>
    <m/>
    <n v="6.1999999999999993"/>
    <n v="45.9"/>
    <s v="0"/>
    <s v="0"/>
  </r>
  <r>
    <x v="290"/>
    <x v="228"/>
    <x v="217"/>
    <x v="2"/>
    <x v="3"/>
    <x v="0"/>
    <s v="C_"/>
    <x v="289"/>
    <x v="3"/>
    <x v="0"/>
    <x v="127"/>
    <x v="146"/>
    <x v="43"/>
    <x v="127"/>
    <x v="146"/>
    <x v="43"/>
    <x v="0"/>
    <m/>
    <n v="78"/>
    <n v="580.29999999999995"/>
    <s v="0"/>
    <s v="0"/>
  </r>
  <r>
    <x v="291"/>
    <x v="229"/>
    <x v="193"/>
    <x v="2"/>
    <x v="3"/>
    <x v="0"/>
    <s v="C_"/>
    <x v="290"/>
    <x v="3"/>
    <x v="0"/>
    <x v="0"/>
    <x v="95"/>
    <x v="29"/>
    <x v="0"/>
    <x v="95"/>
    <x v="29"/>
    <x v="0"/>
    <m/>
    <n v="8.9"/>
    <n v="65.900000000000006"/>
    <s v="0"/>
    <s v="0"/>
  </r>
  <r>
    <x v="292"/>
    <x v="230"/>
    <x v="192"/>
    <x v="2"/>
    <x v="3"/>
    <x v="0"/>
    <s v="C_"/>
    <x v="291"/>
    <x v="3"/>
    <x v="0"/>
    <x v="128"/>
    <x v="147"/>
    <x v="111"/>
    <x v="128"/>
    <x v="147"/>
    <x v="111"/>
    <x v="0"/>
    <m/>
    <n v="10.1"/>
    <n v="74.900000000000006"/>
    <s v="0"/>
    <s v="0"/>
  </r>
  <r>
    <x v="293"/>
    <x v="231"/>
    <x v="218"/>
    <x v="2"/>
    <x v="3"/>
    <x v="0"/>
    <s v="C_"/>
    <x v="292"/>
    <x v="3"/>
    <x v="0"/>
    <x v="119"/>
    <x v="138"/>
    <x v="112"/>
    <x v="119"/>
    <x v="138"/>
    <x v="112"/>
    <x v="0"/>
    <m/>
    <n v="12.6"/>
    <n v="93.9"/>
    <s v="0"/>
    <s v="0"/>
  </r>
  <r>
    <x v="294"/>
    <x v="232"/>
    <x v="219"/>
    <x v="3"/>
    <x v="3"/>
    <x v="0"/>
    <s v="C_"/>
    <x v="293"/>
    <x v="1"/>
    <x v="0"/>
    <x v="12"/>
    <x v="80"/>
    <x v="113"/>
    <x v="12"/>
    <x v="80"/>
    <x v="113"/>
    <x v="0"/>
    <m/>
    <n v="15.9"/>
    <n v="119.9"/>
    <s v="0"/>
    <s v="0"/>
  </r>
  <r>
    <x v="295"/>
    <x v="233"/>
    <x v="220"/>
    <x v="2"/>
    <x v="3"/>
    <x v="0"/>
    <s v="C_"/>
    <x v="294"/>
    <x v="3"/>
    <x v="0"/>
    <x v="111"/>
    <x v="148"/>
    <x v="114"/>
    <x v="111"/>
    <x v="148"/>
    <x v="114"/>
    <x v="0"/>
    <m/>
    <n v="49.9"/>
    <n v="370.9"/>
    <s v="0"/>
    <s v="0"/>
  </r>
  <r>
    <x v="296"/>
    <x v="234"/>
    <x v="221"/>
    <x v="3"/>
    <x v="3"/>
    <x v="5"/>
    <s v="EX"/>
    <x v="295"/>
    <x v="3"/>
    <x v="0"/>
    <x v="65"/>
    <x v="22"/>
    <x v="19"/>
    <x v="65"/>
    <x v="22"/>
    <x v="19"/>
    <x v="0"/>
    <m/>
    <n v="58.9"/>
    <n v="439.9"/>
    <s v="0"/>
    <s v="0"/>
  </r>
  <r>
    <x v="297"/>
    <x v="235"/>
    <x v="222"/>
    <x v="3"/>
    <x v="3"/>
    <x v="0"/>
    <s v="C_"/>
    <x v="296"/>
    <x v="1"/>
    <x v="0"/>
    <x v="15"/>
    <x v="18"/>
    <x v="37"/>
    <x v="15"/>
    <x v="18"/>
    <x v="37"/>
    <x v="0"/>
    <m/>
    <n v="34.9"/>
    <n v="259.89999999999998"/>
    <s v="0"/>
    <s v="0"/>
  </r>
  <r>
    <x v="298"/>
    <x v="236"/>
    <x v="223"/>
    <x v="2"/>
    <x v="3"/>
    <x v="0"/>
    <s v="C_"/>
    <x v="297"/>
    <x v="3"/>
    <x v="0"/>
    <x v="12"/>
    <x v="15"/>
    <x v="1"/>
    <x v="12"/>
    <x v="15"/>
    <x v="1"/>
    <x v="0"/>
    <m/>
    <n v="15.9"/>
    <n v="117.9"/>
    <s v="0"/>
    <s v="0"/>
  </r>
  <r>
    <x v="299"/>
    <x v="237"/>
    <x v="224"/>
    <x v="2"/>
    <x v="3"/>
    <x v="0"/>
    <s v="C_"/>
    <x v="298"/>
    <x v="3"/>
    <x v="0"/>
    <x v="51"/>
    <x v="129"/>
    <x v="108"/>
    <x v="51"/>
    <x v="129"/>
    <x v="108"/>
    <x v="0"/>
    <m/>
    <n v="20.9"/>
    <n v="154.9"/>
    <s v="0"/>
    <s v="0"/>
  </r>
  <r>
    <x v="300"/>
    <x v="238"/>
    <x v="128"/>
    <x v="2"/>
    <x v="3"/>
    <x v="0"/>
    <s v="C_"/>
    <x v="299"/>
    <x v="3"/>
    <x v="0"/>
    <x v="129"/>
    <x v="149"/>
    <x v="115"/>
    <x v="129"/>
    <x v="149"/>
    <x v="115"/>
    <x v="0"/>
    <m/>
    <n v="11.2"/>
    <n v="82.9"/>
    <s v="0"/>
    <s v="0"/>
  </r>
  <r>
    <x v="301"/>
    <x v="239"/>
    <x v="225"/>
    <x v="2"/>
    <x v="3"/>
    <x v="0"/>
    <s v="C_"/>
    <x v="300"/>
    <x v="3"/>
    <x v="0"/>
    <x v="66"/>
    <x v="25"/>
    <x v="116"/>
    <x v="66"/>
    <x v="25"/>
    <x v="116"/>
    <x v="0"/>
    <m/>
    <n v="12.4"/>
    <n v="89.9"/>
    <s v="0"/>
    <s v="0"/>
  </r>
  <r>
    <x v="302"/>
    <x v="240"/>
    <x v="226"/>
    <x v="2"/>
    <x v="3"/>
    <x v="0"/>
    <s v="C_"/>
    <x v="301"/>
    <x v="3"/>
    <x v="0"/>
    <x v="130"/>
    <x v="150"/>
    <x v="117"/>
    <x v="130"/>
    <x v="150"/>
    <x v="117"/>
    <x v="0"/>
    <m/>
    <n v="85.9"/>
    <n v="638.9"/>
    <s v="0"/>
    <s v="0"/>
  </r>
  <r>
    <x v="303"/>
    <x v="241"/>
    <x v="217"/>
    <x v="2"/>
    <x v="3"/>
    <x v="0"/>
    <s v="C_"/>
    <x v="302"/>
    <x v="3"/>
    <x v="0"/>
    <x v="131"/>
    <x v="151"/>
    <x v="118"/>
    <x v="131"/>
    <x v="151"/>
    <x v="118"/>
    <x v="0"/>
    <m/>
    <n v="190.9"/>
    <n v="1419.9"/>
    <s v="0"/>
    <s v="0"/>
  </r>
  <r>
    <x v="304"/>
    <x v="242"/>
    <x v="227"/>
    <x v="3"/>
    <x v="3"/>
    <x v="0"/>
    <s v="C_"/>
    <x v="303"/>
    <x v="3"/>
    <x v="0"/>
    <x v="18"/>
    <x v="21"/>
    <x v="71"/>
    <x v="18"/>
    <x v="21"/>
    <x v="71"/>
    <x v="0"/>
    <m/>
    <n v="39.9"/>
    <n v="299.89999999999998"/>
    <s v="0"/>
    <s v="0"/>
  </r>
  <r>
    <x v="305"/>
    <x v="243"/>
    <x v="228"/>
    <x v="2"/>
    <x v="3"/>
    <x v="0"/>
    <s v="C_"/>
    <x v="304"/>
    <x v="3"/>
    <x v="0"/>
    <x v="132"/>
    <x v="152"/>
    <x v="62"/>
    <x v="132"/>
    <x v="152"/>
    <x v="62"/>
    <x v="0"/>
    <m/>
    <n v="7.75"/>
    <n v="56"/>
    <s v="0"/>
    <s v="0"/>
  </r>
  <r>
    <x v="306"/>
    <x v="244"/>
    <x v="229"/>
    <x v="2"/>
    <x v="3"/>
    <x v="0"/>
    <s v="C_"/>
    <x v="305"/>
    <x v="3"/>
    <x v="0"/>
    <x v="18"/>
    <x v="21"/>
    <x v="65"/>
    <x v="18"/>
    <x v="21"/>
    <x v="65"/>
    <x v="0"/>
    <m/>
    <n v="39.9"/>
    <n v="299.89999999999998"/>
    <s v="0"/>
    <s v="0"/>
  </r>
  <r>
    <x v="307"/>
    <x v="245"/>
    <x v="230"/>
    <x v="3"/>
    <x v="3"/>
    <x v="0"/>
    <s v="C_"/>
    <x v="306"/>
    <x v="3"/>
    <x v="0"/>
    <x v="1"/>
    <x v="2"/>
    <x v="1"/>
    <x v="1"/>
    <x v="2"/>
    <x v="1"/>
    <x v="0"/>
    <m/>
    <n v="14.9"/>
    <n v="109.9"/>
    <s v="0"/>
    <s v="0"/>
  </r>
  <r>
    <x v="308"/>
    <x v="246"/>
    <x v="231"/>
    <x v="3"/>
    <x v="3"/>
    <x v="0"/>
    <s v="C_"/>
    <x v="307"/>
    <x v="3"/>
    <x v="0"/>
    <x v="117"/>
    <x v="75"/>
    <x v="62"/>
    <x v="117"/>
    <x v="75"/>
    <x v="62"/>
    <x v="0"/>
    <m/>
    <n v="7.9"/>
    <n v="59.9"/>
    <s v="0"/>
    <s v="0"/>
  </r>
  <r>
    <x v="309"/>
    <x v="247"/>
    <x v="232"/>
    <x v="2"/>
    <x v="3"/>
    <x v="0"/>
    <s v="C_"/>
    <x v="308"/>
    <x v="3"/>
    <x v="0"/>
    <x v="133"/>
    <x v="153"/>
    <x v="119"/>
    <x v="133"/>
    <x v="153"/>
    <x v="119"/>
    <x v="0"/>
    <m/>
    <n v="1.95"/>
    <n v="14.5"/>
    <s v="0"/>
    <s v="0"/>
  </r>
  <r>
    <x v="310"/>
    <x v="248"/>
    <x v="233"/>
    <x v="4"/>
    <x v="2"/>
    <x v="4"/>
    <s v="UV"/>
    <x v="309"/>
    <x v="1"/>
    <x v="0"/>
    <x v="134"/>
    <x v="154"/>
    <x v="120"/>
    <x v="134"/>
    <x v="154"/>
    <x v="120"/>
    <x v="0"/>
    <m/>
    <n v="187.9"/>
    <n v="1397.9"/>
    <s v="0"/>
    <s v="0"/>
  </r>
  <r>
    <x v="311"/>
    <x v="249"/>
    <x v="234"/>
    <x v="4"/>
    <x v="2"/>
    <x v="4"/>
    <s v="UV"/>
    <x v="310"/>
    <x v="13"/>
    <x v="0"/>
    <x v="135"/>
    <x v="155"/>
    <x v="121"/>
    <x v="135"/>
    <x v="155"/>
    <x v="121"/>
    <x v="0"/>
    <m/>
    <n v="439.9"/>
    <n v="3272.9"/>
    <s v="0"/>
    <s v="0"/>
  </r>
  <r>
    <x v="312"/>
    <x v="250"/>
    <x v="235"/>
    <x v="4"/>
    <x v="2"/>
    <x v="4"/>
    <s v="UV"/>
    <x v="311"/>
    <x v="12"/>
    <x v="4"/>
    <x v="136"/>
    <x v="156"/>
    <x v="122"/>
    <x v="136"/>
    <x v="156"/>
    <x v="122"/>
    <x v="0"/>
    <m/>
    <n v="1379.9"/>
    <n v="10266.9"/>
    <s v="0"/>
    <s v="0"/>
  </r>
  <r>
    <x v="313"/>
    <x v="250"/>
    <x v="235"/>
    <x v="4"/>
    <x v="2"/>
    <x v="4"/>
    <s v="UV"/>
    <x v="312"/>
    <x v="12"/>
    <x v="3"/>
    <x v="136"/>
    <x v="156"/>
    <x v="122"/>
    <x v="136"/>
    <x v="156"/>
    <x v="122"/>
    <x v="0"/>
    <m/>
    <n v="1379.9"/>
    <n v="10266.9"/>
    <s v="0"/>
    <s v="0"/>
  </r>
  <r>
    <x v="314"/>
    <x v="250"/>
    <x v="235"/>
    <x v="4"/>
    <x v="2"/>
    <x v="4"/>
    <s v="UV"/>
    <x v="313"/>
    <x v="3"/>
    <x v="5"/>
    <x v="136"/>
    <x v="156"/>
    <x v="122"/>
    <x v="136"/>
    <x v="156"/>
    <x v="122"/>
    <x v="0"/>
    <m/>
    <n v="1379.9"/>
    <n v="10266.9"/>
    <s v="0"/>
    <s v="0"/>
  </r>
  <r>
    <x v="315"/>
    <x v="250"/>
    <x v="235"/>
    <x v="4"/>
    <x v="2"/>
    <x v="4"/>
    <s v="UV"/>
    <x v="314"/>
    <x v="12"/>
    <x v="11"/>
    <x v="136"/>
    <x v="156"/>
    <x v="122"/>
    <x v="136"/>
    <x v="156"/>
    <x v="122"/>
    <x v="0"/>
    <m/>
    <n v="1379.9"/>
    <n v="10266.9"/>
    <s v="0"/>
    <s v="0"/>
  </r>
  <r>
    <x v="316"/>
    <x v="250"/>
    <x v="235"/>
    <x v="4"/>
    <x v="2"/>
    <x v="4"/>
    <s v="UV"/>
    <x v="315"/>
    <x v="12"/>
    <x v="1"/>
    <x v="136"/>
    <x v="156"/>
    <x v="122"/>
    <x v="136"/>
    <x v="156"/>
    <x v="122"/>
    <x v="0"/>
    <m/>
    <n v="1379.9"/>
    <n v="10266.9"/>
    <s v="0"/>
    <s v="0"/>
  </r>
  <r>
    <x v="317"/>
    <x v="250"/>
    <x v="235"/>
    <x v="4"/>
    <x v="2"/>
    <x v="4"/>
    <s v="UV"/>
    <x v="316"/>
    <x v="12"/>
    <x v="2"/>
    <x v="136"/>
    <x v="156"/>
    <x v="122"/>
    <x v="136"/>
    <x v="156"/>
    <x v="122"/>
    <x v="0"/>
    <m/>
    <n v="1379.9"/>
    <n v="10266.9"/>
    <s v="0"/>
    <s v="0"/>
  </r>
  <r>
    <x v="318"/>
    <x v="251"/>
    <x v="236"/>
    <x v="0"/>
    <x v="9"/>
    <x v="0"/>
    <s v="C_"/>
    <x v="317"/>
    <x v="14"/>
    <x v="0"/>
    <x v="122"/>
    <x v="41"/>
    <x v="13"/>
    <x v="122"/>
    <x v="41"/>
    <x v="13"/>
    <x v="0"/>
    <m/>
    <n v="30.9"/>
    <n v="229.9"/>
    <s v="0"/>
    <s v="0"/>
  </r>
  <r>
    <x v="319"/>
    <x v="252"/>
    <x v="237"/>
    <x v="0"/>
    <x v="9"/>
    <x v="0"/>
    <s v="C_"/>
    <x v="318"/>
    <x v="4"/>
    <x v="0"/>
    <x v="95"/>
    <x v="157"/>
    <x v="109"/>
    <x v="95"/>
    <x v="157"/>
    <x v="109"/>
    <x v="0"/>
    <m/>
    <n v="41.9"/>
    <n v="309.89999999999998"/>
    <s v="0"/>
    <s v="0"/>
  </r>
  <r>
    <x v="320"/>
    <x v="253"/>
    <x v="237"/>
    <x v="0"/>
    <x v="9"/>
    <x v="0"/>
    <s v="C_"/>
    <x v="319"/>
    <x v="4"/>
    <x v="0"/>
    <x v="95"/>
    <x v="157"/>
    <x v="109"/>
    <x v="95"/>
    <x v="157"/>
    <x v="109"/>
    <x v="0"/>
    <m/>
    <n v="41.9"/>
    <n v="309.89999999999998"/>
    <s v="0"/>
    <s v="0"/>
  </r>
  <r>
    <x v="321"/>
    <x v="254"/>
    <x v="238"/>
    <x v="0"/>
    <x v="13"/>
    <x v="3"/>
    <s v="E"/>
    <x v="320"/>
    <x v="3"/>
    <x v="12"/>
    <x v="137"/>
    <x v="158"/>
    <x v="123"/>
    <x v="137"/>
    <x v="158"/>
    <x v="123"/>
    <x v="0"/>
    <m/>
    <n v="419.9"/>
    <n v="3124.9"/>
    <s v="0"/>
    <s v="0"/>
  </r>
  <r>
    <x v="322"/>
    <x v="254"/>
    <x v="238"/>
    <x v="0"/>
    <x v="13"/>
    <x v="3"/>
    <s v="E"/>
    <x v="321"/>
    <x v="3"/>
    <x v="7"/>
    <x v="137"/>
    <x v="158"/>
    <x v="123"/>
    <x v="137"/>
    <x v="158"/>
    <x v="123"/>
    <x v="0"/>
    <m/>
    <n v="419.9"/>
    <n v="3124.9"/>
    <s v="0"/>
    <s v="0"/>
  </r>
  <r>
    <x v="323"/>
    <x v="254"/>
    <x v="238"/>
    <x v="0"/>
    <x v="13"/>
    <x v="3"/>
    <s v="E"/>
    <x v="322"/>
    <x v="3"/>
    <x v="1"/>
    <x v="137"/>
    <x v="158"/>
    <x v="123"/>
    <x v="137"/>
    <x v="158"/>
    <x v="123"/>
    <x v="0"/>
    <m/>
    <n v="419.9"/>
    <n v="3124.9"/>
    <s v="0"/>
    <s v="0"/>
  </r>
  <r>
    <x v="324"/>
    <x v="255"/>
    <x v="239"/>
    <x v="0"/>
    <x v="13"/>
    <x v="7"/>
    <s v="N"/>
    <x v="323"/>
    <x v="3"/>
    <x v="12"/>
    <x v="138"/>
    <x v="159"/>
    <x v="124"/>
    <x v="138"/>
    <x v="159"/>
    <x v="124"/>
    <x v="1"/>
    <m/>
    <s v="Net"/>
    <s v="Net"/>
    <s v="0"/>
    <s v="0"/>
  </r>
  <r>
    <x v="325"/>
    <x v="255"/>
    <x v="239"/>
    <x v="0"/>
    <x v="13"/>
    <x v="7"/>
    <s v="N"/>
    <x v="324"/>
    <x v="3"/>
    <x v="7"/>
    <x v="138"/>
    <x v="159"/>
    <x v="124"/>
    <x v="138"/>
    <x v="159"/>
    <x v="124"/>
    <x v="1"/>
    <m/>
    <s v="Net"/>
    <s v="Net"/>
    <s v="0"/>
    <s v="0"/>
  </r>
  <r>
    <x v="326"/>
    <x v="256"/>
    <x v="240"/>
    <x v="0"/>
    <x v="13"/>
    <x v="7"/>
    <s v="N"/>
    <x v="325"/>
    <x v="3"/>
    <x v="12"/>
    <x v="138"/>
    <x v="159"/>
    <x v="124"/>
    <x v="138"/>
    <x v="159"/>
    <x v="124"/>
    <x v="1"/>
    <m/>
    <s v="Net"/>
    <s v="Net"/>
    <s v="0"/>
    <s v="0"/>
  </r>
  <r>
    <x v="327"/>
    <x v="256"/>
    <x v="240"/>
    <x v="0"/>
    <x v="13"/>
    <x v="7"/>
    <s v="N"/>
    <x v="326"/>
    <x v="3"/>
    <x v="7"/>
    <x v="138"/>
    <x v="159"/>
    <x v="124"/>
    <x v="138"/>
    <x v="159"/>
    <x v="124"/>
    <x v="1"/>
    <m/>
    <s v="Net"/>
    <s v="Net"/>
    <s v="0"/>
    <s v="0"/>
  </r>
  <r>
    <x v="328"/>
    <x v="257"/>
    <x v="241"/>
    <x v="0"/>
    <x v="13"/>
    <x v="7"/>
    <s v="N"/>
    <x v="327"/>
    <x v="3"/>
    <x v="12"/>
    <x v="138"/>
    <x v="159"/>
    <x v="124"/>
    <x v="138"/>
    <x v="159"/>
    <x v="124"/>
    <x v="1"/>
    <m/>
    <s v="Net"/>
    <s v="Net"/>
    <s v="0"/>
    <s v="0"/>
  </r>
  <r>
    <x v="329"/>
    <x v="257"/>
    <x v="241"/>
    <x v="0"/>
    <x v="13"/>
    <x v="7"/>
    <s v="N"/>
    <x v="328"/>
    <x v="3"/>
    <x v="7"/>
    <x v="138"/>
    <x v="159"/>
    <x v="124"/>
    <x v="138"/>
    <x v="159"/>
    <x v="124"/>
    <x v="1"/>
    <m/>
    <s v="Net"/>
    <s v="Net"/>
    <s v="0"/>
    <s v="0"/>
  </r>
  <r>
    <x v="330"/>
    <x v="258"/>
    <x v="242"/>
    <x v="0"/>
    <x v="9"/>
    <x v="1"/>
    <s v="A"/>
    <x v="329"/>
    <x v="1"/>
    <x v="0"/>
    <x v="18"/>
    <x v="21"/>
    <x v="4"/>
    <x v="18"/>
    <x v="21"/>
    <x v="4"/>
    <x v="0"/>
    <m/>
    <n v="39.9"/>
    <n v="299.89999999999998"/>
    <s v="0"/>
    <s v="0"/>
  </r>
  <r>
    <x v="331"/>
    <x v="259"/>
    <x v="243"/>
    <x v="3"/>
    <x v="3"/>
    <x v="0"/>
    <s v="C_"/>
    <x v="330"/>
    <x v="3"/>
    <x v="0"/>
    <x v="7"/>
    <x v="8"/>
    <x v="8"/>
    <x v="7"/>
    <x v="8"/>
    <x v="8"/>
    <x v="0"/>
    <m/>
    <n v="54.9"/>
    <n v="409.9"/>
    <s v="0"/>
    <s v="0"/>
  </r>
  <r>
    <x v="332"/>
    <x v="260"/>
    <x v="244"/>
    <x v="3"/>
    <x v="3"/>
    <x v="0"/>
    <s v="C_"/>
    <x v="331"/>
    <x v="3"/>
    <x v="0"/>
    <x v="63"/>
    <x v="160"/>
    <x v="22"/>
    <x v="63"/>
    <x v="160"/>
    <x v="22"/>
    <x v="0"/>
    <m/>
    <n v="5.9"/>
    <n v="44.9"/>
    <s v="0"/>
    <s v="0"/>
  </r>
  <r>
    <x v="333"/>
    <x v="261"/>
    <x v="245"/>
    <x v="2"/>
    <x v="3"/>
    <x v="0"/>
    <s v="C_"/>
    <x v="332"/>
    <x v="3"/>
    <x v="0"/>
    <x v="63"/>
    <x v="160"/>
    <x v="22"/>
    <x v="63"/>
    <x v="160"/>
    <x v="22"/>
    <x v="0"/>
    <m/>
    <n v="5.9"/>
    <n v="44.9"/>
    <s v="0"/>
    <s v="0"/>
  </r>
  <r>
    <x v="334"/>
    <x v="262"/>
    <x v="246"/>
    <x v="2"/>
    <x v="3"/>
    <x v="0"/>
    <s v="C_"/>
    <x v="333"/>
    <x v="3"/>
    <x v="0"/>
    <x v="1"/>
    <x v="2"/>
    <x v="2"/>
    <x v="1"/>
    <x v="2"/>
    <x v="2"/>
    <x v="0"/>
    <m/>
    <n v="14.9"/>
    <n v="109.9"/>
    <s v="0"/>
    <s v="0"/>
  </r>
  <r>
    <x v="335"/>
    <x v="263"/>
    <x v="247"/>
    <x v="3"/>
    <x v="3"/>
    <x v="0"/>
    <s v="C_"/>
    <x v="334"/>
    <x v="3"/>
    <x v="0"/>
    <x v="111"/>
    <x v="128"/>
    <x v="104"/>
    <x v="111"/>
    <x v="128"/>
    <x v="104"/>
    <x v="0"/>
    <m/>
    <n v="49.9"/>
    <n v="369.9"/>
    <s v="0"/>
    <s v="0"/>
  </r>
  <r>
    <x v="336"/>
    <x v="264"/>
    <x v="248"/>
    <x v="4"/>
    <x v="2"/>
    <x v="4"/>
    <s v="UV"/>
    <x v="335"/>
    <x v="3"/>
    <x v="0"/>
    <x v="139"/>
    <x v="161"/>
    <x v="44"/>
    <x v="139"/>
    <x v="161"/>
    <x v="44"/>
    <x v="0"/>
    <m/>
    <n v="64.900000000000006"/>
    <n v="482.9"/>
    <s v="0"/>
    <s v="0"/>
  </r>
  <r>
    <x v="337"/>
    <x v="265"/>
    <x v="249"/>
    <x v="2"/>
    <x v="3"/>
    <x v="0"/>
    <s v="C_"/>
    <x v="336"/>
    <x v="3"/>
    <x v="0"/>
    <x v="6"/>
    <x v="162"/>
    <x v="61"/>
    <x v="6"/>
    <x v="162"/>
    <x v="61"/>
    <x v="0"/>
    <m/>
    <n v="12.9"/>
    <n v="94.9"/>
    <s v="0"/>
    <s v="0"/>
  </r>
  <r>
    <x v="338"/>
    <x v="266"/>
    <x v="250"/>
    <x v="6"/>
    <x v="2"/>
    <x v="0"/>
    <s v="C_"/>
    <x v="337"/>
    <x v="3"/>
    <x v="0"/>
    <x v="75"/>
    <x v="84"/>
    <x v="69"/>
    <x v="75"/>
    <x v="84"/>
    <x v="69"/>
    <x v="0"/>
    <m/>
    <n v="24.9"/>
    <n v="184.9"/>
    <s v="0"/>
    <s v="0"/>
  </r>
  <r>
    <x v="339"/>
    <x v="267"/>
    <x v="251"/>
    <x v="6"/>
    <x v="2"/>
    <x v="0"/>
    <s v="C_"/>
    <x v="338"/>
    <x v="3"/>
    <x v="0"/>
    <x v="75"/>
    <x v="84"/>
    <x v="69"/>
    <x v="75"/>
    <x v="84"/>
    <x v="69"/>
    <x v="0"/>
    <m/>
    <n v="24.9"/>
    <n v="184.9"/>
    <s v="0"/>
    <s v="0"/>
  </r>
  <r>
    <x v="340"/>
    <x v="268"/>
    <x v="252"/>
    <x v="3"/>
    <x v="3"/>
    <x v="0"/>
    <s v="C_"/>
    <x v="339"/>
    <x v="15"/>
    <x v="0"/>
    <x v="0"/>
    <x v="75"/>
    <x v="125"/>
    <x v="0"/>
    <x v="75"/>
    <x v="125"/>
    <x v="0"/>
    <m/>
    <n v="8.9"/>
    <n v="59.9"/>
    <s v="0"/>
    <s v="0"/>
  </r>
  <r>
    <x v="341"/>
    <x v="269"/>
    <x v="253"/>
    <x v="2"/>
    <x v="3"/>
    <x v="0"/>
    <s v="C_"/>
    <x v="340"/>
    <x v="3"/>
    <x v="0"/>
    <x v="1"/>
    <x v="2"/>
    <x v="2"/>
    <x v="1"/>
    <x v="2"/>
    <x v="2"/>
    <x v="0"/>
    <m/>
    <n v="14.9"/>
    <n v="109.9"/>
    <s v="0"/>
    <s v="0"/>
  </r>
  <r>
    <x v="342"/>
    <x v="270"/>
    <x v="254"/>
    <x v="3"/>
    <x v="3"/>
    <x v="0"/>
    <s v="C_"/>
    <x v="341"/>
    <x v="3"/>
    <x v="0"/>
    <x v="140"/>
    <x v="163"/>
    <x v="126"/>
    <x v="140"/>
    <x v="163"/>
    <x v="126"/>
    <x v="0"/>
    <m/>
    <n v="2.9"/>
    <n v="21.5"/>
    <s v="0"/>
    <s v="0"/>
  </r>
  <r>
    <x v="343"/>
    <x v="271"/>
    <x v="243"/>
    <x v="3"/>
    <x v="3"/>
    <x v="0"/>
    <s v="C_"/>
    <x v="342"/>
    <x v="3"/>
    <x v="0"/>
    <x v="18"/>
    <x v="82"/>
    <x v="71"/>
    <x v="18"/>
    <x v="82"/>
    <x v="71"/>
    <x v="0"/>
    <m/>
    <n v="39.9"/>
    <n v="296.89999999999998"/>
    <s v="0"/>
    <s v="0"/>
  </r>
  <r>
    <x v="344"/>
    <x v="272"/>
    <x v="255"/>
    <x v="0"/>
    <x v="1"/>
    <x v="1"/>
    <s v="A"/>
    <x v="343"/>
    <x v="3"/>
    <x v="13"/>
    <x v="10"/>
    <x v="164"/>
    <x v="11"/>
    <x v="10"/>
    <x v="164"/>
    <x v="11"/>
    <x v="0"/>
    <m/>
    <n v="29.9"/>
    <n v="224.9"/>
    <s v="0"/>
    <s v="0"/>
  </r>
  <r>
    <x v="345"/>
    <x v="273"/>
    <x v="256"/>
    <x v="2"/>
    <x v="3"/>
    <x v="0"/>
    <s v="C_"/>
    <x v="344"/>
    <x v="3"/>
    <x v="0"/>
    <x v="70"/>
    <x v="147"/>
    <x v="9"/>
    <x v="70"/>
    <x v="147"/>
    <x v="9"/>
    <x v="0"/>
    <m/>
    <n v="9.9"/>
    <n v="74.900000000000006"/>
    <s v="0"/>
    <s v="0"/>
  </r>
  <r>
    <x v="346"/>
    <x v="274"/>
    <x v="257"/>
    <x v="2"/>
    <x v="3"/>
    <x v="0"/>
    <s v="C_"/>
    <x v="345"/>
    <x v="3"/>
    <x v="0"/>
    <x v="22"/>
    <x v="25"/>
    <x v="7"/>
    <x v="22"/>
    <x v="25"/>
    <x v="7"/>
    <x v="0"/>
    <m/>
    <n v="11.9"/>
    <n v="89.9"/>
    <s v="0"/>
    <s v="0"/>
  </r>
  <r>
    <x v="347"/>
    <x v="275"/>
    <x v="258"/>
    <x v="2"/>
    <x v="3"/>
    <x v="0"/>
    <s v="C_"/>
    <x v="346"/>
    <x v="3"/>
    <x v="0"/>
    <x v="14"/>
    <x v="165"/>
    <x v="127"/>
    <x v="14"/>
    <x v="165"/>
    <x v="127"/>
    <x v="0"/>
    <m/>
    <n v="27.9"/>
    <n v="208"/>
    <s v="0"/>
    <s v="0"/>
  </r>
  <r>
    <x v="348"/>
    <x v="276"/>
    <x v="259"/>
    <x v="2"/>
    <x v="3"/>
    <x v="0"/>
    <s v="C_"/>
    <x v="347"/>
    <x v="3"/>
    <x v="0"/>
    <x v="141"/>
    <x v="166"/>
    <x v="128"/>
    <x v="141"/>
    <x v="166"/>
    <x v="128"/>
    <x v="0"/>
    <m/>
    <n v="33.9"/>
    <n v="252.5"/>
    <s v="0"/>
    <s v="0"/>
  </r>
  <r>
    <x v="349"/>
    <x v="277"/>
    <x v="260"/>
    <x v="3"/>
    <x v="3"/>
    <x v="0"/>
    <s v="C_"/>
    <x v="348"/>
    <x v="5"/>
    <x v="0"/>
    <x v="13"/>
    <x v="16"/>
    <x v="129"/>
    <x v="13"/>
    <x v="16"/>
    <x v="129"/>
    <x v="0"/>
    <m/>
    <n v="19.899999999999999"/>
    <n v="149.9"/>
    <s v="0"/>
    <s v="0"/>
  </r>
  <r>
    <x v="350"/>
    <x v="278"/>
    <x v="261"/>
    <x v="3"/>
    <x v="3"/>
    <x v="0"/>
    <s v="C_"/>
    <x v="349"/>
    <x v="5"/>
    <x v="0"/>
    <x v="75"/>
    <x v="84"/>
    <x v="94"/>
    <x v="75"/>
    <x v="84"/>
    <x v="94"/>
    <x v="0"/>
    <m/>
    <n v="24.9"/>
    <n v="184.9"/>
    <s v="0"/>
    <s v="0"/>
  </r>
  <r>
    <x v="351"/>
    <x v="279"/>
    <x v="262"/>
    <x v="2"/>
    <x v="3"/>
    <x v="0"/>
    <s v="C_"/>
    <x v="350"/>
    <x v="3"/>
    <x v="14"/>
    <x v="142"/>
    <x v="167"/>
    <x v="130"/>
    <x v="142"/>
    <x v="167"/>
    <x v="130"/>
    <x v="0"/>
    <m/>
    <n v="3.9"/>
    <n v="28.9"/>
    <s v="0"/>
    <s v="0"/>
  </r>
  <r>
    <x v="352"/>
    <x v="280"/>
    <x v="263"/>
    <x v="2"/>
    <x v="3"/>
    <x v="0"/>
    <s v="C_ "/>
    <x v="351"/>
    <x v="3"/>
    <x v="14"/>
    <x v="143"/>
    <x v="168"/>
    <x v="131"/>
    <x v="143"/>
    <x v="168"/>
    <x v="131"/>
    <x v="0"/>
    <m/>
    <n v="1.9"/>
    <n v="17.899999999999999"/>
    <s v="0"/>
    <s v="0"/>
  </r>
  <r>
    <x v="353"/>
    <x v="281"/>
    <x v="264"/>
    <x v="3"/>
    <x v="3"/>
    <x v="0"/>
    <s v="C_ "/>
    <x v="352"/>
    <x v="3"/>
    <x v="0"/>
    <x v="55"/>
    <x v="87"/>
    <x v="17"/>
    <x v="55"/>
    <x v="87"/>
    <x v="17"/>
    <x v="0"/>
    <m/>
    <n v="13.9"/>
    <n v="104.9"/>
    <s v="0"/>
    <s v="0"/>
  </r>
  <r>
    <x v="354"/>
    <x v="282"/>
    <x v="265"/>
    <x v="3"/>
    <x v="3"/>
    <x v="0"/>
    <s v="C_"/>
    <x v="353"/>
    <x v="3"/>
    <x v="0"/>
    <x v="13"/>
    <x v="16"/>
    <x v="108"/>
    <x v="13"/>
    <x v="16"/>
    <x v="108"/>
    <x v="0"/>
    <m/>
    <n v="19.899999999999999"/>
    <n v="149.9"/>
    <s v="0"/>
    <s v="0"/>
  </r>
  <r>
    <x v="355"/>
    <x v="283"/>
    <x v="266"/>
    <x v="2"/>
    <x v="3"/>
    <x v="0"/>
    <s v="C_"/>
    <x v="354"/>
    <x v="3"/>
    <x v="0"/>
    <x v="18"/>
    <x v="21"/>
    <x v="65"/>
    <x v="18"/>
    <x v="21"/>
    <x v="65"/>
    <x v="0"/>
    <m/>
    <n v="39.9"/>
    <n v="299.89999999999998"/>
    <s v="0"/>
    <s v="0"/>
  </r>
  <r>
    <x v="356"/>
    <x v="284"/>
    <x v="267"/>
    <x v="3"/>
    <x v="3"/>
    <x v="0"/>
    <s v="C_"/>
    <x v="355"/>
    <x v="3"/>
    <x v="0"/>
    <x v="15"/>
    <x v="18"/>
    <x v="37"/>
    <x v="15"/>
    <x v="18"/>
    <x v="37"/>
    <x v="0"/>
    <m/>
    <n v="34.9"/>
    <n v="259.89999999999998"/>
    <s v="0"/>
    <s v="0"/>
  </r>
  <r>
    <x v="357"/>
    <x v="285"/>
    <x v="268"/>
    <x v="2"/>
    <x v="3"/>
    <x v="0"/>
    <s v="C_"/>
    <x v="356"/>
    <x v="3"/>
    <x v="0"/>
    <x v="70"/>
    <x v="147"/>
    <x v="9"/>
    <x v="70"/>
    <x v="147"/>
    <x v="9"/>
    <x v="0"/>
    <m/>
    <n v="9.9"/>
    <n v="74.900000000000006"/>
    <s v="0"/>
    <s v="0"/>
  </r>
  <r>
    <x v="358"/>
    <x v="286"/>
    <x v="269"/>
    <x v="2"/>
    <x v="3"/>
    <x v="0"/>
    <s v="C_"/>
    <x v="357"/>
    <x v="3"/>
    <x v="0"/>
    <x v="63"/>
    <x v="160"/>
    <x v="22"/>
    <x v="63"/>
    <x v="160"/>
    <x v="22"/>
    <x v="0"/>
    <m/>
    <n v="5.9"/>
    <n v="44.9"/>
    <s v="0"/>
    <s v="0"/>
  </r>
  <r>
    <x v="359"/>
    <x v="287"/>
    <x v="270"/>
    <x v="2"/>
    <x v="3"/>
    <x v="0"/>
    <s v="C_"/>
    <x v="358"/>
    <x v="3"/>
    <x v="0"/>
    <x v="70"/>
    <x v="147"/>
    <x v="9"/>
    <x v="70"/>
    <x v="147"/>
    <x v="9"/>
    <x v="0"/>
    <m/>
    <n v="9.9"/>
    <n v="74.900000000000006"/>
    <s v="0"/>
    <s v="0"/>
  </r>
  <r>
    <x v="360"/>
    <x v="288"/>
    <x v="271"/>
    <x v="2"/>
    <x v="3"/>
    <x v="0"/>
    <s v="C_"/>
    <x v="359"/>
    <x v="3"/>
    <x v="0"/>
    <x v="70"/>
    <x v="147"/>
    <x v="9"/>
    <x v="70"/>
    <x v="147"/>
    <x v="9"/>
    <x v="0"/>
    <m/>
    <n v="9.9"/>
    <n v="74.900000000000006"/>
    <s v="0"/>
    <s v="0"/>
  </r>
  <r>
    <x v="361"/>
    <x v="289"/>
    <x v="272"/>
    <x v="2"/>
    <x v="3"/>
    <x v="0"/>
    <s v="C_"/>
    <x v="360"/>
    <x v="3"/>
    <x v="0"/>
    <x v="15"/>
    <x v="18"/>
    <x v="42"/>
    <x v="15"/>
    <x v="18"/>
    <x v="42"/>
    <x v="0"/>
    <m/>
    <n v="34.9"/>
    <n v="259.89999999999998"/>
    <s v="0"/>
    <s v="0"/>
  </r>
  <r>
    <x v="362"/>
    <x v="290"/>
    <x v="273"/>
    <x v="2"/>
    <x v="3"/>
    <x v="0"/>
    <s v="C_"/>
    <x v="361"/>
    <x v="3"/>
    <x v="0"/>
    <x v="10"/>
    <x v="164"/>
    <x v="59"/>
    <x v="10"/>
    <x v="164"/>
    <x v="59"/>
    <x v="0"/>
    <m/>
    <n v="29.9"/>
    <n v="224.9"/>
    <s v="0"/>
    <s v="0"/>
  </r>
  <r>
    <x v="363"/>
    <x v="291"/>
    <x v="274"/>
    <x v="3"/>
    <x v="3"/>
    <x v="0"/>
    <s v="C_"/>
    <x v="362"/>
    <x v="1"/>
    <x v="0"/>
    <x v="87"/>
    <x v="169"/>
    <x v="43"/>
    <x v="87"/>
    <x v="169"/>
    <x v="43"/>
    <x v="0"/>
    <m/>
    <n v="79.900000000000006"/>
    <n v="594.9"/>
    <s v="0"/>
    <s v="0"/>
  </r>
  <r>
    <x v="364"/>
    <x v="292"/>
    <x v="275"/>
    <x v="3"/>
    <x v="3"/>
    <x v="0"/>
    <s v="C_"/>
    <x v="363"/>
    <x v="5"/>
    <x v="4"/>
    <x v="3"/>
    <x v="4"/>
    <x v="18"/>
    <x v="3"/>
    <x v="4"/>
    <x v="18"/>
    <x v="0"/>
    <m/>
    <n v="42.9"/>
    <n v="319.89999999999998"/>
    <s v="0"/>
    <s v="0"/>
  </r>
  <r>
    <x v="365"/>
    <x v="292"/>
    <x v="275"/>
    <x v="3"/>
    <x v="3"/>
    <x v="0"/>
    <s v="C_"/>
    <x v="364"/>
    <x v="5"/>
    <x v="3"/>
    <x v="3"/>
    <x v="4"/>
    <x v="18"/>
    <x v="3"/>
    <x v="4"/>
    <x v="18"/>
    <x v="0"/>
    <m/>
    <n v="42.9"/>
    <n v="319.89999999999998"/>
    <s v="0"/>
    <s v="0"/>
  </r>
  <r>
    <x v="366"/>
    <x v="292"/>
    <x v="275"/>
    <x v="3"/>
    <x v="3"/>
    <x v="0"/>
    <s v="C_"/>
    <x v="365"/>
    <x v="5"/>
    <x v="1"/>
    <x v="3"/>
    <x v="4"/>
    <x v="18"/>
    <x v="3"/>
    <x v="4"/>
    <x v="18"/>
    <x v="0"/>
    <m/>
    <n v="42.9"/>
    <n v="319.89999999999998"/>
    <s v="0"/>
    <s v="0"/>
  </r>
  <r>
    <x v="367"/>
    <x v="292"/>
    <x v="275"/>
    <x v="3"/>
    <x v="3"/>
    <x v="0"/>
    <s v="C_"/>
    <x v="366"/>
    <x v="5"/>
    <x v="2"/>
    <x v="3"/>
    <x v="4"/>
    <x v="4"/>
    <x v="3"/>
    <x v="4"/>
    <x v="4"/>
    <x v="0"/>
    <m/>
    <n v="42.9"/>
    <n v="319.89999999999998"/>
    <s v="0"/>
    <s v="0"/>
  </r>
  <r>
    <x v="368"/>
    <x v="293"/>
    <x v="276"/>
    <x v="3"/>
    <x v="3"/>
    <x v="0"/>
    <s v="C_"/>
    <x v="367"/>
    <x v="5"/>
    <x v="4"/>
    <x v="19"/>
    <x v="45"/>
    <x v="8"/>
    <x v="19"/>
    <x v="45"/>
    <x v="8"/>
    <x v="0"/>
    <m/>
    <n v="59.9"/>
    <n v="444.9"/>
    <s v="0"/>
    <s v="0"/>
  </r>
  <r>
    <x v="369"/>
    <x v="293"/>
    <x v="276"/>
    <x v="3"/>
    <x v="3"/>
    <x v="0"/>
    <s v="C_"/>
    <x v="368"/>
    <x v="5"/>
    <x v="3"/>
    <x v="64"/>
    <x v="45"/>
    <x v="8"/>
    <x v="64"/>
    <x v="45"/>
    <x v="8"/>
    <x v="0"/>
    <m/>
    <n v="53.9"/>
    <n v="444.9"/>
    <s v="0"/>
    <s v="0"/>
  </r>
  <r>
    <x v="370"/>
    <x v="293"/>
    <x v="276"/>
    <x v="3"/>
    <x v="3"/>
    <x v="0"/>
    <s v="C_"/>
    <x v="369"/>
    <x v="5"/>
    <x v="1"/>
    <x v="64"/>
    <x v="45"/>
    <x v="8"/>
    <x v="64"/>
    <x v="45"/>
    <x v="8"/>
    <x v="0"/>
    <m/>
    <n v="53.9"/>
    <n v="444.9"/>
    <s v="0"/>
    <s v="0"/>
  </r>
  <r>
    <x v="371"/>
    <x v="293"/>
    <x v="276"/>
    <x v="3"/>
    <x v="3"/>
    <x v="0"/>
    <s v="C_"/>
    <x v="370"/>
    <x v="3"/>
    <x v="2"/>
    <x v="64"/>
    <x v="45"/>
    <x v="8"/>
    <x v="64"/>
    <x v="45"/>
    <x v="8"/>
    <x v="0"/>
    <m/>
    <n v="53.9"/>
    <n v="444.9"/>
    <s v="0"/>
    <s v="0"/>
  </r>
  <r>
    <x v="372"/>
    <x v="294"/>
    <x v="277"/>
    <x v="3"/>
    <x v="3"/>
    <x v="0"/>
    <s v="C_"/>
    <x v="371"/>
    <x v="5"/>
    <x v="4"/>
    <x v="87"/>
    <x v="169"/>
    <x v="20"/>
    <x v="87"/>
    <x v="169"/>
    <x v="20"/>
    <x v="0"/>
    <m/>
    <n v="79.900000000000006"/>
    <n v="594.9"/>
    <s v="0"/>
    <s v="0"/>
  </r>
  <r>
    <x v="373"/>
    <x v="294"/>
    <x v="277"/>
    <x v="3"/>
    <x v="3"/>
    <x v="0"/>
    <s v="C_"/>
    <x v="372"/>
    <x v="5"/>
    <x v="3"/>
    <x v="50"/>
    <x v="169"/>
    <x v="20"/>
    <x v="50"/>
    <x v="169"/>
    <x v="20"/>
    <x v="0"/>
    <m/>
    <n v="74.900000000000006"/>
    <n v="594.9"/>
    <s v="0"/>
    <s v="0"/>
  </r>
  <r>
    <x v="374"/>
    <x v="294"/>
    <x v="277"/>
    <x v="3"/>
    <x v="3"/>
    <x v="0"/>
    <s v="C_"/>
    <x v="373"/>
    <x v="5"/>
    <x v="1"/>
    <x v="50"/>
    <x v="169"/>
    <x v="20"/>
    <x v="50"/>
    <x v="169"/>
    <x v="20"/>
    <x v="0"/>
    <m/>
    <n v="74.900000000000006"/>
    <n v="594.9"/>
    <s v="0"/>
    <s v="0"/>
  </r>
  <r>
    <x v="375"/>
    <x v="294"/>
    <x v="277"/>
    <x v="3"/>
    <x v="3"/>
    <x v="0"/>
    <s v="C_"/>
    <x v="374"/>
    <x v="5"/>
    <x v="2"/>
    <x v="50"/>
    <x v="169"/>
    <x v="43"/>
    <x v="50"/>
    <x v="169"/>
    <x v="43"/>
    <x v="0"/>
    <m/>
    <n v="74.900000000000006"/>
    <n v="594.9"/>
    <s v="0"/>
    <s v="0"/>
  </r>
  <r>
    <x v="376"/>
    <x v="295"/>
    <x v="278"/>
    <x v="6"/>
    <x v="8"/>
    <x v="6"/>
    <s v="D"/>
    <x v="375"/>
    <x v="13"/>
    <x v="0"/>
    <x v="100"/>
    <x v="170"/>
    <x v="89"/>
    <x v="100"/>
    <x v="170"/>
    <x v="89"/>
    <x v="0"/>
    <m/>
    <n v="99.9"/>
    <n v="743.9"/>
    <s v="0"/>
    <s v="0"/>
  </r>
  <r>
    <x v="377"/>
    <x v="296"/>
    <x v="279"/>
    <x v="6"/>
    <x v="8"/>
    <x v="6"/>
    <s v="D"/>
    <x v="376"/>
    <x v="11"/>
    <x v="0"/>
    <x v="144"/>
    <x v="171"/>
    <x v="120"/>
    <x v="144"/>
    <x v="171"/>
    <x v="120"/>
    <x v="0"/>
    <m/>
    <n v="189.9"/>
    <n v="1409.9"/>
    <s v="0"/>
    <s v="0"/>
  </r>
  <r>
    <x v="378"/>
    <x v="297"/>
    <x v="280"/>
    <x v="6"/>
    <x v="8"/>
    <x v="6"/>
    <s v="D"/>
    <x v="377"/>
    <x v="12"/>
    <x v="0"/>
    <x v="145"/>
    <x v="172"/>
    <x v="132"/>
    <x v="145"/>
    <x v="172"/>
    <x v="132"/>
    <x v="0"/>
    <m/>
    <n v="299.89999999999998"/>
    <n v="2231.9"/>
    <s v="0"/>
    <s v="0"/>
  </r>
  <r>
    <x v="379"/>
    <x v="298"/>
    <x v="281"/>
    <x v="6"/>
    <x v="14"/>
    <x v="6"/>
    <s v="D"/>
    <x v="378"/>
    <x v="12"/>
    <x v="0"/>
    <x v="146"/>
    <x v="173"/>
    <x v="133"/>
    <x v="146"/>
    <x v="173"/>
    <x v="133"/>
    <x v="0"/>
    <m/>
    <n v="304.89999999999998"/>
    <n v="2268"/>
    <s v="0"/>
    <s v="0"/>
  </r>
  <r>
    <x v="380"/>
    <x v="299"/>
    <x v="282"/>
    <x v="6"/>
    <x v="15"/>
    <x v="6"/>
    <s v="D"/>
    <x v="379"/>
    <x v="11"/>
    <x v="0"/>
    <x v="89"/>
    <x v="99"/>
    <x v="134"/>
    <x v="89"/>
    <x v="99"/>
    <x v="134"/>
    <x v="0"/>
    <m/>
    <n v="134.9"/>
    <n v="999.9"/>
    <s v="0"/>
    <s v="0"/>
  </r>
  <r>
    <x v="381"/>
    <x v="300"/>
    <x v="283"/>
    <x v="6"/>
    <x v="15"/>
    <x v="6"/>
    <s v="D"/>
    <x v="380"/>
    <x v="10"/>
    <x v="0"/>
    <x v="104"/>
    <x v="115"/>
    <x v="135"/>
    <x v="104"/>
    <x v="115"/>
    <x v="135"/>
    <x v="0"/>
    <m/>
    <n v="84.9"/>
    <n v="629.9"/>
    <s v="0"/>
    <s v="0"/>
  </r>
  <r>
    <x v="382"/>
    <x v="301"/>
    <x v="284"/>
    <x v="6"/>
    <x v="16"/>
    <x v="6"/>
    <s v="D"/>
    <x v="381"/>
    <x v="3"/>
    <x v="0"/>
    <x v="147"/>
    <x v="174"/>
    <x v="136"/>
    <x v="147"/>
    <x v="174"/>
    <x v="136"/>
    <x v="0"/>
    <m/>
    <n v="269.89999999999998"/>
    <n v="1999.9"/>
    <s v="0"/>
    <s v="0"/>
  </r>
  <r>
    <x v="383"/>
    <x v="302"/>
    <x v="285"/>
    <x v="6"/>
    <x v="14"/>
    <x v="6"/>
    <s v="D"/>
    <x v="382"/>
    <x v="11"/>
    <x v="0"/>
    <x v="92"/>
    <x v="175"/>
    <x v="137"/>
    <x v="92"/>
    <x v="175"/>
    <x v="137"/>
    <x v="0"/>
    <m/>
    <n v="179.9"/>
    <n v="1339.9"/>
    <s v="0"/>
    <s v="0"/>
  </r>
  <r>
    <x v="384"/>
    <x v="303"/>
    <x v="286"/>
    <x v="6"/>
    <x v="2"/>
    <x v="6"/>
    <s v="D"/>
    <x v="383"/>
    <x v="8"/>
    <x v="0"/>
    <x v="19"/>
    <x v="176"/>
    <x v="19"/>
    <x v="19"/>
    <x v="176"/>
    <x v="19"/>
    <x v="0"/>
    <m/>
    <n v="59.9"/>
    <n v="449.9"/>
    <s v="0"/>
    <s v="0"/>
  </r>
  <r>
    <x v="385"/>
    <x v="304"/>
    <x v="287"/>
    <x v="6"/>
    <x v="2"/>
    <x v="6"/>
    <s v="D"/>
    <x v="384"/>
    <x v="13"/>
    <x v="0"/>
    <x v="40"/>
    <x v="42"/>
    <x v="138"/>
    <x v="40"/>
    <x v="42"/>
    <x v="138"/>
    <x v="0"/>
    <m/>
    <n v="169.9"/>
    <n v="1259.9000000000001"/>
    <s v="0"/>
    <s v="0"/>
  </r>
  <r>
    <x v="386"/>
    <x v="305"/>
    <x v="288"/>
    <x v="6"/>
    <x v="2"/>
    <x v="6"/>
    <s v="D"/>
    <x v="385"/>
    <x v="7"/>
    <x v="0"/>
    <x v="87"/>
    <x v="177"/>
    <x v="92"/>
    <x v="87"/>
    <x v="177"/>
    <x v="92"/>
    <x v="0"/>
    <m/>
    <n v="79.900000000000006"/>
    <n v="599.9"/>
    <s v="0"/>
    <s v="0"/>
  </r>
  <r>
    <x v="387"/>
    <x v="306"/>
    <x v="289"/>
    <x v="3"/>
    <x v="3"/>
    <x v="6"/>
    <s v="D"/>
    <x v="386"/>
    <x v="10"/>
    <x v="0"/>
    <x v="148"/>
    <x v="178"/>
    <x v="139"/>
    <x v="148"/>
    <x v="178"/>
    <x v="139"/>
    <x v="0"/>
    <m/>
    <n v="119.9"/>
    <n v="894.9"/>
    <s v="0"/>
    <s v="0"/>
  </r>
  <r>
    <x v="388"/>
    <x v="307"/>
    <x v="290"/>
    <x v="3"/>
    <x v="3"/>
    <x v="6"/>
    <s v="D"/>
    <x v="387"/>
    <x v="16"/>
    <x v="8"/>
    <x v="7"/>
    <x v="70"/>
    <x v="140"/>
    <x v="7"/>
    <x v="70"/>
    <x v="140"/>
    <x v="0"/>
    <m/>
    <n v="54.9"/>
    <n v="399.9"/>
    <s v="0"/>
    <s v="0"/>
  </r>
  <r>
    <x v="389"/>
    <x v="307"/>
    <x v="290"/>
    <x v="3"/>
    <x v="3"/>
    <x v="6"/>
    <s v="D"/>
    <x v="388"/>
    <x v="16"/>
    <x v="1"/>
    <x v="7"/>
    <x v="70"/>
    <x v="140"/>
    <x v="7"/>
    <x v="70"/>
    <x v="140"/>
    <x v="0"/>
    <m/>
    <n v="54.9"/>
    <n v="399.9"/>
    <s v="0"/>
    <s v="0"/>
  </r>
  <r>
    <x v="390"/>
    <x v="308"/>
    <x v="291"/>
    <x v="6"/>
    <x v="2"/>
    <x v="6"/>
    <s v="D"/>
    <x v="389"/>
    <x v="7"/>
    <x v="4"/>
    <x v="104"/>
    <x v="115"/>
    <x v="141"/>
    <x v="104"/>
    <x v="115"/>
    <x v="141"/>
    <x v="0"/>
    <m/>
    <n v="84.9"/>
    <n v="629.9"/>
    <s v="0"/>
    <s v="0"/>
  </r>
  <r>
    <x v="391"/>
    <x v="308"/>
    <x v="291"/>
    <x v="6"/>
    <x v="2"/>
    <x v="6"/>
    <s v="D"/>
    <x v="390"/>
    <x v="7"/>
    <x v="3"/>
    <x v="104"/>
    <x v="115"/>
    <x v="141"/>
    <x v="104"/>
    <x v="115"/>
    <x v="141"/>
    <x v="0"/>
    <m/>
    <n v="84.9"/>
    <n v="629.9"/>
    <s v="0"/>
    <s v="0"/>
  </r>
  <r>
    <x v="392"/>
    <x v="308"/>
    <x v="291"/>
    <x v="6"/>
    <x v="2"/>
    <x v="6"/>
    <s v="D"/>
    <x v="391"/>
    <x v="7"/>
    <x v="7"/>
    <x v="104"/>
    <x v="115"/>
    <x v="141"/>
    <x v="104"/>
    <x v="115"/>
    <x v="141"/>
    <x v="0"/>
    <m/>
    <n v="84.9"/>
    <n v="629.9"/>
    <s v="0"/>
    <s v="0"/>
  </r>
  <r>
    <x v="393"/>
    <x v="308"/>
    <x v="291"/>
    <x v="6"/>
    <x v="2"/>
    <x v="6"/>
    <s v="D"/>
    <x v="392"/>
    <x v="7"/>
    <x v="11"/>
    <x v="104"/>
    <x v="115"/>
    <x v="141"/>
    <x v="104"/>
    <x v="115"/>
    <x v="141"/>
    <x v="0"/>
    <m/>
    <n v="84.9"/>
    <n v="629.9"/>
    <s v="0"/>
    <s v="0"/>
  </r>
  <r>
    <x v="394"/>
    <x v="308"/>
    <x v="291"/>
    <x v="6"/>
    <x v="2"/>
    <x v="6"/>
    <s v="D"/>
    <x v="393"/>
    <x v="7"/>
    <x v="1"/>
    <x v="104"/>
    <x v="115"/>
    <x v="141"/>
    <x v="104"/>
    <x v="115"/>
    <x v="141"/>
    <x v="0"/>
    <m/>
    <n v="84.9"/>
    <n v="629.9"/>
    <s v="0"/>
    <s v="0"/>
  </r>
  <r>
    <x v="395"/>
    <x v="308"/>
    <x v="291"/>
    <x v="6"/>
    <x v="2"/>
    <x v="6"/>
    <s v="D"/>
    <x v="394"/>
    <x v="7"/>
    <x v="2"/>
    <x v="104"/>
    <x v="115"/>
    <x v="141"/>
    <x v="104"/>
    <x v="115"/>
    <x v="141"/>
    <x v="0"/>
    <m/>
    <n v="84.9"/>
    <n v="629.9"/>
    <s v="0"/>
    <s v="0"/>
  </r>
  <r>
    <x v="396"/>
    <x v="309"/>
    <x v="292"/>
    <x v="3"/>
    <x v="3"/>
    <x v="6"/>
    <s v="D"/>
    <x v="395"/>
    <x v="8"/>
    <x v="0"/>
    <x v="19"/>
    <x v="179"/>
    <x v="142"/>
    <x v="19"/>
    <x v="179"/>
    <x v="142"/>
    <x v="0"/>
    <m/>
    <n v="59.9"/>
    <n v="445"/>
    <s v="0"/>
    <s v="0"/>
  </r>
  <r>
    <x v="397"/>
    <x v="310"/>
    <x v="293"/>
    <x v="6"/>
    <x v="17"/>
    <x v="6"/>
    <s v="D"/>
    <x v="396"/>
    <x v="4"/>
    <x v="0"/>
    <x v="70"/>
    <x v="147"/>
    <x v="9"/>
    <x v="70"/>
    <x v="147"/>
    <x v="9"/>
    <x v="0"/>
    <m/>
    <n v="9.9"/>
    <n v="74.900000000000006"/>
    <s v="0"/>
    <s v="0"/>
  </r>
  <r>
    <x v="398"/>
    <x v="311"/>
    <x v="294"/>
    <x v="6"/>
    <x v="17"/>
    <x v="6"/>
    <s v="D"/>
    <x v="397"/>
    <x v="4"/>
    <x v="0"/>
    <x v="70"/>
    <x v="147"/>
    <x v="9"/>
    <x v="70"/>
    <x v="147"/>
    <x v="9"/>
    <x v="0"/>
    <m/>
    <n v="9.9"/>
    <n v="74.900000000000006"/>
    <s v="0"/>
    <s v="0"/>
  </r>
  <r>
    <x v="399"/>
    <x v="312"/>
    <x v="295"/>
    <x v="6"/>
    <x v="17"/>
    <x v="6"/>
    <s v="D"/>
    <x v="398"/>
    <x v="4"/>
    <x v="0"/>
    <x v="70"/>
    <x v="147"/>
    <x v="9"/>
    <x v="70"/>
    <x v="147"/>
    <x v="9"/>
    <x v="0"/>
    <m/>
    <n v="9.9"/>
    <n v="74.900000000000006"/>
    <s v="0"/>
    <s v="0"/>
  </r>
  <r>
    <x v="400"/>
    <x v="313"/>
    <x v="296"/>
    <x v="6"/>
    <x v="17"/>
    <x v="6"/>
    <s v="D"/>
    <x v="399"/>
    <x v="4"/>
    <x v="0"/>
    <x v="70"/>
    <x v="147"/>
    <x v="9"/>
    <x v="70"/>
    <x v="147"/>
    <x v="9"/>
    <x v="0"/>
    <m/>
    <n v="9.9"/>
    <n v="74.900000000000006"/>
    <s v="0"/>
    <s v="0"/>
  </r>
  <r>
    <x v="401"/>
    <x v="314"/>
    <x v="297"/>
    <x v="6"/>
    <x v="17"/>
    <x v="6"/>
    <s v="D"/>
    <x v="400"/>
    <x v="4"/>
    <x v="0"/>
    <x v="70"/>
    <x v="147"/>
    <x v="9"/>
    <x v="70"/>
    <x v="147"/>
    <x v="9"/>
    <x v="0"/>
    <m/>
    <n v="9.9"/>
    <n v="74.900000000000006"/>
    <s v="0"/>
    <s v="0"/>
  </r>
  <r>
    <x v="402"/>
    <x v="315"/>
    <x v="298"/>
    <x v="6"/>
    <x v="17"/>
    <x v="6"/>
    <s v="D"/>
    <x v="401"/>
    <x v="4"/>
    <x v="0"/>
    <x v="70"/>
    <x v="147"/>
    <x v="9"/>
    <x v="70"/>
    <x v="147"/>
    <x v="9"/>
    <x v="0"/>
    <m/>
    <n v="9.9"/>
    <n v="74.900000000000006"/>
    <s v="0"/>
    <s v="0"/>
  </r>
  <r>
    <x v="403"/>
    <x v="316"/>
    <x v="299"/>
    <x v="6"/>
    <x v="17"/>
    <x v="6"/>
    <s v="D"/>
    <x v="402"/>
    <x v="4"/>
    <x v="0"/>
    <x v="70"/>
    <x v="147"/>
    <x v="9"/>
    <x v="70"/>
    <x v="147"/>
    <x v="9"/>
    <x v="0"/>
    <m/>
    <n v="9.9"/>
    <n v="74.900000000000006"/>
    <s v="0"/>
    <s v="0"/>
  </r>
  <r>
    <x v="404"/>
    <x v="317"/>
    <x v="300"/>
    <x v="6"/>
    <x v="17"/>
    <x v="6"/>
    <s v="D"/>
    <x v="403"/>
    <x v="4"/>
    <x v="0"/>
    <x v="70"/>
    <x v="147"/>
    <x v="9"/>
    <x v="70"/>
    <x v="147"/>
    <x v="9"/>
    <x v="0"/>
    <m/>
    <n v="9.9"/>
    <n v="74.900000000000006"/>
    <s v="0"/>
    <s v="0"/>
  </r>
  <r>
    <x v="405"/>
    <x v="318"/>
    <x v="301"/>
    <x v="6"/>
    <x v="17"/>
    <x v="6"/>
    <s v="D"/>
    <x v="404"/>
    <x v="4"/>
    <x v="0"/>
    <x v="70"/>
    <x v="147"/>
    <x v="9"/>
    <x v="70"/>
    <x v="147"/>
    <x v="9"/>
    <x v="0"/>
    <m/>
    <n v="9.9"/>
    <n v="74.900000000000006"/>
    <s v="0"/>
    <s v="0"/>
  </r>
  <r>
    <x v="406"/>
    <x v="319"/>
    <x v="302"/>
    <x v="6"/>
    <x v="17"/>
    <x v="6"/>
    <s v="D"/>
    <x v="405"/>
    <x v="4"/>
    <x v="0"/>
    <x v="70"/>
    <x v="147"/>
    <x v="9"/>
    <x v="70"/>
    <x v="147"/>
    <x v="9"/>
    <x v="0"/>
    <m/>
    <n v="9.9"/>
    <n v="74.900000000000006"/>
    <s v="0"/>
    <s v="0"/>
  </r>
  <r>
    <x v="407"/>
    <x v="320"/>
    <x v="303"/>
    <x v="6"/>
    <x v="17"/>
    <x v="6"/>
    <s v="D"/>
    <x v="406"/>
    <x v="4"/>
    <x v="0"/>
    <x v="70"/>
    <x v="147"/>
    <x v="9"/>
    <x v="70"/>
    <x v="147"/>
    <x v="9"/>
    <x v="0"/>
    <m/>
    <n v="9.9"/>
    <n v="74.900000000000006"/>
    <s v="0"/>
    <s v="0"/>
  </r>
  <r>
    <x v="408"/>
    <x v="321"/>
    <x v="304"/>
    <x v="6"/>
    <x v="17"/>
    <x v="6"/>
    <s v="D"/>
    <x v="407"/>
    <x v="4"/>
    <x v="0"/>
    <x v="70"/>
    <x v="147"/>
    <x v="9"/>
    <x v="70"/>
    <x v="147"/>
    <x v="9"/>
    <x v="0"/>
    <m/>
    <n v="9.9"/>
    <n v="74.900000000000006"/>
    <s v="0"/>
    <s v="0"/>
  </r>
  <r>
    <x v="409"/>
    <x v="322"/>
    <x v="305"/>
    <x v="6"/>
    <x v="17"/>
    <x v="6"/>
    <s v="D"/>
    <x v="408"/>
    <x v="4"/>
    <x v="0"/>
    <x v="70"/>
    <x v="147"/>
    <x v="9"/>
    <x v="70"/>
    <x v="147"/>
    <x v="9"/>
    <x v="0"/>
    <m/>
    <n v="9.9"/>
    <n v="74.900000000000006"/>
    <s v="0"/>
    <s v="0"/>
  </r>
  <r>
    <x v="410"/>
    <x v="323"/>
    <x v="306"/>
    <x v="6"/>
    <x v="17"/>
    <x v="6"/>
    <s v="D"/>
    <x v="409"/>
    <x v="4"/>
    <x v="0"/>
    <x v="70"/>
    <x v="147"/>
    <x v="9"/>
    <x v="70"/>
    <x v="147"/>
    <x v="9"/>
    <x v="0"/>
    <m/>
    <n v="9.9"/>
    <n v="74.900000000000006"/>
    <s v="0"/>
    <s v="0"/>
  </r>
  <r>
    <x v="411"/>
    <x v="324"/>
    <x v="307"/>
    <x v="6"/>
    <x v="17"/>
    <x v="6"/>
    <s v="D"/>
    <x v="410"/>
    <x v="4"/>
    <x v="0"/>
    <x v="70"/>
    <x v="147"/>
    <x v="9"/>
    <x v="70"/>
    <x v="147"/>
    <x v="9"/>
    <x v="0"/>
    <m/>
    <n v="9.9"/>
    <n v="74.900000000000006"/>
    <s v="0"/>
    <s v="0"/>
  </r>
  <r>
    <x v="412"/>
    <x v="325"/>
    <x v="308"/>
    <x v="6"/>
    <x v="17"/>
    <x v="6"/>
    <s v="D"/>
    <x v="411"/>
    <x v="4"/>
    <x v="0"/>
    <x v="70"/>
    <x v="147"/>
    <x v="9"/>
    <x v="70"/>
    <x v="147"/>
    <x v="9"/>
    <x v="0"/>
    <m/>
    <n v="9.9"/>
    <n v="74.900000000000006"/>
    <s v="0"/>
    <s v="0"/>
  </r>
  <r>
    <x v="413"/>
    <x v="326"/>
    <x v="309"/>
    <x v="6"/>
    <x v="17"/>
    <x v="6"/>
    <s v="D"/>
    <x v="412"/>
    <x v="4"/>
    <x v="0"/>
    <x v="70"/>
    <x v="147"/>
    <x v="9"/>
    <x v="70"/>
    <x v="147"/>
    <x v="9"/>
    <x v="0"/>
    <m/>
    <n v="9.9"/>
    <n v="74.900000000000006"/>
    <s v="0"/>
    <s v="0"/>
  </r>
  <r>
    <x v="414"/>
    <x v="327"/>
    <x v="310"/>
    <x v="6"/>
    <x v="17"/>
    <x v="6"/>
    <s v="D"/>
    <x v="413"/>
    <x v="3"/>
    <x v="0"/>
    <x v="75"/>
    <x v="180"/>
    <x v="69"/>
    <x v="75"/>
    <x v="180"/>
    <x v="69"/>
    <x v="0"/>
    <m/>
    <n v="24.9"/>
    <n v="179.9"/>
    <s v="0"/>
    <s v="0"/>
  </r>
  <r>
    <x v="415"/>
    <x v="328"/>
    <x v="311"/>
    <x v="6"/>
    <x v="17"/>
    <x v="6"/>
    <s v="D"/>
    <x v="414"/>
    <x v="4"/>
    <x v="0"/>
    <x v="70"/>
    <x v="147"/>
    <x v="9"/>
    <x v="70"/>
    <x v="147"/>
    <x v="9"/>
    <x v="0"/>
    <m/>
    <n v="9.9"/>
    <n v="74.900000000000006"/>
    <s v="0"/>
    <s v="0"/>
  </r>
  <r>
    <x v="416"/>
    <x v="329"/>
    <x v="312"/>
    <x v="6"/>
    <x v="17"/>
    <x v="6"/>
    <s v="D"/>
    <x v="415"/>
    <x v="4"/>
    <x v="0"/>
    <x v="70"/>
    <x v="147"/>
    <x v="9"/>
    <x v="70"/>
    <x v="147"/>
    <x v="9"/>
    <x v="0"/>
    <m/>
    <n v="9.9"/>
    <n v="74.900000000000006"/>
    <s v="0"/>
    <s v="0"/>
  </r>
  <r>
    <x v="417"/>
    <x v="330"/>
    <x v="313"/>
    <x v="0"/>
    <x v="8"/>
    <x v="1"/>
    <s v="A"/>
    <x v="416"/>
    <x v="1"/>
    <x v="0"/>
    <x v="50"/>
    <x v="126"/>
    <x v="63"/>
    <x v="50"/>
    <x v="126"/>
    <x v="63"/>
    <x v="0"/>
    <m/>
    <n v="74.900000000000006"/>
    <n v="559.9"/>
    <s v="0"/>
    <s v="0"/>
  </r>
  <r>
    <x v="418"/>
    <x v="331"/>
    <x v="314"/>
    <x v="0"/>
    <x v="8"/>
    <x v="1"/>
    <s v="A"/>
    <x v="417"/>
    <x v="13"/>
    <x v="0"/>
    <x v="93"/>
    <x v="43"/>
    <x v="143"/>
    <x v="93"/>
    <x v="43"/>
    <x v="143"/>
    <x v="0"/>
    <m/>
    <n v="104.9"/>
    <n v="779.9"/>
    <s v="0"/>
    <s v="0"/>
  </r>
  <r>
    <x v="419"/>
    <x v="332"/>
    <x v="315"/>
    <x v="0"/>
    <x v="8"/>
    <x v="8"/>
    <s v="B"/>
    <x v="418"/>
    <x v="11"/>
    <x v="4"/>
    <x v="89"/>
    <x v="99"/>
    <x v="91"/>
    <x v="89"/>
    <x v="99"/>
    <x v="91"/>
    <x v="0"/>
    <m/>
    <n v="134.9"/>
    <n v="999.9"/>
    <s v="0"/>
    <s v="0"/>
  </r>
  <r>
    <x v="420"/>
    <x v="332"/>
    <x v="315"/>
    <x v="0"/>
    <x v="8"/>
    <x v="8"/>
    <s v="B"/>
    <x v="419"/>
    <x v="11"/>
    <x v="7"/>
    <x v="89"/>
    <x v="99"/>
    <x v="91"/>
    <x v="89"/>
    <x v="99"/>
    <x v="91"/>
    <x v="0"/>
    <m/>
    <n v="134.9"/>
    <n v="999.9"/>
    <s v="0"/>
    <s v="0"/>
  </r>
  <r>
    <x v="421"/>
    <x v="332"/>
    <x v="315"/>
    <x v="0"/>
    <x v="8"/>
    <x v="8"/>
    <s v="B"/>
    <x v="420"/>
    <x v="11"/>
    <x v="9"/>
    <x v="89"/>
    <x v="99"/>
    <x v="91"/>
    <x v="89"/>
    <x v="99"/>
    <x v="91"/>
    <x v="0"/>
    <m/>
    <n v="134.9"/>
    <n v="999.9"/>
    <s v="0"/>
    <s v="0"/>
  </r>
  <r>
    <x v="422"/>
    <x v="333"/>
    <x v="316"/>
    <x v="0"/>
    <x v="8"/>
    <x v="8"/>
    <s v="B"/>
    <x v="421"/>
    <x v="11"/>
    <x v="4"/>
    <x v="90"/>
    <x v="181"/>
    <x v="144"/>
    <x v="90"/>
    <x v="181"/>
    <x v="144"/>
    <x v="0"/>
    <m/>
    <n v="154.9"/>
    <n v="1149.9000000000001"/>
    <s v="0"/>
    <s v="0"/>
  </r>
  <r>
    <x v="423"/>
    <x v="333"/>
    <x v="316"/>
    <x v="0"/>
    <x v="8"/>
    <x v="8"/>
    <s v="B"/>
    <x v="422"/>
    <x v="11"/>
    <x v="7"/>
    <x v="90"/>
    <x v="181"/>
    <x v="144"/>
    <x v="90"/>
    <x v="181"/>
    <x v="144"/>
    <x v="0"/>
    <m/>
    <n v="154.9"/>
    <n v="1149.9000000000001"/>
    <s v="0"/>
    <s v="0"/>
  </r>
  <r>
    <x v="424"/>
    <x v="333"/>
    <x v="316"/>
    <x v="0"/>
    <x v="8"/>
    <x v="8"/>
    <s v="B"/>
    <x v="423"/>
    <x v="11"/>
    <x v="9"/>
    <x v="90"/>
    <x v="181"/>
    <x v="144"/>
    <x v="90"/>
    <x v="181"/>
    <x v="144"/>
    <x v="0"/>
    <m/>
    <n v="154.9"/>
    <n v="1149.9000000000001"/>
    <s v="0"/>
    <s v="0"/>
  </r>
  <r>
    <x v="425"/>
    <x v="334"/>
    <x v="317"/>
    <x v="0"/>
    <x v="8"/>
    <x v="8"/>
    <s v="B"/>
    <x v="424"/>
    <x v="11"/>
    <x v="4"/>
    <x v="149"/>
    <x v="182"/>
    <x v="145"/>
    <x v="149"/>
    <x v="182"/>
    <x v="145"/>
    <x v="0"/>
    <m/>
    <n v="214.9"/>
    <n v="1598.9"/>
    <s v="0"/>
    <s v="0"/>
  </r>
  <r>
    <x v="426"/>
    <x v="334"/>
    <x v="317"/>
    <x v="0"/>
    <x v="8"/>
    <x v="8"/>
    <s v="B"/>
    <x v="425"/>
    <x v="11"/>
    <x v="15"/>
    <x v="149"/>
    <x v="182"/>
    <x v="145"/>
    <x v="149"/>
    <x v="182"/>
    <x v="145"/>
    <x v="0"/>
    <m/>
    <n v="214.9"/>
    <n v="1598.9"/>
    <s v="0"/>
    <s v="0"/>
  </r>
  <r>
    <x v="427"/>
    <x v="334"/>
    <x v="317"/>
    <x v="0"/>
    <x v="8"/>
    <x v="8"/>
    <s v="B"/>
    <x v="426"/>
    <x v="11"/>
    <x v="5"/>
    <x v="149"/>
    <x v="182"/>
    <x v="145"/>
    <x v="149"/>
    <x v="182"/>
    <x v="145"/>
    <x v="0"/>
    <m/>
    <n v="214.9"/>
    <n v="1598.9"/>
    <s v="0"/>
    <s v="0"/>
  </r>
  <r>
    <x v="428"/>
    <x v="334"/>
    <x v="317"/>
    <x v="0"/>
    <x v="8"/>
    <x v="8"/>
    <s v="B"/>
    <x v="427"/>
    <x v="11"/>
    <x v="9"/>
    <x v="149"/>
    <x v="182"/>
    <x v="145"/>
    <x v="149"/>
    <x v="182"/>
    <x v="145"/>
    <x v="0"/>
    <m/>
    <n v="214.9"/>
    <n v="1598.9"/>
    <s v="0"/>
    <s v="0"/>
  </r>
  <r>
    <x v="429"/>
    <x v="335"/>
    <x v="318"/>
    <x v="0"/>
    <x v="8"/>
    <x v="8"/>
    <s v="B"/>
    <x v="428"/>
    <x v="11"/>
    <x v="4"/>
    <x v="150"/>
    <x v="183"/>
    <x v="146"/>
    <x v="150"/>
    <x v="183"/>
    <x v="146"/>
    <x v="0"/>
    <m/>
    <n v="254.9"/>
    <n v="1896.9"/>
    <s v="0"/>
    <s v="0"/>
  </r>
  <r>
    <x v="430"/>
    <x v="335"/>
    <x v="318"/>
    <x v="0"/>
    <x v="8"/>
    <x v="8"/>
    <s v="B"/>
    <x v="429"/>
    <x v="11"/>
    <x v="15"/>
    <x v="150"/>
    <x v="183"/>
    <x v="146"/>
    <x v="150"/>
    <x v="183"/>
    <x v="146"/>
    <x v="0"/>
    <m/>
    <n v="254.9"/>
    <n v="1896.9"/>
    <s v="0"/>
    <s v="0"/>
  </r>
  <r>
    <x v="431"/>
    <x v="335"/>
    <x v="318"/>
    <x v="0"/>
    <x v="8"/>
    <x v="8"/>
    <s v="B"/>
    <x v="430"/>
    <x v="11"/>
    <x v="5"/>
    <x v="150"/>
    <x v="183"/>
    <x v="146"/>
    <x v="150"/>
    <x v="183"/>
    <x v="146"/>
    <x v="0"/>
    <m/>
    <n v="254.9"/>
    <n v="1896.9"/>
    <s v="0"/>
    <s v="0"/>
  </r>
  <r>
    <x v="432"/>
    <x v="335"/>
    <x v="318"/>
    <x v="0"/>
    <x v="8"/>
    <x v="8"/>
    <s v="B"/>
    <x v="431"/>
    <x v="11"/>
    <x v="9"/>
    <x v="150"/>
    <x v="183"/>
    <x v="146"/>
    <x v="150"/>
    <x v="183"/>
    <x v="146"/>
    <x v="0"/>
    <m/>
    <n v="254.9"/>
    <n v="1896.9"/>
    <s v="0"/>
    <s v="0"/>
  </r>
  <r>
    <x v="433"/>
    <x v="336"/>
    <x v="319"/>
    <x v="0"/>
    <x v="8"/>
    <x v="8"/>
    <s v="B"/>
    <x v="432"/>
    <x v="12"/>
    <x v="4"/>
    <x v="151"/>
    <x v="184"/>
    <x v="147"/>
    <x v="151"/>
    <x v="184"/>
    <x v="147"/>
    <x v="0"/>
    <m/>
    <n v="284.89999999999998"/>
    <n v="2119.9"/>
    <s v="0"/>
    <s v="0"/>
  </r>
  <r>
    <x v="434"/>
    <x v="336"/>
    <x v="319"/>
    <x v="0"/>
    <x v="8"/>
    <x v="8"/>
    <s v="B"/>
    <x v="433"/>
    <x v="12"/>
    <x v="7"/>
    <x v="151"/>
    <x v="184"/>
    <x v="147"/>
    <x v="151"/>
    <x v="184"/>
    <x v="147"/>
    <x v="0"/>
    <m/>
    <n v="284.89999999999998"/>
    <n v="2119.9"/>
    <s v="0"/>
    <s v="0"/>
  </r>
  <r>
    <x v="435"/>
    <x v="336"/>
    <x v="319"/>
    <x v="0"/>
    <x v="8"/>
    <x v="8"/>
    <s v="B"/>
    <x v="434"/>
    <x v="12"/>
    <x v="9"/>
    <x v="151"/>
    <x v="184"/>
    <x v="147"/>
    <x v="151"/>
    <x v="184"/>
    <x v="147"/>
    <x v="0"/>
    <m/>
    <n v="284.89999999999998"/>
    <n v="2119.9"/>
    <s v="0"/>
    <s v="0"/>
  </r>
  <r>
    <x v="436"/>
    <x v="337"/>
    <x v="320"/>
    <x v="0"/>
    <x v="6"/>
    <x v="1"/>
    <s v="A"/>
    <x v="435"/>
    <x v="4"/>
    <x v="0"/>
    <x v="44"/>
    <x v="48"/>
    <x v="148"/>
    <x v="44"/>
    <x v="48"/>
    <x v="148"/>
    <x v="0"/>
    <m/>
    <n v="56.9"/>
    <n v="419.9"/>
    <s v="0"/>
    <s v="0"/>
  </r>
  <r>
    <x v="437"/>
    <x v="338"/>
    <x v="321"/>
    <x v="0"/>
    <x v="6"/>
    <x v="1"/>
    <s v="A"/>
    <x v="436"/>
    <x v="1"/>
    <x v="0"/>
    <x v="109"/>
    <x v="124"/>
    <x v="89"/>
    <x v="109"/>
    <x v="124"/>
    <x v="89"/>
    <x v="0"/>
    <m/>
    <n v="89.9"/>
    <n v="668.9"/>
    <s v="0"/>
    <s v="0"/>
  </r>
  <r>
    <x v="438"/>
    <x v="339"/>
    <x v="322"/>
    <x v="0"/>
    <x v="6"/>
    <x v="1"/>
    <s v="A"/>
    <x v="437"/>
    <x v="4"/>
    <x v="0"/>
    <x v="152"/>
    <x v="185"/>
    <x v="107"/>
    <x v="152"/>
    <x v="185"/>
    <x v="107"/>
    <x v="0"/>
    <m/>
    <n v="45.9"/>
    <n v="339.9"/>
    <s v="0"/>
    <s v="0"/>
  </r>
  <r>
    <x v="439"/>
    <x v="340"/>
    <x v="323"/>
    <x v="0"/>
    <x v="18"/>
    <x v="1"/>
    <s v="A"/>
    <x v="438"/>
    <x v="1"/>
    <x v="0"/>
    <x v="96"/>
    <x v="106"/>
    <x v="80"/>
    <x v="96"/>
    <x v="106"/>
    <x v="80"/>
    <x v="0"/>
    <m/>
    <n v="62.9"/>
    <n v="467.9"/>
    <s v="0"/>
    <s v="0"/>
  </r>
  <r>
    <x v="440"/>
    <x v="341"/>
    <x v="324"/>
    <x v="0"/>
    <x v="18"/>
    <x v="1"/>
    <s v="A"/>
    <x v="439"/>
    <x v="1"/>
    <x v="0"/>
    <x v="153"/>
    <x v="186"/>
    <x v="141"/>
    <x v="153"/>
    <x v="186"/>
    <x v="141"/>
    <x v="0"/>
    <m/>
    <n v="77.900000000000006"/>
    <n v="579.9"/>
    <s v="0"/>
    <s v="0"/>
  </r>
  <r>
    <x v="441"/>
    <x v="342"/>
    <x v="325"/>
    <x v="0"/>
    <x v="9"/>
    <x v="1"/>
    <s v="A"/>
    <x v="440"/>
    <x v="4"/>
    <x v="0"/>
    <x v="154"/>
    <x v="187"/>
    <x v="43"/>
    <x v="154"/>
    <x v="187"/>
    <x v="43"/>
    <x v="0"/>
    <m/>
    <n v="71.900000000000006"/>
    <n v="534.9"/>
    <s v="0"/>
    <s v="0"/>
  </r>
  <r>
    <x v="442"/>
    <x v="343"/>
    <x v="326"/>
    <x v="2"/>
    <x v="3"/>
    <x v="0"/>
    <s v="C_"/>
    <x v="441"/>
    <x v="3"/>
    <x v="0"/>
    <x v="155"/>
    <x v="188"/>
    <x v="149"/>
    <x v="155"/>
    <x v="188"/>
    <x v="149"/>
    <x v="0"/>
    <m/>
    <n v="1.1000000000000001"/>
    <n v="8.5"/>
    <s v="0"/>
    <s v="0"/>
  </r>
  <r>
    <x v="443"/>
    <x v="344"/>
    <x v="327"/>
    <x v="2"/>
    <x v="3"/>
    <x v="0"/>
    <s v="C_"/>
    <x v="442"/>
    <x v="3"/>
    <x v="0"/>
    <x v="156"/>
    <x v="189"/>
    <x v="150"/>
    <x v="156"/>
    <x v="189"/>
    <x v="150"/>
    <x v="0"/>
    <m/>
    <n v="4.2"/>
    <n v="31.5"/>
    <s v="0"/>
    <s v="0"/>
  </r>
  <r>
    <x v="444"/>
    <x v="345"/>
    <x v="328"/>
    <x v="2"/>
    <x v="3"/>
    <x v="0"/>
    <s v="C_"/>
    <x v="443"/>
    <x v="3"/>
    <x v="0"/>
    <x v="157"/>
    <x v="190"/>
    <x v="151"/>
    <x v="157"/>
    <x v="190"/>
    <x v="151"/>
    <x v="0"/>
    <m/>
    <n v="3"/>
    <n v="22.5"/>
    <s v="0"/>
    <s v="0"/>
  </r>
  <r>
    <x v="445"/>
    <x v="346"/>
    <x v="118"/>
    <x v="2"/>
    <x v="3"/>
    <x v="0"/>
    <s v="C_"/>
    <x v="444"/>
    <x v="3"/>
    <x v="0"/>
    <x v="158"/>
    <x v="191"/>
    <x v="152"/>
    <x v="158"/>
    <x v="191"/>
    <x v="152"/>
    <x v="0"/>
    <m/>
    <n v="1.7"/>
    <n v="13"/>
    <s v="0"/>
    <s v="0"/>
  </r>
  <r>
    <x v="446"/>
    <x v="347"/>
    <x v="329"/>
    <x v="2"/>
    <x v="3"/>
    <x v="0"/>
    <s v="C_"/>
    <x v="445"/>
    <x v="3"/>
    <x v="0"/>
    <x v="0"/>
    <x v="192"/>
    <x v="153"/>
    <x v="0"/>
    <x v="192"/>
    <x v="153"/>
    <x v="0"/>
    <m/>
    <n v="8.9"/>
    <n v="66.5"/>
    <s v="0"/>
    <s v="0"/>
  </r>
  <r>
    <x v="447"/>
    <x v="348"/>
    <x v="330"/>
    <x v="2"/>
    <x v="3"/>
    <x v="0"/>
    <s v="C_"/>
    <x v="446"/>
    <x v="3"/>
    <x v="0"/>
    <x v="159"/>
    <x v="193"/>
    <x v="154"/>
    <x v="159"/>
    <x v="193"/>
    <x v="154"/>
    <x v="0"/>
    <m/>
    <n v="9.6999999999999993"/>
    <n v="72.5"/>
    <s v="0"/>
    <s v="0"/>
  </r>
  <r>
    <x v="448"/>
    <x v="349"/>
    <x v="331"/>
    <x v="2"/>
    <x v="3"/>
    <x v="0"/>
    <s v="C_"/>
    <x v="447"/>
    <x v="3"/>
    <x v="0"/>
    <x v="160"/>
    <x v="194"/>
    <x v="155"/>
    <x v="160"/>
    <x v="194"/>
    <x v="155"/>
    <x v="0"/>
    <m/>
    <n v="9.3000000000000007"/>
    <n v="69.5"/>
    <s v="0"/>
    <s v="0"/>
  </r>
  <r>
    <x v="449"/>
    <x v="350"/>
    <x v="332"/>
    <x v="2"/>
    <x v="3"/>
    <x v="0"/>
    <s v="C_"/>
    <x v="448"/>
    <x v="3"/>
    <x v="0"/>
    <x v="161"/>
    <x v="195"/>
    <x v="156"/>
    <x v="161"/>
    <x v="195"/>
    <x v="156"/>
    <x v="0"/>
    <m/>
    <n v="0.5"/>
    <n v="4"/>
    <s v="0"/>
    <s v="0"/>
  </r>
  <r>
    <x v="450"/>
    <x v="351"/>
    <x v="333"/>
    <x v="2"/>
    <x v="3"/>
    <x v="0"/>
    <s v="C_"/>
    <x v="449"/>
    <x v="3"/>
    <x v="0"/>
    <x v="157"/>
    <x v="190"/>
    <x v="151"/>
    <x v="157"/>
    <x v="190"/>
    <x v="151"/>
    <x v="0"/>
    <m/>
    <n v="3"/>
    <n v="22.5"/>
    <s v="0"/>
    <s v="0"/>
  </r>
  <r>
    <x v="451"/>
    <x v="352"/>
    <x v="326"/>
    <x v="2"/>
    <x v="3"/>
    <x v="0"/>
    <s v="C_"/>
    <x v="450"/>
    <x v="3"/>
    <x v="0"/>
    <x v="158"/>
    <x v="191"/>
    <x v="152"/>
    <x v="158"/>
    <x v="191"/>
    <x v="152"/>
    <x v="0"/>
    <m/>
    <n v="1.7"/>
    <n v="13"/>
    <s v="0"/>
    <s v="0"/>
  </r>
  <r>
    <x v="452"/>
    <x v="353"/>
    <x v="327"/>
    <x v="2"/>
    <x v="3"/>
    <x v="0"/>
    <s v="C_"/>
    <x v="451"/>
    <x v="3"/>
    <x v="0"/>
    <x v="162"/>
    <x v="196"/>
    <x v="157"/>
    <x v="162"/>
    <x v="196"/>
    <x v="157"/>
    <x v="0"/>
    <m/>
    <n v="6.4"/>
    <n v="48"/>
    <s v="0"/>
    <s v="0"/>
  </r>
  <r>
    <x v="453"/>
    <x v="354"/>
    <x v="328"/>
    <x v="2"/>
    <x v="3"/>
    <x v="0"/>
    <s v="C_"/>
    <x v="452"/>
    <x v="3"/>
    <x v="0"/>
    <x v="163"/>
    <x v="197"/>
    <x v="158"/>
    <x v="163"/>
    <x v="197"/>
    <x v="158"/>
    <x v="0"/>
    <m/>
    <n v="4.7"/>
    <n v="35"/>
    <s v="0"/>
    <s v="0"/>
  </r>
  <r>
    <x v="454"/>
    <x v="355"/>
    <x v="118"/>
    <x v="2"/>
    <x v="3"/>
    <x v="0"/>
    <s v="C_"/>
    <x v="453"/>
    <x v="3"/>
    <x v="0"/>
    <x v="164"/>
    <x v="198"/>
    <x v="159"/>
    <x v="164"/>
    <x v="198"/>
    <x v="159"/>
    <x v="0"/>
    <m/>
    <n v="3.4"/>
    <n v="25.5"/>
    <s v="0"/>
    <s v="0"/>
  </r>
  <r>
    <x v="455"/>
    <x v="356"/>
    <x v="329"/>
    <x v="2"/>
    <x v="3"/>
    <x v="0"/>
    <s v="C_"/>
    <x v="454"/>
    <x v="3"/>
    <x v="0"/>
    <x v="165"/>
    <x v="199"/>
    <x v="160"/>
    <x v="165"/>
    <x v="199"/>
    <x v="160"/>
    <x v="0"/>
    <m/>
    <n v="16.899999999999999"/>
    <n v="126"/>
    <s v="0"/>
    <s v="0"/>
  </r>
  <r>
    <x v="456"/>
    <x v="357"/>
    <x v="334"/>
    <x v="2"/>
    <x v="3"/>
    <x v="0"/>
    <s v="C_"/>
    <x v="455"/>
    <x v="3"/>
    <x v="0"/>
    <x v="166"/>
    <x v="200"/>
    <x v="161"/>
    <x v="166"/>
    <x v="200"/>
    <x v="161"/>
    <x v="0"/>
    <m/>
    <n v="3.6"/>
    <n v="27"/>
    <s v="0"/>
    <s v="0"/>
  </r>
  <r>
    <x v="457"/>
    <x v="358"/>
    <x v="335"/>
    <x v="2"/>
    <x v="3"/>
    <x v="0"/>
    <s v="C_"/>
    <x v="456"/>
    <x v="3"/>
    <x v="0"/>
    <x v="158"/>
    <x v="191"/>
    <x v="152"/>
    <x v="158"/>
    <x v="191"/>
    <x v="152"/>
    <x v="0"/>
    <m/>
    <n v="1.7"/>
    <n v="13"/>
    <s v="0"/>
    <s v="0"/>
  </r>
  <r>
    <x v="458"/>
    <x v="359"/>
    <x v="330"/>
    <x v="2"/>
    <x v="3"/>
    <x v="0"/>
    <s v="C_"/>
    <x v="457"/>
    <x v="3"/>
    <x v="0"/>
    <x v="167"/>
    <x v="201"/>
    <x v="162"/>
    <x v="167"/>
    <x v="201"/>
    <x v="162"/>
    <x v="0"/>
    <m/>
    <n v="18.600000000000001"/>
    <n v="138.5"/>
    <s v="0"/>
    <s v="0"/>
  </r>
  <r>
    <x v="459"/>
    <x v="360"/>
    <x v="331"/>
    <x v="2"/>
    <x v="3"/>
    <x v="0"/>
    <s v="C_"/>
    <x v="458"/>
    <x v="3"/>
    <x v="0"/>
    <x v="163"/>
    <x v="197"/>
    <x v="158"/>
    <x v="163"/>
    <x v="197"/>
    <x v="158"/>
    <x v="0"/>
    <m/>
    <n v="4.7"/>
    <n v="35"/>
    <s v="0"/>
    <s v="0"/>
  </r>
  <r>
    <x v="460"/>
    <x v="361"/>
    <x v="332"/>
    <x v="2"/>
    <x v="3"/>
    <x v="0"/>
    <s v="C_"/>
    <x v="459"/>
    <x v="3"/>
    <x v="0"/>
    <x v="161"/>
    <x v="195"/>
    <x v="156"/>
    <x v="161"/>
    <x v="195"/>
    <x v="156"/>
    <x v="0"/>
    <m/>
    <n v="0.5"/>
    <n v="4"/>
    <s v="0"/>
    <s v="0"/>
  </r>
  <r>
    <x v="461"/>
    <x v="362"/>
    <x v="333"/>
    <x v="2"/>
    <x v="3"/>
    <x v="0"/>
    <s v="C_"/>
    <x v="460"/>
    <x v="3"/>
    <x v="0"/>
    <x v="159"/>
    <x v="193"/>
    <x v="154"/>
    <x v="159"/>
    <x v="193"/>
    <x v="154"/>
    <x v="0"/>
    <m/>
    <n v="9.6999999999999993"/>
    <n v="72.5"/>
    <s v="0"/>
    <s v="0"/>
  </r>
  <r>
    <x v="462"/>
    <x v="363"/>
    <x v="336"/>
    <x v="2"/>
    <x v="3"/>
    <x v="0"/>
    <s v="C_"/>
    <x v="461"/>
    <x v="3"/>
    <x v="0"/>
    <x v="60"/>
    <x v="202"/>
    <x v="163"/>
    <x v="60"/>
    <x v="202"/>
    <x v="163"/>
    <x v="0"/>
    <m/>
    <n v="2.1"/>
    <n v="16"/>
    <s v="0"/>
    <s v="0"/>
  </r>
  <r>
    <x v="463"/>
    <x v="364"/>
    <x v="327"/>
    <x v="2"/>
    <x v="3"/>
    <x v="0"/>
    <s v="C_"/>
    <x v="462"/>
    <x v="3"/>
    <x v="0"/>
    <x v="30"/>
    <x v="203"/>
    <x v="164"/>
    <x v="30"/>
    <x v="203"/>
    <x v="164"/>
    <x v="0"/>
    <m/>
    <n v="8.5"/>
    <n v="63.5"/>
    <s v="0"/>
    <s v="0"/>
  </r>
  <r>
    <x v="464"/>
    <x v="365"/>
    <x v="328"/>
    <x v="2"/>
    <x v="3"/>
    <x v="0"/>
    <s v="C_"/>
    <x v="463"/>
    <x v="3"/>
    <x v="0"/>
    <x v="30"/>
    <x v="203"/>
    <x v="164"/>
    <x v="30"/>
    <x v="203"/>
    <x v="164"/>
    <x v="0"/>
    <m/>
    <n v="8.5"/>
    <n v="63.5"/>
    <s v="0"/>
    <s v="0"/>
  </r>
  <r>
    <x v="465"/>
    <x v="366"/>
    <x v="118"/>
    <x v="2"/>
    <x v="3"/>
    <x v="0"/>
    <s v="C_"/>
    <x v="464"/>
    <x v="3"/>
    <x v="0"/>
    <x v="168"/>
    <x v="204"/>
    <x v="165"/>
    <x v="168"/>
    <x v="204"/>
    <x v="165"/>
    <x v="0"/>
    <m/>
    <n v="5.7"/>
    <n v="42.5"/>
    <s v="0"/>
    <s v="0"/>
  </r>
  <r>
    <x v="466"/>
    <x v="367"/>
    <x v="333"/>
    <x v="2"/>
    <x v="3"/>
    <x v="0"/>
    <s v="C_"/>
    <x v="465"/>
    <x v="3"/>
    <x v="0"/>
    <x v="0"/>
    <x v="192"/>
    <x v="153"/>
    <x v="0"/>
    <x v="192"/>
    <x v="153"/>
    <x v="0"/>
    <m/>
    <n v="8.9"/>
    <n v="66.5"/>
    <s v="0"/>
    <s v="0"/>
  </r>
  <r>
    <x v="467"/>
    <x v="368"/>
    <x v="337"/>
    <x v="2"/>
    <x v="3"/>
    <x v="0"/>
    <s v="C_"/>
    <x v="466"/>
    <x v="3"/>
    <x v="0"/>
    <x v="169"/>
    <x v="205"/>
    <x v="166"/>
    <x v="169"/>
    <x v="205"/>
    <x v="166"/>
    <x v="0"/>
    <m/>
    <n v="24.1"/>
    <n v="179.5"/>
    <s v="0"/>
    <s v="0"/>
  </r>
  <r>
    <x v="468"/>
    <x v="369"/>
    <x v="331"/>
    <x v="2"/>
    <x v="3"/>
    <x v="0"/>
    <s v="C_"/>
    <x v="467"/>
    <x v="3"/>
    <x v="0"/>
    <x v="30"/>
    <x v="203"/>
    <x v="164"/>
    <x v="30"/>
    <x v="203"/>
    <x v="164"/>
    <x v="0"/>
    <m/>
    <n v="8.5"/>
    <n v="63.5"/>
    <s v="0"/>
    <s v="0"/>
  </r>
  <r>
    <x v="469"/>
    <x v="370"/>
    <x v="334"/>
    <x v="2"/>
    <x v="3"/>
    <x v="0"/>
    <s v="C_"/>
    <x v="468"/>
    <x v="3"/>
    <x v="0"/>
    <x v="58"/>
    <x v="206"/>
    <x v="167"/>
    <x v="58"/>
    <x v="206"/>
    <x v="167"/>
    <x v="0"/>
    <m/>
    <n v="10.6"/>
    <n v="79"/>
    <s v="0"/>
    <s v="0"/>
  </r>
  <r>
    <x v="470"/>
    <x v="371"/>
    <x v="338"/>
    <x v="2"/>
    <x v="3"/>
    <x v="0"/>
    <s v="C_"/>
    <x v="469"/>
    <x v="3"/>
    <x v="0"/>
    <x v="170"/>
    <x v="207"/>
    <x v="168"/>
    <x v="170"/>
    <x v="207"/>
    <x v="168"/>
    <x v="0"/>
    <m/>
    <n v="1.2"/>
    <n v="9"/>
    <s v="0"/>
    <s v="0"/>
  </r>
  <r>
    <x v="471"/>
    <x v="372"/>
    <x v="339"/>
    <x v="2"/>
    <x v="3"/>
    <x v="0"/>
    <s v="C_"/>
    <x v="470"/>
    <x v="3"/>
    <x v="0"/>
    <x v="158"/>
    <x v="191"/>
    <x v="152"/>
    <x v="158"/>
    <x v="191"/>
    <x v="152"/>
    <x v="0"/>
    <m/>
    <n v="1.7"/>
    <n v="13"/>
    <s v="0"/>
    <s v="0"/>
  </r>
  <r>
    <x v="472"/>
    <x v="373"/>
    <x v="340"/>
    <x v="2"/>
    <x v="3"/>
    <x v="0"/>
    <s v="C_"/>
    <x v="471"/>
    <x v="3"/>
    <x v="0"/>
    <x v="171"/>
    <x v="208"/>
    <x v="169"/>
    <x v="171"/>
    <x v="208"/>
    <x v="169"/>
    <x v="0"/>
    <m/>
    <n v="22"/>
    <n v="164"/>
    <s v="0"/>
    <s v="0"/>
  </r>
  <r>
    <x v="473"/>
    <x v="374"/>
    <x v="341"/>
    <x v="2"/>
    <x v="3"/>
    <x v="0"/>
    <s v="C_"/>
    <x v="472"/>
    <x v="3"/>
    <x v="0"/>
    <x v="172"/>
    <x v="209"/>
    <x v="170"/>
    <x v="172"/>
    <x v="209"/>
    <x v="170"/>
    <x v="0"/>
    <m/>
    <n v="1"/>
    <n v="7.5"/>
    <s v="0"/>
    <s v="0"/>
  </r>
  <r>
    <x v="474"/>
    <x v="375"/>
    <x v="336"/>
    <x v="2"/>
    <x v="3"/>
    <x v="0"/>
    <s v="C_"/>
    <x v="473"/>
    <x v="3"/>
    <x v="0"/>
    <x v="173"/>
    <x v="210"/>
    <x v="171"/>
    <x v="173"/>
    <x v="210"/>
    <x v="171"/>
    <x v="0"/>
    <m/>
    <n v="2.2999999999999998"/>
    <n v="17.5"/>
    <s v="0"/>
    <s v="0"/>
  </r>
  <r>
    <x v="475"/>
    <x v="376"/>
    <x v="327"/>
    <x v="2"/>
    <x v="3"/>
    <x v="0"/>
    <s v="C_"/>
    <x v="474"/>
    <x v="3"/>
    <x v="0"/>
    <x v="174"/>
    <x v="211"/>
    <x v="172"/>
    <x v="174"/>
    <x v="211"/>
    <x v="172"/>
    <x v="0"/>
    <m/>
    <n v="11.4"/>
    <n v="85"/>
    <s v="0"/>
    <s v="0"/>
  </r>
  <r>
    <x v="476"/>
    <x v="377"/>
    <x v="328"/>
    <x v="2"/>
    <x v="3"/>
    <x v="0"/>
    <s v="C_"/>
    <x v="475"/>
    <x v="3"/>
    <x v="0"/>
    <x v="58"/>
    <x v="206"/>
    <x v="167"/>
    <x v="58"/>
    <x v="206"/>
    <x v="167"/>
    <x v="0"/>
    <m/>
    <n v="10.6"/>
    <n v="79"/>
    <s v="0"/>
    <s v="0"/>
  </r>
  <r>
    <x v="477"/>
    <x v="378"/>
    <x v="118"/>
    <x v="2"/>
    <x v="3"/>
    <x v="0"/>
    <s v="C_"/>
    <x v="476"/>
    <x v="3"/>
    <x v="0"/>
    <x v="160"/>
    <x v="194"/>
    <x v="155"/>
    <x v="160"/>
    <x v="194"/>
    <x v="155"/>
    <x v="0"/>
    <m/>
    <n v="9.3000000000000007"/>
    <n v="69.5"/>
    <s v="0"/>
    <s v="0"/>
  </r>
  <r>
    <x v="478"/>
    <x v="379"/>
    <x v="333"/>
    <x v="2"/>
    <x v="3"/>
    <x v="0"/>
    <s v="C_"/>
    <x v="477"/>
    <x v="3"/>
    <x v="0"/>
    <x v="175"/>
    <x v="212"/>
    <x v="173"/>
    <x v="175"/>
    <x v="212"/>
    <x v="173"/>
    <x v="0"/>
    <m/>
    <n v="10.199999999999999"/>
    <n v="76"/>
    <s v="0"/>
    <s v="0"/>
  </r>
  <r>
    <x v="479"/>
    <x v="380"/>
    <x v="337"/>
    <x v="2"/>
    <x v="3"/>
    <x v="0"/>
    <s v="C_"/>
    <x v="478"/>
    <x v="3"/>
    <x v="0"/>
    <x v="176"/>
    <x v="213"/>
    <x v="174"/>
    <x v="176"/>
    <x v="213"/>
    <x v="174"/>
    <x v="0"/>
    <m/>
    <n v="26.7"/>
    <n v="199"/>
    <s v="0"/>
    <s v="0"/>
  </r>
  <r>
    <x v="480"/>
    <x v="381"/>
    <x v="334"/>
    <x v="2"/>
    <x v="3"/>
    <x v="0"/>
    <s v="C_"/>
    <x v="479"/>
    <x v="3"/>
    <x v="0"/>
    <x v="58"/>
    <x v="206"/>
    <x v="167"/>
    <x v="58"/>
    <x v="206"/>
    <x v="167"/>
    <x v="0"/>
    <m/>
    <n v="10.6"/>
    <n v="79"/>
    <s v="0"/>
    <s v="0"/>
  </r>
  <r>
    <x v="481"/>
    <x v="382"/>
    <x v="331"/>
    <x v="2"/>
    <x v="3"/>
    <x v="0"/>
    <s v="C_"/>
    <x v="480"/>
    <x v="3"/>
    <x v="0"/>
    <x v="159"/>
    <x v="193"/>
    <x v="154"/>
    <x v="159"/>
    <x v="193"/>
    <x v="154"/>
    <x v="0"/>
    <m/>
    <n v="9.6999999999999993"/>
    <n v="72.5"/>
    <s v="0"/>
    <s v="0"/>
  </r>
  <r>
    <x v="482"/>
    <x v="383"/>
    <x v="330"/>
    <x v="2"/>
    <x v="3"/>
    <x v="0"/>
    <s v="C_"/>
    <x v="481"/>
    <x v="3"/>
    <x v="0"/>
    <x v="177"/>
    <x v="214"/>
    <x v="175"/>
    <x v="177"/>
    <x v="214"/>
    <x v="175"/>
    <x v="0"/>
    <m/>
    <n v="36.799999999999997"/>
    <n v="274"/>
    <s v="0"/>
    <s v="0"/>
  </r>
  <r>
    <x v="483"/>
    <x v="384"/>
    <x v="331"/>
    <x v="2"/>
    <x v="3"/>
    <x v="0"/>
    <s v="C_"/>
    <x v="482"/>
    <x v="3"/>
    <x v="0"/>
    <x v="175"/>
    <x v="212"/>
    <x v="173"/>
    <x v="175"/>
    <x v="212"/>
    <x v="173"/>
    <x v="0"/>
    <m/>
    <n v="10.199999999999999"/>
    <n v="76"/>
    <s v="0"/>
    <s v="0"/>
  </r>
  <r>
    <x v="484"/>
    <x v="385"/>
    <x v="342"/>
    <x v="2"/>
    <x v="3"/>
    <x v="0"/>
    <s v="C_"/>
    <x v="483"/>
    <x v="3"/>
    <x v="0"/>
    <x v="13"/>
    <x v="215"/>
    <x v="176"/>
    <x v="13"/>
    <x v="215"/>
    <x v="176"/>
    <x v="0"/>
    <m/>
    <n v="19.899999999999999"/>
    <n v="148.5"/>
    <s v="0"/>
    <s v="0"/>
  </r>
  <r>
    <x v="485"/>
    <x v="386"/>
    <x v="343"/>
    <x v="2"/>
    <x v="3"/>
    <x v="0"/>
    <s v="C_"/>
    <x v="484"/>
    <x v="3"/>
    <x v="0"/>
    <x v="178"/>
    <x v="216"/>
    <x v="177"/>
    <x v="178"/>
    <x v="216"/>
    <x v="177"/>
    <x v="0"/>
    <m/>
    <n v="1.4"/>
    <n v="10.5"/>
    <s v="0"/>
    <s v="0"/>
  </r>
  <r>
    <x v="486"/>
    <x v="387"/>
    <x v="330"/>
    <x v="2"/>
    <x v="3"/>
    <x v="0"/>
    <s v="C_"/>
    <x v="485"/>
    <x v="3"/>
    <x v="0"/>
    <x v="16"/>
    <x v="217"/>
    <x v="178"/>
    <x v="16"/>
    <x v="217"/>
    <x v="178"/>
    <x v="0"/>
    <m/>
    <n v="44.9"/>
    <n v="334.5"/>
    <s v="0"/>
    <s v="0"/>
  </r>
  <r>
    <x v="487"/>
    <x v="388"/>
    <x v="342"/>
    <x v="2"/>
    <x v="3"/>
    <x v="0"/>
    <s v="C_"/>
    <x v="486"/>
    <x v="3"/>
    <x v="0"/>
    <x v="171"/>
    <x v="208"/>
    <x v="169"/>
    <x v="171"/>
    <x v="208"/>
    <x v="169"/>
    <x v="0"/>
    <m/>
    <n v="22"/>
    <n v="164"/>
    <s v="0"/>
    <s v="0"/>
  </r>
  <r>
    <x v="488"/>
    <x v="389"/>
    <x v="336"/>
    <x v="2"/>
    <x v="3"/>
    <x v="0"/>
    <s v="C_"/>
    <x v="487"/>
    <x v="3"/>
    <x v="0"/>
    <x v="179"/>
    <x v="218"/>
    <x v="179"/>
    <x v="179"/>
    <x v="218"/>
    <x v="179"/>
    <x v="0"/>
    <m/>
    <n v="4"/>
    <n v="30"/>
    <s v="0"/>
    <s v="0"/>
  </r>
  <r>
    <x v="489"/>
    <x v="390"/>
    <x v="327"/>
    <x v="2"/>
    <x v="3"/>
    <x v="0"/>
    <s v="C_"/>
    <x v="488"/>
    <x v="3"/>
    <x v="0"/>
    <x v="81"/>
    <x v="219"/>
    <x v="180"/>
    <x v="81"/>
    <x v="219"/>
    <x v="180"/>
    <x v="0"/>
    <m/>
    <n v="16.100000000000001"/>
    <n v="120"/>
    <s v="0"/>
    <s v="0"/>
  </r>
  <r>
    <x v="490"/>
    <x v="391"/>
    <x v="328"/>
    <x v="2"/>
    <x v="3"/>
    <x v="0"/>
    <s v="C_"/>
    <x v="489"/>
    <x v="3"/>
    <x v="0"/>
    <x v="165"/>
    <x v="199"/>
    <x v="160"/>
    <x v="165"/>
    <x v="199"/>
    <x v="160"/>
    <x v="0"/>
    <m/>
    <n v="16.899999999999999"/>
    <n v="126"/>
    <s v="0"/>
    <s v="0"/>
  </r>
  <r>
    <x v="491"/>
    <x v="392"/>
    <x v="118"/>
    <x v="2"/>
    <x v="3"/>
    <x v="0"/>
    <s v="C_"/>
    <x v="490"/>
    <x v="3"/>
    <x v="0"/>
    <x v="21"/>
    <x v="220"/>
    <x v="181"/>
    <x v="21"/>
    <x v="220"/>
    <x v="181"/>
    <x v="0"/>
    <m/>
    <n v="14"/>
    <n v="104.5"/>
    <s v="0"/>
    <s v="0"/>
  </r>
  <r>
    <x v="492"/>
    <x v="393"/>
    <x v="333"/>
    <x v="2"/>
    <x v="3"/>
    <x v="0"/>
    <s v="C_"/>
    <x v="491"/>
    <x v="3"/>
    <x v="0"/>
    <x v="180"/>
    <x v="221"/>
    <x v="17"/>
    <x v="180"/>
    <x v="221"/>
    <x v="17"/>
    <x v="0"/>
    <m/>
    <n v="14.4"/>
    <n v="107.5"/>
    <s v="0"/>
    <s v="0"/>
  </r>
  <r>
    <x v="493"/>
    <x v="394"/>
    <x v="337"/>
    <x v="2"/>
    <x v="3"/>
    <x v="0"/>
    <s v="C_"/>
    <x v="492"/>
    <x v="3"/>
    <x v="0"/>
    <x v="181"/>
    <x v="222"/>
    <x v="182"/>
    <x v="181"/>
    <x v="222"/>
    <x v="182"/>
    <x v="0"/>
    <m/>
    <n v="36"/>
    <n v="268"/>
    <s v="0"/>
    <s v="0"/>
  </r>
  <r>
    <x v="494"/>
    <x v="395"/>
    <x v="334"/>
    <x v="2"/>
    <x v="3"/>
    <x v="0"/>
    <s v="C_"/>
    <x v="493"/>
    <x v="3"/>
    <x v="0"/>
    <x v="182"/>
    <x v="223"/>
    <x v="61"/>
    <x v="182"/>
    <x v="223"/>
    <x v="61"/>
    <x v="0"/>
    <m/>
    <n v="13.5"/>
    <n v="100.5"/>
    <s v="0"/>
    <s v="0"/>
  </r>
  <r>
    <x v="495"/>
    <x v="396"/>
    <x v="331"/>
    <x v="2"/>
    <x v="3"/>
    <x v="0"/>
    <s v="C_"/>
    <x v="494"/>
    <x v="3"/>
    <x v="0"/>
    <x v="114"/>
    <x v="224"/>
    <x v="183"/>
    <x v="114"/>
    <x v="224"/>
    <x v="183"/>
    <x v="0"/>
    <m/>
    <n v="12.1"/>
    <n v="90.5"/>
    <s v="0"/>
    <s v="0"/>
  </r>
  <r>
    <x v="496"/>
    <x v="397"/>
    <x v="344"/>
    <x v="2"/>
    <x v="3"/>
    <x v="0"/>
    <s v="C_"/>
    <x v="495"/>
    <x v="3"/>
    <x v="0"/>
    <x v="156"/>
    <x v="189"/>
    <x v="150"/>
    <x v="156"/>
    <x v="189"/>
    <x v="150"/>
    <x v="0"/>
    <m/>
    <n v="4.2"/>
    <n v="31.5"/>
    <s v="0"/>
    <s v="0"/>
  </r>
  <r>
    <x v="497"/>
    <x v="398"/>
    <x v="332"/>
    <x v="2"/>
    <x v="3"/>
    <x v="0"/>
    <s v="C_"/>
    <x v="496"/>
    <x v="3"/>
    <x v="0"/>
    <x v="183"/>
    <x v="225"/>
    <x v="184"/>
    <x v="183"/>
    <x v="225"/>
    <x v="184"/>
    <x v="0"/>
    <m/>
    <n v="0.8"/>
    <n v="6"/>
    <s v="0"/>
    <s v="0"/>
  </r>
  <r>
    <x v="498"/>
    <x v="399"/>
    <x v="329"/>
    <x v="2"/>
    <x v="3"/>
    <x v="0"/>
    <s v="C_"/>
    <x v="497"/>
    <x v="3"/>
    <x v="0"/>
    <x v="174"/>
    <x v="211"/>
    <x v="172"/>
    <x v="174"/>
    <x v="211"/>
    <x v="172"/>
    <x v="0"/>
    <m/>
    <n v="11.4"/>
    <n v="85"/>
    <s v="0"/>
    <s v="0"/>
  </r>
  <r>
    <x v="499"/>
    <x v="400"/>
    <x v="333"/>
    <x v="2"/>
    <x v="3"/>
    <x v="0"/>
    <s v="C_"/>
    <x v="498"/>
    <x v="3"/>
    <x v="0"/>
    <x v="184"/>
    <x v="226"/>
    <x v="185"/>
    <x v="184"/>
    <x v="226"/>
    <x v="185"/>
    <x v="0"/>
    <m/>
    <n v="5.3"/>
    <n v="39.5"/>
    <s v="0"/>
    <s v="0"/>
  </r>
  <r>
    <x v="500"/>
    <x v="401"/>
    <x v="330"/>
    <x v="2"/>
    <x v="3"/>
    <x v="0"/>
    <s v="C_"/>
    <x v="499"/>
    <x v="3"/>
    <x v="0"/>
    <x v="63"/>
    <x v="227"/>
    <x v="186"/>
    <x v="63"/>
    <x v="227"/>
    <x v="186"/>
    <x v="0"/>
    <m/>
    <n v="5.9"/>
    <n v="44"/>
    <s v="0"/>
    <s v="0"/>
  </r>
  <r>
    <x v="501"/>
    <x v="402"/>
    <x v="345"/>
    <x v="2"/>
    <x v="3"/>
    <x v="0"/>
    <s v="C_"/>
    <x v="500"/>
    <x v="3"/>
    <x v="0"/>
    <x v="185"/>
    <x v="228"/>
    <x v="187"/>
    <x v="185"/>
    <x v="228"/>
    <x v="187"/>
    <x v="0"/>
    <m/>
    <n v="16.5"/>
    <n v="123"/>
    <s v="0"/>
    <s v="0"/>
  </r>
  <r>
    <x v="502"/>
    <x v="403"/>
    <x v="346"/>
    <x v="2"/>
    <x v="3"/>
    <x v="0"/>
    <s v="C_"/>
    <x v="501"/>
    <x v="3"/>
    <x v="0"/>
    <x v="186"/>
    <x v="229"/>
    <x v="188"/>
    <x v="186"/>
    <x v="229"/>
    <x v="188"/>
    <x v="0"/>
    <m/>
    <n v="17.399999999999999"/>
    <n v="129.5"/>
    <s v="0"/>
    <s v="0"/>
  </r>
  <r>
    <x v="503"/>
    <x v="404"/>
    <x v="347"/>
    <x v="2"/>
    <x v="3"/>
    <x v="0"/>
    <s v="C_"/>
    <x v="502"/>
    <x v="3"/>
    <x v="0"/>
    <x v="155"/>
    <x v="188"/>
    <x v="149"/>
    <x v="155"/>
    <x v="188"/>
    <x v="149"/>
    <x v="0"/>
    <m/>
    <n v="1.1000000000000001"/>
    <n v="8.5"/>
    <s v="0"/>
    <s v="0"/>
  </r>
  <r>
    <x v="504"/>
    <x v="405"/>
    <x v="348"/>
    <x v="2"/>
    <x v="3"/>
    <x v="0"/>
    <s v="C_"/>
    <x v="503"/>
    <x v="3"/>
    <x v="0"/>
    <x v="187"/>
    <x v="230"/>
    <x v="189"/>
    <x v="187"/>
    <x v="230"/>
    <x v="189"/>
    <x v="0"/>
    <m/>
    <n v="6.8"/>
    <n v="51"/>
    <s v="0"/>
    <s v="0"/>
  </r>
  <r>
    <x v="505"/>
    <x v="406"/>
    <x v="330"/>
    <x v="2"/>
    <x v="3"/>
    <x v="0"/>
    <s v="C_"/>
    <x v="504"/>
    <x v="3"/>
    <x v="0"/>
    <x v="188"/>
    <x v="231"/>
    <x v="190"/>
    <x v="188"/>
    <x v="231"/>
    <x v="190"/>
    <x v="0"/>
    <m/>
    <n v="7.8"/>
    <n v="58.5"/>
    <s v="0"/>
    <s v="0"/>
  </r>
  <r>
    <x v="506"/>
    <x v="407"/>
    <x v="332"/>
    <x v="2"/>
    <x v="3"/>
    <x v="0"/>
    <s v="C_"/>
    <x v="505"/>
    <x v="3"/>
    <x v="0"/>
    <x v="183"/>
    <x v="225"/>
    <x v="184"/>
    <x v="183"/>
    <x v="225"/>
    <x v="184"/>
    <x v="0"/>
    <m/>
    <n v="0.8"/>
    <n v="6"/>
    <s v="0"/>
    <s v="0"/>
  </r>
  <r>
    <x v="507"/>
    <x v="408"/>
    <x v="345"/>
    <x v="2"/>
    <x v="3"/>
    <x v="0"/>
    <s v="C_"/>
    <x v="506"/>
    <x v="3"/>
    <x v="0"/>
    <x v="30"/>
    <x v="203"/>
    <x v="164"/>
    <x v="30"/>
    <x v="203"/>
    <x v="164"/>
    <x v="0"/>
    <m/>
    <n v="8.5"/>
    <n v="63.5"/>
    <s v="0"/>
    <s v="0"/>
  </r>
  <r>
    <x v="508"/>
    <x v="409"/>
    <x v="33"/>
    <x v="2"/>
    <x v="3"/>
    <x v="0"/>
    <s v="C_"/>
    <x v="507"/>
    <x v="3"/>
    <x v="0"/>
    <x v="183"/>
    <x v="225"/>
    <x v="184"/>
    <x v="183"/>
    <x v="225"/>
    <x v="184"/>
    <x v="0"/>
    <m/>
    <n v="0.8"/>
    <n v="6"/>
    <s v="0"/>
    <s v="0"/>
  </r>
  <r>
    <x v="509"/>
    <x v="410"/>
    <x v="346"/>
    <x v="2"/>
    <x v="3"/>
    <x v="0"/>
    <s v="C_"/>
    <x v="508"/>
    <x v="3"/>
    <x v="0"/>
    <x v="22"/>
    <x v="232"/>
    <x v="191"/>
    <x v="22"/>
    <x v="232"/>
    <x v="191"/>
    <x v="0"/>
    <m/>
    <n v="11.9"/>
    <n v="89"/>
    <s v="0"/>
    <s v="0"/>
  </r>
  <r>
    <x v="510"/>
    <x v="411"/>
    <x v="330"/>
    <x v="2"/>
    <x v="3"/>
    <x v="0"/>
    <s v="C_"/>
    <x v="509"/>
    <x v="3"/>
    <x v="0"/>
    <x v="189"/>
    <x v="233"/>
    <x v="192"/>
    <x v="189"/>
    <x v="233"/>
    <x v="192"/>
    <x v="0"/>
    <m/>
    <n v="6.1"/>
    <n v="45.5"/>
    <s v="0"/>
    <s v="0"/>
  </r>
  <r>
    <x v="511"/>
    <x v="412"/>
    <x v="349"/>
    <x v="2"/>
    <x v="3"/>
    <x v="0"/>
    <s v="C_"/>
    <x v="510"/>
    <x v="3"/>
    <x v="0"/>
    <x v="158"/>
    <x v="191"/>
    <x v="152"/>
    <x v="158"/>
    <x v="191"/>
    <x v="152"/>
    <x v="0"/>
    <m/>
    <n v="1.7"/>
    <n v="13"/>
    <s v="0"/>
    <s v="0"/>
  </r>
  <r>
    <x v="512"/>
    <x v="413"/>
    <x v="350"/>
    <x v="2"/>
    <x v="3"/>
    <x v="0"/>
    <s v="C_"/>
    <x v="511"/>
    <x v="3"/>
    <x v="0"/>
    <x v="161"/>
    <x v="195"/>
    <x v="156"/>
    <x v="161"/>
    <x v="195"/>
    <x v="156"/>
    <x v="0"/>
    <m/>
    <n v="0.5"/>
    <n v="4"/>
    <s v="0"/>
    <s v="0"/>
  </r>
  <r>
    <x v="513"/>
    <x v="414"/>
    <x v="329"/>
    <x v="2"/>
    <x v="3"/>
    <x v="0"/>
    <s v="C_"/>
    <x v="512"/>
    <x v="3"/>
    <x v="0"/>
    <x v="113"/>
    <x v="234"/>
    <x v="193"/>
    <x v="113"/>
    <x v="234"/>
    <x v="193"/>
    <x v="0"/>
    <m/>
    <n v="10.4"/>
    <n v="77.5"/>
    <s v="0"/>
    <s v="0"/>
  </r>
  <r>
    <x v="514"/>
    <x v="415"/>
    <x v="330"/>
    <x v="2"/>
    <x v="3"/>
    <x v="0"/>
    <s v="C_"/>
    <x v="513"/>
    <x v="3"/>
    <x v="0"/>
    <x v="63"/>
    <x v="227"/>
    <x v="186"/>
    <x v="63"/>
    <x v="227"/>
    <x v="186"/>
    <x v="0"/>
    <m/>
    <n v="5.9"/>
    <n v="44"/>
    <s v="0"/>
    <s v="0"/>
  </r>
  <r>
    <x v="515"/>
    <x v="416"/>
    <x v="351"/>
    <x v="2"/>
    <x v="3"/>
    <x v="0"/>
    <s v="C_"/>
    <x v="514"/>
    <x v="3"/>
    <x v="0"/>
    <x v="58"/>
    <x v="206"/>
    <x v="167"/>
    <x v="58"/>
    <x v="206"/>
    <x v="167"/>
    <x v="0"/>
    <m/>
    <n v="10.6"/>
    <n v="79"/>
    <s v="0"/>
    <s v="0"/>
  </r>
  <r>
    <x v="516"/>
    <x v="417"/>
    <x v="349"/>
    <x v="2"/>
    <x v="3"/>
    <x v="0"/>
    <s v="C_"/>
    <x v="515"/>
    <x v="3"/>
    <x v="0"/>
    <x v="60"/>
    <x v="202"/>
    <x v="163"/>
    <x v="60"/>
    <x v="202"/>
    <x v="163"/>
    <x v="0"/>
    <m/>
    <n v="2.1"/>
    <n v="16"/>
    <s v="0"/>
    <s v="0"/>
  </r>
  <r>
    <x v="517"/>
    <x v="418"/>
    <x v="350"/>
    <x v="2"/>
    <x v="3"/>
    <x v="0"/>
    <s v="C_"/>
    <x v="516"/>
    <x v="3"/>
    <x v="0"/>
    <x v="161"/>
    <x v="195"/>
    <x v="156"/>
    <x v="161"/>
    <x v="195"/>
    <x v="156"/>
    <x v="0"/>
    <m/>
    <n v="0.5"/>
    <n v="4"/>
    <s v="0"/>
    <s v="0"/>
  </r>
  <r>
    <x v="518"/>
    <x v="419"/>
    <x v="329"/>
    <x v="2"/>
    <x v="3"/>
    <x v="0"/>
    <s v="C_"/>
    <x v="517"/>
    <x v="3"/>
    <x v="0"/>
    <x v="190"/>
    <x v="235"/>
    <x v="194"/>
    <x v="190"/>
    <x v="235"/>
    <x v="194"/>
    <x v="0"/>
    <m/>
    <n v="11"/>
    <n v="82"/>
    <s v="0"/>
    <s v="0"/>
  </r>
  <r>
    <x v="519"/>
    <x v="420"/>
    <x v="330"/>
    <x v="2"/>
    <x v="3"/>
    <x v="0"/>
    <s v="C_"/>
    <x v="518"/>
    <x v="3"/>
    <x v="0"/>
    <x v="191"/>
    <x v="236"/>
    <x v="195"/>
    <x v="191"/>
    <x v="236"/>
    <x v="195"/>
    <x v="0"/>
    <m/>
    <n v="7.6"/>
    <n v="57"/>
    <s v="0"/>
    <s v="0"/>
  </r>
  <r>
    <x v="520"/>
    <x v="421"/>
    <x v="351"/>
    <x v="2"/>
    <x v="3"/>
    <x v="0"/>
    <s v="C_"/>
    <x v="519"/>
    <x v="3"/>
    <x v="0"/>
    <x v="76"/>
    <x v="237"/>
    <x v="196"/>
    <x v="76"/>
    <x v="237"/>
    <x v="196"/>
    <x v="0"/>
    <m/>
    <n v="11.6"/>
    <n v="86.5"/>
    <s v="0"/>
    <s v="0"/>
  </r>
  <r>
    <x v="521"/>
    <x v="422"/>
    <x v="352"/>
    <x v="2"/>
    <x v="3"/>
    <x v="0"/>
    <s v="C_"/>
    <x v="520"/>
    <x v="3"/>
    <x v="0"/>
    <x v="192"/>
    <x v="238"/>
    <x v="197"/>
    <x v="192"/>
    <x v="238"/>
    <x v="197"/>
    <x v="0"/>
    <m/>
    <n v="2.8"/>
    <n v="21"/>
    <s v="0"/>
    <s v="0"/>
  </r>
  <r>
    <x v="522"/>
    <x v="423"/>
    <x v="331"/>
    <x v="2"/>
    <x v="3"/>
    <x v="0"/>
    <s v="C_"/>
    <x v="521"/>
    <x v="3"/>
    <x v="0"/>
    <x v="57"/>
    <x v="239"/>
    <x v="198"/>
    <x v="57"/>
    <x v="239"/>
    <x v="198"/>
    <x v="0"/>
    <m/>
    <n v="2.5"/>
    <n v="19"/>
    <s v="0"/>
    <s v="0"/>
  </r>
  <r>
    <x v="523"/>
    <x v="424"/>
    <x v="353"/>
    <x v="2"/>
    <x v="3"/>
    <x v="0"/>
    <s v="C_"/>
    <x v="522"/>
    <x v="3"/>
    <x v="0"/>
    <x v="193"/>
    <x v="240"/>
    <x v="199"/>
    <x v="193"/>
    <x v="240"/>
    <x v="199"/>
    <x v="0"/>
    <m/>
    <n v="18.2"/>
    <n v="135.5"/>
    <s v="0"/>
    <s v="0"/>
  </r>
  <r>
    <x v="524"/>
    <x v="425"/>
    <x v="354"/>
    <x v="2"/>
    <x v="3"/>
    <x v="0"/>
    <s v="C_"/>
    <x v="523"/>
    <x v="3"/>
    <x v="0"/>
    <x v="164"/>
    <x v="198"/>
    <x v="159"/>
    <x v="164"/>
    <x v="198"/>
    <x v="159"/>
    <x v="0"/>
    <m/>
    <n v="3.4"/>
    <n v="25.5"/>
    <s v="0"/>
    <s v="0"/>
  </r>
  <r>
    <x v="525"/>
    <x v="426"/>
    <x v="33"/>
    <x v="2"/>
    <x v="3"/>
    <x v="0"/>
    <s v="C_"/>
    <x v="524"/>
    <x v="3"/>
    <x v="0"/>
    <x v="178"/>
    <x v="216"/>
    <x v="177"/>
    <x v="178"/>
    <x v="216"/>
    <x v="177"/>
    <x v="0"/>
    <m/>
    <n v="1.4"/>
    <n v="10.5"/>
    <s v="0"/>
    <s v="0"/>
  </r>
  <r>
    <x v="526"/>
    <x v="427"/>
    <x v="330"/>
    <x v="2"/>
    <x v="3"/>
    <x v="0"/>
    <s v="C_"/>
    <x v="525"/>
    <x v="3"/>
    <x v="0"/>
    <x v="191"/>
    <x v="236"/>
    <x v="195"/>
    <x v="191"/>
    <x v="236"/>
    <x v="195"/>
    <x v="0"/>
    <m/>
    <n v="7.6"/>
    <n v="57"/>
    <s v="0"/>
    <s v="0"/>
  </r>
  <r>
    <x v="527"/>
    <x v="428"/>
    <x v="355"/>
    <x v="7"/>
    <x v="3"/>
    <x v="9"/>
    <s v="MAGNEFIX"/>
    <x v="526"/>
    <x v="9"/>
    <x v="0"/>
    <x v="194"/>
    <x v="241"/>
    <x v="200"/>
    <x v="194"/>
    <x v="241"/>
    <x v="200"/>
    <x v="0"/>
    <n v="27.7"/>
    <n v="29.5"/>
    <n v="220.9"/>
    <s v="0"/>
    <s v="0"/>
  </r>
  <r>
    <x v="528"/>
    <x v="429"/>
    <x v="356"/>
    <x v="7"/>
    <x v="3"/>
    <x v="9"/>
    <s v="MAGNEFIX"/>
    <x v="527"/>
    <x v="9"/>
    <x v="0"/>
    <x v="195"/>
    <x v="242"/>
    <x v="201"/>
    <x v="195"/>
    <x v="242"/>
    <x v="201"/>
    <x v="0"/>
    <n v="28.7"/>
    <n v="30.6"/>
    <n v="227.9"/>
    <s v="0"/>
    <s v="0"/>
  </r>
  <r>
    <x v="529"/>
    <x v="430"/>
    <x v="357"/>
    <x v="7"/>
    <x v="3"/>
    <x v="9"/>
    <s v="MAGNEFIX"/>
    <x v="528"/>
    <x v="9"/>
    <x v="0"/>
    <x v="195"/>
    <x v="242"/>
    <x v="201"/>
    <x v="195"/>
    <x v="242"/>
    <x v="201"/>
    <x v="0"/>
    <n v="28.7"/>
    <n v="30.6"/>
    <n v="227.9"/>
    <s v="0"/>
    <s v="0"/>
  </r>
  <r>
    <x v="530"/>
    <x v="431"/>
    <x v="358"/>
    <x v="7"/>
    <x v="3"/>
    <x v="9"/>
    <s v="MAGNEFIX"/>
    <x v="529"/>
    <x v="9"/>
    <x v="0"/>
    <x v="196"/>
    <x v="243"/>
    <x v="202"/>
    <x v="196"/>
    <x v="243"/>
    <x v="202"/>
    <x v="0"/>
    <n v="29.8"/>
    <n v="31.7"/>
    <n v="235.9"/>
    <s v="0"/>
    <s v="0"/>
  </r>
  <r>
    <x v="531"/>
    <x v="432"/>
    <x v="359"/>
    <x v="7"/>
    <x v="3"/>
    <x v="9"/>
    <s v="MAGNEFIX"/>
    <x v="530"/>
    <x v="9"/>
    <x v="0"/>
    <x v="196"/>
    <x v="243"/>
    <x v="203"/>
    <x v="196"/>
    <x v="243"/>
    <x v="203"/>
    <x v="0"/>
    <n v="29.8"/>
    <n v="31.7"/>
    <n v="235.9"/>
    <s v="0"/>
    <s v="0"/>
  </r>
  <r>
    <x v="532"/>
    <x v="433"/>
    <x v="360"/>
    <x v="7"/>
    <x v="3"/>
    <x v="9"/>
    <s v="MAGNEFIX"/>
    <x v="531"/>
    <x v="9"/>
    <x v="0"/>
    <x v="141"/>
    <x v="244"/>
    <x v="204"/>
    <x v="141"/>
    <x v="244"/>
    <x v="204"/>
    <x v="0"/>
    <n v="31.8"/>
    <n v="33.9"/>
    <n v="252.9"/>
    <s v="0"/>
    <s v="0"/>
  </r>
  <r>
    <x v="533"/>
    <x v="434"/>
    <x v="361"/>
    <x v="7"/>
    <x v="3"/>
    <x v="9"/>
    <s v="MAGNEFIX"/>
    <x v="532"/>
    <x v="9"/>
    <x v="0"/>
    <x v="141"/>
    <x v="244"/>
    <x v="204"/>
    <x v="141"/>
    <x v="244"/>
    <x v="204"/>
    <x v="0"/>
    <n v="31.8"/>
    <n v="33.9"/>
    <n v="252.9"/>
    <s v="0"/>
    <s v="0"/>
  </r>
  <r>
    <x v="534"/>
    <x v="435"/>
    <x v="362"/>
    <x v="7"/>
    <x v="3"/>
    <x v="9"/>
    <s v="MAGNEFIX"/>
    <x v="533"/>
    <x v="9"/>
    <x v="0"/>
    <x v="196"/>
    <x v="243"/>
    <x v="205"/>
    <x v="196"/>
    <x v="243"/>
    <x v="205"/>
    <x v="0"/>
    <n v="29.8"/>
    <n v="31.7"/>
    <n v="235.9"/>
    <s v="0"/>
    <s v="0"/>
  </r>
  <r>
    <x v="535"/>
    <x v="436"/>
    <x v="363"/>
    <x v="7"/>
    <x v="3"/>
    <x v="9"/>
    <s v="MAGNEFIX"/>
    <x v="534"/>
    <x v="9"/>
    <x v="0"/>
    <x v="141"/>
    <x v="244"/>
    <x v="204"/>
    <x v="141"/>
    <x v="244"/>
    <x v="204"/>
    <x v="0"/>
    <n v="31.8"/>
    <n v="33.9"/>
    <n v="252.9"/>
    <s v="0"/>
    <s v="0"/>
  </r>
  <r>
    <x v="536"/>
    <x v="437"/>
    <x v="364"/>
    <x v="7"/>
    <x v="3"/>
    <x v="9"/>
    <s v="MAGNEFIX"/>
    <x v="535"/>
    <x v="9"/>
    <x v="0"/>
    <x v="141"/>
    <x v="244"/>
    <x v="204"/>
    <x v="141"/>
    <x v="244"/>
    <x v="204"/>
    <x v="0"/>
    <n v="31.8"/>
    <n v="33.9"/>
    <n v="252.9"/>
    <s v="0"/>
    <s v="0"/>
  </r>
  <r>
    <x v="537"/>
    <x v="438"/>
    <x v="365"/>
    <x v="7"/>
    <x v="3"/>
    <x v="9"/>
    <s v="MAGNEFIX"/>
    <x v="536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38"/>
    <x v="439"/>
    <x v="366"/>
    <x v="7"/>
    <x v="3"/>
    <x v="9"/>
    <s v="MAGNEFIX"/>
    <x v="537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39"/>
    <x v="440"/>
    <x v="367"/>
    <x v="7"/>
    <x v="3"/>
    <x v="9"/>
    <s v="MAGNEFIX"/>
    <x v="538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0"/>
    <x v="441"/>
    <x v="368"/>
    <x v="7"/>
    <x v="3"/>
    <x v="9"/>
    <s v="MAGNEFIX"/>
    <x v="539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1"/>
    <x v="442"/>
    <x v="369"/>
    <x v="7"/>
    <x v="3"/>
    <x v="9"/>
    <s v="MAGNEFIX"/>
    <x v="540"/>
    <x v="9"/>
    <x v="0"/>
    <x v="196"/>
    <x v="243"/>
    <x v="205"/>
    <x v="196"/>
    <x v="243"/>
    <x v="205"/>
    <x v="0"/>
    <n v="29.8"/>
    <n v="31.7"/>
    <n v="235.9"/>
    <s v="0"/>
    <s v="0"/>
  </r>
  <r>
    <x v="542"/>
    <x v="443"/>
    <x v="370"/>
    <x v="7"/>
    <x v="3"/>
    <x v="9"/>
    <s v="MAGNEFIX"/>
    <x v="541"/>
    <x v="9"/>
    <x v="0"/>
    <x v="141"/>
    <x v="244"/>
    <x v="204"/>
    <x v="141"/>
    <x v="244"/>
    <x v="204"/>
    <x v="0"/>
    <n v="31.8"/>
    <n v="33.9"/>
    <n v="252.9"/>
    <s v="0"/>
    <s v="0"/>
  </r>
  <r>
    <x v="543"/>
    <x v="444"/>
    <x v="371"/>
    <x v="7"/>
    <x v="3"/>
    <x v="9"/>
    <s v="MAGNEFIX"/>
    <x v="542"/>
    <x v="9"/>
    <x v="0"/>
    <x v="141"/>
    <x v="244"/>
    <x v="42"/>
    <x v="141"/>
    <x v="244"/>
    <x v="42"/>
    <x v="0"/>
    <n v="31.8"/>
    <n v="33.9"/>
    <n v="252.9"/>
    <s v="0"/>
    <s v="0"/>
  </r>
  <r>
    <x v="544"/>
    <x v="445"/>
    <x v="372"/>
    <x v="7"/>
    <x v="3"/>
    <x v="9"/>
    <s v="MAGNEFIX"/>
    <x v="543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5"/>
    <x v="446"/>
    <x v="373"/>
    <x v="7"/>
    <x v="3"/>
    <x v="9"/>
    <s v="MAGNEFIX"/>
    <x v="544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6"/>
    <x v="447"/>
    <x v="374"/>
    <x v="7"/>
    <x v="3"/>
    <x v="9"/>
    <s v="MAGNEFIX"/>
    <x v="545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7"/>
    <x v="448"/>
    <x v="375"/>
    <x v="7"/>
    <x v="3"/>
    <x v="9"/>
    <s v="MAGNEFIX"/>
    <x v="546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48"/>
    <x v="449"/>
    <x v="376"/>
    <x v="7"/>
    <x v="3"/>
    <x v="9"/>
    <s v="MAGNEFIX"/>
    <x v="547"/>
    <x v="9"/>
    <x v="0"/>
    <x v="198"/>
    <x v="246"/>
    <x v="175"/>
    <x v="198"/>
    <x v="246"/>
    <x v="175"/>
    <x v="0"/>
    <n v="32.9"/>
    <n v="35"/>
    <n v="260.89999999999998"/>
    <s v="0"/>
    <s v="0"/>
  </r>
  <r>
    <x v="549"/>
    <x v="450"/>
    <x v="377"/>
    <x v="7"/>
    <x v="3"/>
    <x v="9"/>
    <s v="MAGNEFIX"/>
    <x v="548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50"/>
    <x v="451"/>
    <x v="378"/>
    <x v="7"/>
    <x v="3"/>
    <x v="9"/>
    <s v="MAGNEFIX"/>
    <x v="549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51"/>
    <x v="452"/>
    <x v="379"/>
    <x v="7"/>
    <x v="3"/>
    <x v="9"/>
    <s v="MAGNEFIX"/>
    <x v="550"/>
    <x v="9"/>
    <x v="0"/>
    <x v="199"/>
    <x v="247"/>
    <x v="207"/>
    <x v="199"/>
    <x v="247"/>
    <x v="207"/>
    <x v="0"/>
    <n v="37"/>
    <n v="39.4"/>
    <n v="293.89999999999998"/>
    <s v="0"/>
    <s v="0"/>
  </r>
  <r>
    <x v="552"/>
    <x v="453"/>
    <x v="380"/>
    <x v="7"/>
    <x v="3"/>
    <x v="9"/>
    <s v="MAGNEFIX"/>
    <x v="551"/>
    <x v="9"/>
    <x v="0"/>
    <x v="199"/>
    <x v="247"/>
    <x v="207"/>
    <x v="199"/>
    <x v="247"/>
    <x v="207"/>
    <x v="0"/>
    <n v="37"/>
    <n v="39.4"/>
    <n v="293.89999999999998"/>
    <s v="0"/>
    <s v="0"/>
  </r>
  <r>
    <x v="553"/>
    <x v="454"/>
    <x v="381"/>
    <x v="7"/>
    <x v="3"/>
    <x v="9"/>
    <s v="MAGNEFIX"/>
    <x v="552"/>
    <x v="9"/>
    <x v="0"/>
    <x v="200"/>
    <x v="248"/>
    <x v="208"/>
    <x v="200"/>
    <x v="248"/>
    <x v="208"/>
    <x v="0"/>
    <n v="38"/>
    <n v="40.5"/>
    <n v="301.89999999999998"/>
    <s v="0"/>
    <s v="0"/>
  </r>
  <r>
    <x v="554"/>
    <x v="455"/>
    <x v="382"/>
    <x v="7"/>
    <x v="3"/>
    <x v="9"/>
    <s v="MAGNEFIX"/>
    <x v="553"/>
    <x v="9"/>
    <x v="0"/>
    <x v="200"/>
    <x v="248"/>
    <x v="208"/>
    <x v="200"/>
    <x v="248"/>
    <x v="208"/>
    <x v="0"/>
    <n v="38"/>
    <n v="40.5"/>
    <n v="301.89999999999998"/>
    <s v="0"/>
    <s v="0"/>
  </r>
  <r>
    <x v="555"/>
    <x v="456"/>
    <x v="383"/>
    <x v="7"/>
    <x v="3"/>
    <x v="9"/>
    <s v="MAGNEFIX"/>
    <x v="554"/>
    <x v="9"/>
    <x v="0"/>
    <x v="196"/>
    <x v="243"/>
    <x v="205"/>
    <x v="196"/>
    <x v="243"/>
    <x v="205"/>
    <x v="0"/>
    <n v="29.8"/>
    <n v="31.7"/>
    <n v="235.9"/>
    <s v="0"/>
    <s v="0"/>
  </r>
  <r>
    <x v="556"/>
    <x v="457"/>
    <x v="384"/>
    <x v="7"/>
    <x v="3"/>
    <x v="9"/>
    <s v="MAGNEFIX"/>
    <x v="555"/>
    <x v="9"/>
    <x v="0"/>
    <x v="201"/>
    <x v="249"/>
    <x v="204"/>
    <x v="201"/>
    <x v="249"/>
    <x v="204"/>
    <x v="0"/>
    <n v="31.9"/>
    <n v="34"/>
    <n v="253.9"/>
    <s v="0"/>
    <s v="0"/>
  </r>
  <r>
    <x v="557"/>
    <x v="458"/>
    <x v="385"/>
    <x v="7"/>
    <x v="3"/>
    <x v="9"/>
    <s v="MAGNEFIX"/>
    <x v="556"/>
    <x v="9"/>
    <x v="0"/>
    <x v="202"/>
    <x v="246"/>
    <x v="175"/>
    <x v="202"/>
    <x v="246"/>
    <x v="175"/>
    <x v="0"/>
    <n v="32.9"/>
    <n v="35.1"/>
    <n v="260.89999999999998"/>
    <s v="0"/>
    <s v="0"/>
  </r>
  <r>
    <x v="558"/>
    <x v="459"/>
    <x v="386"/>
    <x v="7"/>
    <x v="3"/>
    <x v="9"/>
    <s v="MAGNEFIX"/>
    <x v="557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59"/>
    <x v="460"/>
    <x v="387"/>
    <x v="7"/>
    <x v="3"/>
    <x v="9"/>
    <s v="MAGNEFIX"/>
    <x v="558"/>
    <x v="9"/>
    <x v="0"/>
    <x v="196"/>
    <x v="243"/>
    <x v="203"/>
    <x v="196"/>
    <x v="243"/>
    <x v="203"/>
    <x v="0"/>
    <n v="29.8"/>
    <n v="31.7"/>
    <n v="235.9"/>
    <s v="0"/>
    <s v="0"/>
  </r>
  <r>
    <x v="560"/>
    <x v="461"/>
    <x v="388"/>
    <x v="7"/>
    <x v="3"/>
    <x v="9"/>
    <s v="MAGNEFIX"/>
    <x v="559"/>
    <x v="9"/>
    <x v="0"/>
    <x v="141"/>
    <x v="244"/>
    <x v="204"/>
    <x v="141"/>
    <x v="244"/>
    <x v="204"/>
    <x v="0"/>
    <n v="31.8"/>
    <n v="33.9"/>
    <n v="252.9"/>
    <s v="0"/>
    <s v="0"/>
  </r>
  <r>
    <x v="561"/>
    <x v="462"/>
    <x v="389"/>
    <x v="7"/>
    <x v="3"/>
    <x v="9"/>
    <s v="MAGNEFIX"/>
    <x v="560"/>
    <x v="9"/>
    <x v="0"/>
    <x v="202"/>
    <x v="246"/>
    <x v="175"/>
    <x v="202"/>
    <x v="246"/>
    <x v="175"/>
    <x v="0"/>
    <n v="32.9"/>
    <n v="35.1"/>
    <n v="260.89999999999998"/>
    <s v="0"/>
    <s v="0"/>
  </r>
  <r>
    <x v="562"/>
    <x v="463"/>
    <x v="390"/>
    <x v="7"/>
    <x v="3"/>
    <x v="9"/>
    <s v="MAGNEFIX"/>
    <x v="561"/>
    <x v="9"/>
    <x v="0"/>
    <x v="197"/>
    <x v="245"/>
    <x v="206"/>
    <x v="197"/>
    <x v="245"/>
    <x v="206"/>
    <x v="0"/>
    <n v="34.9"/>
    <n v="37.200000000000003"/>
    <n v="277.89999999999998"/>
    <s v="0"/>
    <s v="0"/>
  </r>
  <r>
    <x v="563"/>
    <x v="464"/>
    <x v="391"/>
    <x v="7"/>
    <x v="3"/>
    <x v="9"/>
    <s v="MAGNEFIX"/>
    <x v="562"/>
    <x v="3"/>
    <x v="0"/>
    <x v="203"/>
    <x v="250"/>
    <x v="209"/>
    <x v="203"/>
    <x v="250"/>
    <x v="209"/>
    <x v="0"/>
    <n v="118.4"/>
    <n v="129.5"/>
    <n v="963.9"/>
    <s v="0"/>
    <s v="0"/>
  </r>
  <r>
    <x v="564"/>
    <x v="465"/>
    <x v="391"/>
    <x v="7"/>
    <x v="3"/>
    <x v="9"/>
    <s v="MAGNEFIX"/>
    <x v="563"/>
    <x v="3"/>
    <x v="0"/>
    <x v="204"/>
    <x v="251"/>
    <x v="210"/>
    <x v="204"/>
    <x v="251"/>
    <x v="210"/>
    <x v="0"/>
    <n v="120.4"/>
    <n v="128.30000000000001"/>
    <n v="955.9"/>
    <s v="0"/>
    <s v="0"/>
  </r>
  <r>
    <x v="565"/>
    <x v="466"/>
    <x v="391"/>
    <x v="7"/>
    <x v="3"/>
    <x v="9"/>
    <s v="MAGNEFIX"/>
    <x v="564"/>
    <x v="3"/>
    <x v="0"/>
    <x v="204"/>
    <x v="251"/>
    <x v="210"/>
    <x v="204"/>
    <x v="251"/>
    <x v="210"/>
    <x v="0"/>
    <n v="120.4"/>
    <n v="128.30000000000001"/>
    <n v="955.9"/>
    <s v="0"/>
    <s v="0"/>
  </r>
  <r>
    <x v="566"/>
    <x v="467"/>
    <x v="391"/>
    <x v="7"/>
    <x v="3"/>
    <x v="9"/>
    <s v="MAGNEFIX"/>
    <x v="565"/>
    <x v="3"/>
    <x v="0"/>
    <x v="205"/>
    <x v="252"/>
    <x v="211"/>
    <x v="205"/>
    <x v="252"/>
    <x v="211"/>
    <x v="0"/>
    <n v="122.5"/>
    <n v="130.6"/>
    <n v="972.9"/>
    <s v="0"/>
    <s v="0"/>
  </r>
  <r>
    <x v="567"/>
    <x v="468"/>
    <x v="392"/>
    <x v="7"/>
    <x v="3"/>
    <x v="9"/>
    <s v="MAGNEFIX"/>
    <x v="566"/>
    <x v="3"/>
    <x v="0"/>
    <x v="206"/>
    <x v="253"/>
    <x v="212"/>
    <x v="206"/>
    <x v="253"/>
    <x v="212"/>
    <x v="0"/>
    <n v="121.4"/>
    <n v="132.69999999999999"/>
    <n v="897.9"/>
    <s v="0"/>
    <s v="0"/>
  </r>
  <r>
    <x v="568"/>
    <x v="469"/>
    <x v="391"/>
    <x v="7"/>
    <x v="3"/>
    <x v="9"/>
    <s v="MAGNEFIX"/>
    <x v="567"/>
    <x v="3"/>
    <x v="0"/>
    <x v="206"/>
    <x v="253"/>
    <x v="213"/>
    <x v="206"/>
    <x v="253"/>
    <x v="213"/>
    <x v="0"/>
    <n v="124.5"/>
    <n v="132.69999999999999"/>
    <n v="897.9"/>
    <s v="0"/>
    <s v="0"/>
  </r>
  <r>
    <x v="569"/>
    <x v="470"/>
    <x v="391"/>
    <x v="7"/>
    <x v="3"/>
    <x v="9"/>
    <s v="MAGNEFIX"/>
    <x v="568"/>
    <x v="3"/>
    <x v="0"/>
    <x v="207"/>
    <x v="254"/>
    <x v="209"/>
    <x v="207"/>
    <x v="254"/>
    <x v="209"/>
    <x v="0"/>
    <n v="118.4"/>
    <n v="129.4"/>
    <n v="962.9"/>
    <s v="0"/>
    <s v="0"/>
  </r>
  <r>
    <x v="570"/>
    <x v="471"/>
    <x v="391"/>
    <x v="7"/>
    <x v="3"/>
    <x v="9"/>
    <s v="MAGNEFIX"/>
    <x v="569"/>
    <x v="3"/>
    <x v="0"/>
    <x v="208"/>
    <x v="255"/>
    <x v="210"/>
    <x v="208"/>
    <x v="255"/>
    <x v="210"/>
    <x v="0"/>
    <n v="119.4"/>
    <n v="127.3"/>
    <n v="947.9"/>
    <s v="0"/>
    <s v="0"/>
  </r>
  <r>
    <x v="571"/>
    <x v="472"/>
    <x v="391"/>
    <x v="7"/>
    <x v="3"/>
    <x v="9"/>
    <s v="MAGNEFIX"/>
    <x v="570"/>
    <x v="3"/>
    <x v="0"/>
    <x v="204"/>
    <x v="251"/>
    <x v="210"/>
    <x v="204"/>
    <x v="251"/>
    <x v="210"/>
    <x v="0"/>
    <n v="120.4"/>
    <n v="128.30000000000001"/>
    <n v="955.9"/>
    <s v="0"/>
    <s v="0"/>
  </r>
  <r>
    <x v="572"/>
    <x v="473"/>
    <x v="391"/>
    <x v="7"/>
    <x v="3"/>
    <x v="9"/>
    <s v="MAGNEFIX"/>
    <x v="571"/>
    <x v="3"/>
    <x v="0"/>
    <x v="205"/>
    <x v="252"/>
    <x v="211"/>
    <x v="205"/>
    <x v="252"/>
    <x v="211"/>
    <x v="0"/>
    <n v="122.5"/>
    <n v="130.6"/>
    <n v="972.9"/>
    <s v="0"/>
    <s v="0"/>
  </r>
  <r>
    <x v="573"/>
    <x v="474"/>
    <x v="391"/>
    <x v="7"/>
    <x v="3"/>
    <x v="9"/>
    <s v="MAGNEFIX"/>
    <x v="572"/>
    <x v="3"/>
    <x v="0"/>
    <x v="205"/>
    <x v="252"/>
    <x v="211"/>
    <x v="205"/>
    <x v="252"/>
    <x v="211"/>
    <x v="0"/>
    <n v="122.5"/>
    <n v="130.6"/>
    <n v="972.9"/>
    <s v="0"/>
    <s v="0"/>
  </r>
  <r>
    <x v="574"/>
    <x v="475"/>
    <x v="391"/>
    <x v="7"/>
    <x v="3"/>
    <x v="9"/>
    <s v="MAGNEFIX"/>
    <x v="573"/>
    <x v="3"/>
    <x v="0"/>
    <x v="206"/>
    <x v="256"/>
    <x v="214"/>
    <x v="206"/>
    <x v="256"/>
    <x v="214"/>
    <x v="0"/>
    <n v="124.5"/>
    <n v="132.69999999999999"/>
    <n v="987.9"/>
    <s v="0"/>
    <s v="0"/>
  </r>
  <r>
    <x v="575"/>
    <x v="476"/>
    <x v="393"/>
    <x v="8"/>
    <x v="3"/>
    <x v="10"/>
    <s v="CANVIK"/>
    <x v="574"/>
    <x v="3"/>
    <x v="0"/>
    <x v="209"/>
    <x v="257"/>
    <x v="215"/>
    <x v="209"/>
    <x v="257"/>
    <x v="215"/>
    <x v="0"/>
    <m/>
    <n v="107.9"/>
    <n v="802.9"/>
    <s v="0"/>
    <s v="0"/>
  </r>
  <r>
    <x v="576"/>
    <x v="477"/>
    <x v="394"/>
    <x v="8"/>
    <x v="3"/>
    <x v="10"/>
    <s v="CANVIK"/>
    <x v="575"/>
    <x v="3"/>
    <x v="0"/>
    <x v="210"/>
    <x v="258"/>
    <x v="216"/>
    <x v="210"/>
    <x v="258"/>
    <x v="216"/>
    <x v="0"/>
    <m/>
    <n v="124.9"/>
    <n v="929.9"/>
    <s v="0"/>
    <s v="0"/>
  </r>
  <r>
    <x v="577"/>
    <x v="478"/>
    <x v="395"/>
    <x v="8"/>
    <x v="3"/>
    <x v="10"/>
    <s v="CANVIK"/>
    <x v="576"/>
    <x v="3"/>
    <x v="0"/>
    <x v="210"/>
    <x v="258"/>
    <x v="217"/>
    <x v="210"/>
    <x v="258"/>
    <x v="217"/>
    <x v="0"/>
    <m/>
    <n v="124.9"/>
    <n v="929.9"/>
    <s v="0"/>
    <s v="0"/>
  </r>
  <r>
    <x v="578"/>
    <x v="479"/>
    <x v="396"/>
    <x v="8"/>
    <x v="3"/>
    <x v="10"/>
    <s v="CANVIK"/>
    <x v="577"/>
    <x v="3"/>
    <x v="0"/>
    <x v="211"/>
    <x v="259"/>
    <x v="218"/>
    <x v="211"/>
    <x v="259"/>
    <x v="218"/>
    <x v="0"/>
    <m/>
    <n v="624.9"/>
    <n v="4649.8999999999996"/>
    <s v="0"/>
    <s v="0"/>
  </r>
  <r>
    <x v="579"/>
    <x v="480"/>
    <x v="397"/>
    <x v="8"/>
    <x v="3"/>
    <x v="10"/>
    <s v="CANVIK"/>
    <x v="578"/>
    <x v="3"/>
    <x v="0"/>
    <x v="212"/>
    <x v="260"/>
    <x v="219"/>
    <x v="212"/>
    <x v="260"/>
    <x v="219"/>
    <x v="0"/>
    <m/>
    <n v="689.9"/>
    <n v="5132.8999999999996"/>
    <s v="0"/>
    <s v="0"/>
  </r>
  <r>
    <x v="580"/>
    <x v="481"/>
    <x v="398"/>
    <x v="8"/>
    <x v="3"/>
    <x v="10"/>
    <s v="CANVIK"/>
    <x v="579"/>
    <x v="3"/>
    <x v="0"/>
    <x v="6"/>
    <x v="7"/>
    <x v="61"/>
    <x v="6"/>
    <x v="7"/>
    <x v="61"/>
    <x v="0"/>
    <m/>
    <n v="12.9"/>
    <n v="95.9"/>
    <s v="0"/>
    <s v="0"/>
  </r>
  <r>
    <x v="581"/>
    <x v="482"/>
    <x v="399"/>
    <x v="8"/>
    <x v="3"/>
    <x v="10"/>
    <s v="CANVIK"/>
    <x v="580"/>
    <x v="5"/>
    <x v="0"/>
    <x v="213"/>
    <x v="261"/>
    <x v="220"/>
    <x v="213"/>
    <x v="261"/>
    <x v="220"/>
    <x v="0"/>
    <m/>
    <n v="404.9"/>
    <n v="3012.9"/>
    <s v="0"/>
    <s v="0"/>
  </r>
  <r>
    <x v="582"/>
    <x v="483"/>
    <x v="400"/>
    <x v="8"/>
    <x v="3"/>
    <x v="10"/>
    <s v="CANVIK"/>
    <x v="581"/>
    <x v="3"/>
    <x v="0"/>
    <x v="214"/>
    <x v="262"/>
    <x v="221"/>
    <x v="214"/>
    <x v="262"/>
    <x v="221"/>
    <x v="0"/>
    <m/>
    <n v="93.9"/>
    <n v="698.9"/>
    <s v="0"/>
    <s v="0"/>
  </r>
  <r>
    <x v="583"/>
    <x v="484"/>
    <x v="400"/>
    <x v="8"/>
    <x v="3"/>
    <x v="10"/>
    <s v="CANVIK"/>
    <x v="582"/>
    <x v="3"/>
    <x v="0"/>
    <x v="215"/>
    <x v="263"/>
    <x v="222"/>
    <x v="215"/>
    <x v="263"/>
    <x v="222"/>
    <x v="0"/>
    <m/>
    <n v="109.9"/>
    <n v="817.9"/>
    <s v="0"/>
    <s v="0"/>
  </r>
  <r>
    <x v="584"/>
    <x v="485"/>
    <x v="401"/>
    <x v="3"/>
    <x v="3"/>
    <x v="11"/>
    <s v="NET"/>
    <x v="583"/>
    <x v="3"/>
    <x v="0"/>
    <x v="216"/>
    <x v="264"/>
    <x v="223"/>
    <x v="216"/>
    <x v="264"/>
    <x v="223"/>
    <x v="2"/>
    <m/>
    <n v="399.9"/>
    <n v="2968.9"/>
    <s v="0"/>
    <s v="0"/>
  </r>
  <r>
    <x v="585"/>
    <x v="486"/>
    <x v="402"/>
    <x v="3"/>
    <x v="3"/>
    <x v="11"/>
    <s v="NET"/>
    <x v="584"/>
    <x v="3"/>
    <x v="0"/>
    <x v="217"/>
    <x v="265"/>
    <x v="71"/>
    <x v="217"/>
    <x v="265"/>
    <x v="223"/>
    <x v="2"/>
    <m/>
    <n v="39"/>
    <n v="290"/>
    <s v="0"/>
    <s v="0"/>
  </r>
  <r>
    <x v="586"/>
    <x v="487"/>
    <x v="403"/>
    <x v="3"/>
    <x v="3"/>
    <x v="11"/>
    <s v="NET"/>
    <x v="585"/>
    <x v="3"/>
    <x v="0"/>
    <x v="218"/>
    <x v="266"/>
    <x v="87"/>
    <x v="218"/>
    <x v="266"/>
    <x v="223"/>
    <x v="2"/>
    <m/>
    <n v="45"/>
    <n v="335"/>
    <s v="0"/>
    <s v="0"/>
  </r>
  <r>
    <x v="587"/>
    <x v="488"/>
    <x v="404"/>
    <x v="1"/>
    <x v="2"/>
    <x v="2"/>
    <s v="CM"/>
    <x v="586"/>
    <x v="5"/>
    <x v="0"/>
    <x v="219"/>
    <x v="267"/>
    <x v="224"/>
    <x v="219"/>
    <x v="267"/>
    <x v="224"/>
    <x v="0"/>
    <m/>
    <n v="319.89999999999998"/>
    <n v="2379.9"/>
    <s v="0"/>
    <s v="0"/>
  </r>
  <r>
    <x v="588"/>
    <x v="489"/>
    <x v="405"/>
    <x v="3"/>
    <x v="3"/>
    <x v="0"/>
    <s v="C_"/>
    <x v="587"/>
    <x v="8"/>
    <x v="0"/>
    <x v="2"/>
    <x v="3"/>
    <x v="15"/>
    <x v="2"/>
    <x v="3"/>
    <x v="15"/>
    <x v="0"/>
    <m/>
    <n v="37.9"/>
    <n v="279.89999999999998"/>
    <s v="0"/>
    <s v="0"/>
  </r>
  <r>
    <x v="589"/>
    <x v="490"/>
    <x v="406"/>
    <x v="3"/>
    <x v="3"/>
    <x v="0"/>
    <s v="C_"/>
    <x v="588"/>
    <x v="8"/>
    <x v="0"/>
    <x v="220"/>
    <x v="268"/>
    <x v="16"/>
    <x v="220"/>
    <x v="268"/>
    <x v="16"/>
    <x v="0"/>
    <m/>
    <n v="48.9"/>
    <n v="364.9"/>
    <s v="0"/>
    <s v="0"/>
  </r>
  <r>
    <x v="590"/>
    <x v="491"/>
    <x v="407"/>
    <x v="3"/>
    <x v="3"/>
    <x v="11"/>
    <s v="NET"/>
    <x v="589"/>
    <x v="3"/>
    <x v="0"/>
    <x v="0"/>
    <x v="269"/>
    <x v="29"/>
    <x v="0"/>
    <x v="269"/>
    <x v="223"/>
    <x v="2"/>
    <m/>
    <n v="8.9"/>
    <n v="66"/>
    <s v="0"/>
    <s v="0"/>
  </r>
  <r>
    <x v="591"/>
    <x v="492"/>
    <x v="408"/>
    <x v="3"/>
    <x v="3"/>
    <x v="11"/>
    <s v="NET"/>
    <x v="590"/>
    <x v="3"/>
    <x v="0"/>
    <x v="221"/>
    <x v="270"/>
    <x v="66"/>
    <x v="221"/>
    <x v="270"/>
    <x v="223"/>
    <x v="2"/>
    <m/>
    <n v="25"/>
    <n v="189"/>
    <s v="0"/>
    <s v="0"/>
  </r>
  <r>
    <x v="592"/>
    <x v="493"/>
    <x v="409"/>
    <x v="3"/>
    <x v="3"/>
    <x v="11"/>
    <s v="NET"/>
    <x v="591"/>
    <x v="3"/>
    <x v="0"/>
    <x v="221"/>
    <x v="270"/>
    <x v="66"/>
    <x v="221"/>
    <x v="270"/>
    <x v="223"/>
    <x v="2"/>
    <m/>
    <n v="25"/>
    <n v="189"/>
    <s v="0"/>
    <s v="0"/>
  </r>
  <r>
    <x v="593"/>
    <x v="494"/>
    <x v="410"/>
    <x v="3"/>
    <x v="3"/>
    <x v="11"/>
    <s v="NET"/>
    <x v="592"/>
    <x v="3"/>
    <x v="0"/>
    <x v="222"/>
    <x v="271"/>
    <x v="225"/>
    <x v="222"/>
    <x v="271"/>
    <x v="223"/>
    <x v="2"/>
    <m/>
    <n v="465"/>
    <n v="3460"/>
    <s v="0"/>
    <s v="0"/>
  </r>
  <r>
    <x v="594"/>
    <x v="495"/>
    <x v="411"/>
    <x v="3"/>
    <x v="3"/>
    <x v="0"/>
    <s v="C_"/>
    <x v="593"/>
    <x v="5"/>
    <x v="0"/>
    <x v="223"/>
    <x v="272"/>
    <x v="89"/>
    <x v="223"/>
    <x v="272"/>
    <x v="89"/>
    <x v="0"/>
    <m/>
    <n v="96.9"/>
    <n v="719.9"/>
    <s v="0"/>
    <s v="0"/>
  </r>
  <r>
    <x v="595"/>
    <x v="496"/>
    <x v="412"/>
    <x v="3"/>
    <x v="3"/>
    <x v="0"/>
    <s v="C_"/>
    <x v="594"/>
    <x v="5"/>
    <x v="0"/>
    <x v="224"/>
    <x v="273"/>
    <x v="226"/>
    <x v="224"/>
    <x v="273"/>
    <x v="225"/>
    <x v="0"/>
    <m/>
    <n v="171.9"/>
    <n v="1279.9000000000001"/>
    <s v="0"/>
    <s v="0"/>
  </r>
  <r>
    <x v="596"/>
    <x v="497"/>
    <x v="413"/>
    <x v="0"/>
    <x v="5"/>
    <x v="3"/>
    <s v="E"/>
    <x v="595"/>
    <x v="5"/>
    <x v="0"/>
    <x v="225"/>
    <x v="274"/>
    <x v="227"/>
    <x v="225"/>
    <x v="274"/>
    <x v="226"/>
    <x v="0"/>
    <m/>
    <n v="739.9"/>
    <n v="5499.9"/>
    <s v="0"/>
    <s v="0"/>
  </r>
  <r>
    <x v="597"/>
    <x v="498"/>
    <x v="414"/>
    <x v="0"/>
    <x v="5"/>
    <x v="3"/>
    <s v="E"/>
    <x v="596"/>
    <x v="5"/>
    <x v="0"/>
    <x v="226"/>
    <x v="275"/>
    <x v="228"/>
    <x v="226"/>
    <x v="275"/>
    <x v="227"/>
    <x v="0"/>
    <m/>
    <n v="1179.9000000000001"/>
    <n v="8779.9"/>
    <s v="0"/>
    <s v="0"/>
  </r>
  <r>
    <x v="598"/>
    <x v="499"/>
    <x v="415"/>
    <x v="3"/>
    <x v="3"/>
    <x v="11"/>
    <s v="NET"/>
    <x v="597"/>
    <x v="3"/>
    <x v="0"/>
    <x v="125"/>
    <x v="276"/>
    <x v="62"/>
    <x v="125"/>
    <x v="276"/>
    <x v="223"/>
    <x v="2"/>
    <m/>
    <n v="8"/>
    <n v="60"/>
    <s v="0"/>
    <s v="0"/>
  </r>
  <r>
    <x v="599"/>
    <x v="500"/>
    <x v="416"/>
    <x v="3"/>
    <x v="3"/>
    <x v="11"/>
    <s v="NET"/>
    <x v="598"/>
    <x v="3"/>
    <x v="0"/>
    <x v="221"/>
    <x v="270"/>
    <x v="66"/>
    <x v="221"/>
    <x v="270"/>
    <x v="223"/>
    <x v="2"/>
    <m/>
    <n v="25"/>
    <n v="189"/>
    <s v="0"/>
    <s v="0"/>
  </r>
  <r>
    <x v="600"/>
    <x v="501"/>
    <x v="417"/>
    <x v="3"/>
    <x v="3"/>
    <x v="11"/>
    <s v="NET"/>
    <x v="599"/>
    <x v="3"/>
    <x v="0"/>
    <x v="217"/>
    <x v="277"/>
    <x v="71"/>
    <x v="217"/>
    <x v="277"/>
    <x v="223"/>
    <x v="2"/>
    <m/>
    <n v="39"/>
    <n v="289"/>
    <s v="0"/>
    <s v="0"/>
  </r>
  <r>
    <x v="601"/>
    <x v="502"/>
    <x v="418"/>
    <x v="3"/>
    <x v="3"/>
    <x v="11"/>
    <s v="NET"/>
    <x v="600"/>
    <x v="3"/>
    <x v="0"/>
    <x v="19"/>
    <x v="22"/>
    <x v="229"/>
    <x v="19"/>
    <x v="22"/>
    <x v="223"/>
    <x v="2"/>
    <m/>
    <n v="59.9"/>
    <n v="439.9"/>
    <s v="0"/>
    <s v="0"/>
  </r>
  <r>
    <x v="602"/>
    <x v="503"/>
    <x v="419"/>
    <x v="0"/>
    <x v="1"/>
    <x v="1"/>
    <s v="A"/>
    <x v="601"/>
    <x v="5"/>
    <x v="0"/>
    <x v="227"/>
    <x v="278"/>
    <x v="230"/>
    <x v="227"/>
    <x v="278"/>
    <x v="228"/>
    <x v="0"/>
    <m/>
    <n v="104.8"/>
    <n v="784.8"/>
    <s v="0"/>
    <s v="0"/>
  </r>
  <r>
    <x v="603"/>
    <x v="504"/>
    <x v="420"/>
    <x v="6"/>
    <x v="2"/>
    <x v="11"/>
    <s v="NET"/>
    <x v="602"/>
    <x v="5"/>
    <x v="0"/>
    <x v="92"/>
    <x v="175"/>
    <x v="137"/>
    <x v="92"/>
    <x v="175"/>
    <x v="137"/>
    <x v="2"/>
    <m/>
    <n v="179.9"/>
    <n v="1339.9"/>
    <s v="0"/>
    <s v="0"/>
  </r>
  <r>
    <x v="604"/>
    <x v="505"/>
    <x v="421"/>
    <x v="6"/>
    <x v="2"/>
    <x v="6"/>
    <s v="D"/>
    <x v="603"/>
    <x v="3"/>
    <x v="0"/>
    <x v="228"/>
    <x v="279"/>
    <x v="231"/>
    <x v="228"/>
    <x v="279"/>
    <x v="229"/>
    <x v="0"/>
    <m/>
    <n v="159.9"/>
    <n v="1189.9000000000001"/>
    <s v="0"/>
    <s v="0"/>
  </r>
  <r>
    <x v="605"/>
    <x v="506"/>
    <x v="422"/>
    <x v="8"/>
    <x v="3"/>
    <x v="10"/>
    <s v="CANVIK"/>
    <x v="604"/>
    <x v="3"/>
    <x v="0"/>
    <x v="50"/>
    <x v="280"/>
    <x v="20"/>
    <x v="50"/>
    <x v="280"/>
    <x v="20"/>
    <x v="0"/>
    <m/>
    <n v="74.900000000000006"/>
    <n v="557.9"/>
    <s v="0"/>
    <s v="0"/>
  </r>
  <r>
    <x v="606"/>
    <x v="507"/>
    <x v="423"/>
    <x v="8"/>
    <x v="3"/>
    <x v="10"/>
    <s v="CANVIK"/>
    <x v="605"/>
    <x v="3"/>
    <x v="0"/>
    <x v="229"/>
    <x v="281"/>
    <x v="232"/>
    <x v="229"/>
    <x v="281"/>
    <x v="230"/>
    <x v="0"/>
    <m/>
    <n v="86.9"/>
    <n v="646.9"/>
    <s v="0"/>
    <s v="0"/>
  </r>
  <r>
    <x v="607"/>
    <x v="508"/>
    <x v="424"/>
    <x v="8"/>
    <x v="3"/>
    <x v="10"/>
    <s v="CANVIK"/>
    <x v="606"/>
    <x v="3"/>
    <x v="0"/>
    <x v="229"/>
    <x v="281"/>
    <x v="232"/>
    <x v="229"/>
    <x v="281"/>
    <x v="230"/>
    <x v="0"/>
    <m/>
    <n v="86.9"/>
    <n v="646.9"/>
    <s v="0"/>
    <s v="0"/>
  </r>
  <r>
    <x v="608"/>
    <x v="509"/>
    <x v="425"/>
    <x v="8"/>
    <x v="3"/>
    <x v="10"/>
    <s v="CANVIK"/>
    <x v="607"/>
    <x v="3"/>
    <x v="0"/>
    <x v="210"/>
    <x v="258"/>
    <x v="216"/>
    <x v="210"/>
    <x v="258"/>
    <x v="216"/>
    <x v="0"/>
    <m/>
    <n v="124.9"/>
    <n v="929.9"/>
    <s v="0"/>
    <s v="0"/>
  </r>
  <r>
    <x v="609"/>
    <x v="510"/>
    <x v="426"/>
    <x v="8"/>
    <x v="3"/>
    <x v="10"/>
    <s v="CANVIK"/>
    <x v="608"/>
    <x v="3"/>
    <x v="0"/>
    <x v="73"/>
    <x v="282"/>
    <x v="74"/>
    <x v="73"/>
    <x v="282"/>
    <x v="74"/>
    <x v="0"/>
    <m/>
    <n v="83.9"/>
    <n v="624.9"/>
    <s v="0"/>
    <s v="0"/>
  </r>
  <r>
    <x v="610"/>
    <x v="511"/>
    <x v="427"/>
    <x v="8"/>
    <x v="3"/>
    <x v="10"/>
    <s v="CANVIK"/>
    <x v="609"/>
    <x v="3"/>
    <x v="0"/>
    <x v="230"/>
    <x v="283"/>
    <x v="233"/>
    <x v="230"/>
    <x v="283"/>
    <x v="231"/>
    <x v="0"/>
    <m/>
    <n v="103.9"/>
    <n v="773.9"/>
    <s v="0"/>
    <s v="0"/>
  </r>
  <r>
    <x v="611"/>
    <x v="512"/>
    <x v="428"/>
    <x v="8"/>
    <x v="3"/>
    <x v="10"/>
    <s v="CANVIK"/>
    <x v="610"/>
    <x v="3"/>
    <x v="0"/>
    <x v="231"/>
    <x v="284"/>
    <x v="234"/>
    <x v="231"/>
    <x v="284"/>
    <x v="232"/>
    <x v="0"/>
    <m/>
    <n v="235.9"/>
    <n v="1755.9"/>
    <s v="0"/>
    <s v="0"/>
  </r>
  <r>
    <x v="612"/>
    <x v="513"/>
    <x v="429"/>
    <x v="8"/>
    <x v="3"/>
    <x v="10"/>
    <s v="CANVIK"/>
    <x v="611"/>
    <x v="3"/>
    <x v="0"/>
    <x v="97"/>
    <x v="107"/>
    <x v="235"/>
    <x v="97"/>
    <x v="107"/>
    <x v="233"/>
    <x v="0"/>
    <m/>
    <n v="279.89999999999998"/>
    <n v="2082.9"/>
    <s v="0"/>
    <s v="0"/>
  </r>
  <r>
    <x v="613"/>
    <x v="514"/>
    <x v="430"/>
    <x v="8"/>
    <x v="3"/>
    <x v="10"/>
    <s v="CANVIK"/>
    <x v="612"/>
    <x v="3"/>
    <x v="0"/>
    <x v="232"/>
    <x v="285"/>
    <x v="120"/>
    <x v="232"/>
    <x v="285"/>
    <x v="120"/>
    <x v="0"/>
    <m/>
    <n v="184.9"/>
    <n v="1375.9"/>
    <s v="0"/>
    <s v="0"/>
  </r>
  <r>
    <x v="614"/>
    <x v="515"/>
    <x v="431"/>
    <x v="8"/>
    <x v="3"/>
    <x v="10"/>
    <s v="CANVIK"/>
    <x v="613"/>
    <x v="3"/>
    <x v="0"/>
    <x v="233"/>
    <x v="286"/>
    <x v="236"/>
    <x v="233"/>
    <x v="286"/>
    <x v="234"/>
    <x v="0"/>
    <m/>
    <n v="217.9"/>
    <n v="1621.9"/>
    <s v="0"/>
    <s v="0"/>
  </r>
  <r>
    <x v="615"/>
    <x v="516"/>
    <x v="432"/>
    <x v="8"/>
    <x v="3"/>
    <x v="10"/>
    <s v="CANVIK"/>
    <x v="614"/>
    <x v="3"/>
    <x v="0"/>
    <x v="234"/>
    <x v="287"/>
    <x v="237"/>
    <x v="234"/>
    <x v="287"/>
    <x v="235"/>
    <x v="0"/>
    <m/>
    <n v="148.9"/>
    <n v="1107.9000000000001"/>
    <s v="0"/>
    <s v="0"/>
  </r>
  <r>
    <x v="616"/>
    <x v="517"/>
    <x v="433"/>
    <x v="8"/>
    <x v="3"/>
    <x v="10"/>
    <s v="CANVIK"/>
    <x v="615"/>
    <x v="3"/>
    <x v="0"/>
    <x v="235"/>
    <x v="288"/>
    <x v="238"/>
    <x v="235"/>
    <x v="288"/>
    <x v="236"/>
    <x v="0"/>
    <m/>
    <n v="144.9"/>
    <n v="1078.9000000000001"/>
    <s v="0"/>
    <s v="0"/>
  </r>
  <r>
    <x v="617"/>
    <x v="518"/>
    <x v="434"/>
    <x v="8"/>
    <x v="3"/>
    <x v="10"/>
    <s v="CANVIK"/>
    <x v="616"/>
    <x v="3"/>
    <x v="0"/>
    <x v="134"/>
    <x v="154"/>
    <x v="239"/>
    <x v="134"/>
    <x v="154"/>
    <x v="237"/>
    <x v="0"/>
    <m/>
    <n v="187.9"/>
    <n v="1397.9"/>
    <s v="0"/>
    <s v="0"/>
  </r>
  <r>
    <x v="618"/>
    <x v="519"/>
    <x v="435"/>
    <x v="8"/>
    <x v="3"/>
    <x v="10"/>
    <s v="CANVIK"/>
    <x v="617"/>
    <x v="3"/>
    <x v="0"/>
    <x v="236"/>
    <x v="289"/>
    <x v="240"/>
    <x v="236"/>
    <x v="289"/>
    <x v="238"/>
    <x v="0"/>
    <m/>
    <n v="369.9"/>
    <n v="2752.9"/>
    <s v="0"/>
    <s v="0"/>
  </r>
  <r>
    <x v="619"/>
    <x v="520"/>
    <x v="436"/>
    <x v="2"/>
    <x v="3"/>
    <x v="0"/>
    <s v="C_"/>
    <x v="618"/>
    <x v="3"/>
    <x v="0"/>
    <x v="237"/>
    <x v="290"/>
    <x v="185"/>
    <x v="237"/>
    <x v="290"/>
    <x v="185"/>
    <x v="0"/>
    <m/>
    <n v="4.9000000000000004"/>
    <n v="36.9"/>
    <s v="0"/>
    <s v="0"/>
  </r>
  <r>
    <x v="620"/>
    <x v="521"/>
    <x v="437"/>
    <x v="2"/>
    <x v="3"/>
    <x v="0"/>
    <s v="C_"/>
    <x v="619"/>
    <x v="3"/>
    <x v="0"/>
    <x v="63"/>
    <x v="69"/>
    <x v="22"/>
    <x v="63"/>
    <x v="69"/>
    <x v="22"/>
    <x v="0"/>
    <m/>
    <n v="5.9"/>
    <n v="43.9"/>
    <s v="0"/>
    <s v="0"/>
  </r>
  <r>
    <x v="621"/>
    <x v="522"/>
    <x v="438"/>
    <x v="3"/>
    <x v="3"/>
    <x v="11"/>
    <s v="NET"/>
    <x v="620"/>
    <x v="3"/>
    <x v="0"/>
    <x v="144"/>
    <x v="291"/>
    <x v="241"/>
    <x v="144"/>
    <x v="291"/>
    <x v="239"/>
    <x v="2"/>
    <m/>
    <n v="189.9"/>
    <n v="1399.9"/>
    <s v="0"/>
    <s v="0"/>
  </r>
  <r>
    <x v="622"/>
    <x v="523"/>
    <x v="439"/>
    <x v="3"/>
    <x v="3"/>
    <x v="11"/>
    <s v="NET"/>
    <x v="621"/>
    <x v="3"/>
    <x v="0"/>
    <x v="13"/>
    <x v="292"/>
    <x v="30"/>
    <x v="13"/>
    <x v="292"/>
    <x v="30"/>
    <x v="2"/>
    <m/>
    <n v="19.899999999999999"/>
    <n v="149"/>
    <s v="0"/>
    <s v="0"/>
  </r>
  <r>
    <x v="623"/>
    <x v="524"/>
    <x v="440"/>
    <x v="3"/>
    <x v="2"/>
    <x v="11"/>
    <s v="NET"/>
    <x v="622"/>
    <x v="3"/>
    <x v="0"/>
    <x v="13"/>
    <x v="292"/>
    <x v="30"/>
    <x v="13"/>
    <x v="292"/>
    <x v="30"/>
    <x v="2"/>
    <m/>
    <n v="19.899999999999999"/>
    <n v="149"/>
    <s v="0"/>
    <s v="0"/>
  </r>
  <r>
    <x v="624"/>
    <x v="525"/>
    <x v="441"/>
    <x v="3"/>
    <x v="3"/>
    <x v="11"/>
    <s v="NET"/>
    <x v="623"/>
    <x v="3"/>
    <x v="0"/>
    <x v="13"/>
    <x v="292"/>
    <x v="30"/>
    <x v="13"/>
    <x v="292"/>
    <x v="30"/>
    <x v="2"/>
    <m/>
    <n v="19.899999999999999"/>
    <n v="149"/>
    <s v="0"/>
    <s v="0"/>
  </r>
  <r>
    <x v="625"/>
    <x v="526"/>
    <x v="442"/>
    <x v="3"/>
    <x v="2"/>
    <x v="11"/>
    <s v="NET"/>
    <x v="624"/>
    <x v="3"/>
    <x v="0"/>
    <x v="13"/>
    <x v="292"/>
    <x v="30"/>
    <x v="13"/>
    <x v="292"/>
    <x v="30"/>
    <x v="2"/>
    <m/>
    <n v="19.899999999999999"/>
    <n v="149"/>
    <s v="0"/>
    <s v="0"/>
  </r>
  <r>
    <x v="626"/>
    <x v="527"/>
    <x v="443"/>
    <x v="3"/>
    <x v="2"/>
    <x v="11"/>
    <s v="NET"/>
    <x v="625"/>
    <x v="3"/>
    <x v="0"/>
    <x v="13"/>
    <x v="292"/>
    <x v="30"/>
    <x v="13"/>
    <x v="292"/>
    <x v="30"/>
    <x v="2"/>
    <m/>
    <n v="19.899999999999999"/>
    <n v="149"/>
    <s v="0"/>
    <s v="0"/>
  </r>
  <r>
    <x v="627"/>
    <x v="528"/>
    <x v="444"/>
    <x v="3"/>
    <x v="2"/>
    <x v="11"/>
    <s v="NET"/>
    <x v="626"/>
    <x v="3"/>
    <x v="0"/>
    <x v="13"/>
    <x v="292"/>
    <x v="30"/>
    <x v="13"/>
    <x v="292"/>
    <x v="30"/>
    <x v="2"/>
    <m/>
    <n v="19.899999999999999"/>
    <n v="149"/>
    <s v="0"/>
    <s v="0"/>
  </r>
  <r>
    <x v="628"/>
    <x v="529"/>
    <x v="445"/>
    <x v="3"/>
    <x v="2"/>
    <x v="11"/>
    <s v="NET"/>
    <x v="627"/>
    <x v="3"/>
    <x v="0"/>
    <x v="18"/>
    <x v="293"/>
    <x v="242"/>
    <x v="18"/>
    <x v="293"/>
    <x v="240"/>
    <x v="2"/>
    <m/>
    <n v="39.9"/>
    <n v="299"/>
    <s v="0"/>
    <s v="0"/>
  </r>
  <r>
    <x v="629"/>
    <x v="530"/>
    <x v="446"/>
    <x v="3"/>
    <x v="2"/>
    <x v="11"/>
    <s v="NET"/>
    <x v="628"/>
    <x v="3"/>
    <x v="0"/>
    <x v="18"/>
    <x v="293"/>
    <x v="242"/>
    <x v="18"/>
    <x v="293"/>
    <x v="240"/>
    <x v="2"/>
    <m/>
    <n v="39.9"/>
    <n v="299"/>
    <s v="0"/>
    <s v="0"/>
  </r>
  <r>
    <x v="630"/>
    <x v="531"/>
    <x v="447"/>
    <x v="3"/>
    <x v="2"/>
    <x v="11"/>
    <s v="NET"/>
    <x v="629"/>
    <x v="3"/>
    <x v="0"/>
    <x v="18"/>
    <x v="293"/>
    <x v="242"/>
    <x v="18"/>
    <x v="293"/>
    <x v="240"/>
    <x v="2"/>
    <m/>
    <n v="39.9"/>
    <n v="299"/>
    <s v="0"/>
    <s v="0"/>
  </r>
  <r>
    <x v="631"/>
    <x v="532"/>
    <x v="448"/>
    <x v="3"/>
    <x v="2"/>
    <x v="11"/>
    <s v="NET"/>
    <x v="630"/>
    <x v="3"/>
    <x v="0"/>
    <x v="18"/>
    <x v="293"/>
    <x v="242"/>
    <x v="18"/>
    <x v="293"/>
    <x v="240"/>
    <x v="2"/>
    <m/>
    <n v="39.9"/>
    <n v="299"/>
    <s v="0"/>
    <s v="0"/>
  </r>
  <r>
    <x v="632"/>
    <x v="533"/>
    <x v="449"/>
    <x v="3"/>
    <x v="2"/>
    <x v="11"/>
    <s v="NET"/>
    <x v="631"/>
    <x v="3"/>
    <x v="0"/>
    <x v="18"/>
    <x v="293"/>
    <x v="242"/>
    <x v="18"/>
    <x v="293"/>
    <x v="240"/>
    <x v="2"/>
    <m/>
    <n v="39.9"/>
    <n v="299"/>
    <s v="0"/>
    <s v="0"/>
  </r>
  <r>
    <x v="633"/>
    <x v="534"/>
    <x v="450"/>
    <x v="3"/>
    <x v="2"/>
    <x v="11"/>
    <s v="NET"/>
    <x v="632"/>
    <x v="3"/>
    <x v="0"/>
    <x v="18"/>
    <x v="293"/>
    <x v="242"/>
    <x v="18"/>
    <x v="293"/>
    <x v="240"/>
    <x v="2"/>
    <m/>
    <n v="39.9"/>
    <n v="299"/>
    <s v="0"/>
    <s v="0"/>
  </r>
  <r>
    <x v="634"/>
    <x v="535"/>
    <x v="451"/>
    <x v="3"/>
    <x v="2"/>
    <x v="11"/>
    <s v="NET"/>
    <x v="633"/>
    <x v="3"/>
    <x v="0"/>
    <x v="18"/>
    <x v="293"/>
    <x v="242"/>
    <x v="18"/>
    <x v="293"/>
    <x v="240"/>
    <x v="2"/>
    <m/>
    <n v="39.9"/>
    <n v="299"/>
    <s v="0"/>
    <s v="0"/>
  </r>
  <r>
    <x v="635"/>
    <x v="536"/>
    <x v="452"/>
    <x v="3"/>
    <x v="2"/>
    <x v="11"/>
    <s v="NET"/>
    <x v="634"/>
    <x v="3"/>
    <x v="0"/>
    <x v="1"/>
    <x v="294"/>
    <x v="106"/>
    <x v="1"/>
    <x v="294"/>
    <x v="106"/>
    <x v="2"/>
    <m/>
    <n v="14.9"/>
    <n v="109"/>
    <s v="0"/>
    <s v="0"/>
  </r>
  <r>
    <x v="636"/>
    <x v="537"/>
    <x v="453"/>
    <x v="1"/>
    <x v="2"/>
    <x v="2"/>
    <s v="CM"/>
    <x v="635"/>
    <x v="3"/>
    <x v="0"/>
    <x v="238"/>
    <x v="295"/>
    <x v="243"/>
    <x v="238"/>
    <x v="295"/>
    <x v="241"/>
    <x v="0"/>
    <m/>
    <n v="249.9"/>
    <n v="1859.9"/>
    <s v="0"/>
    <s v="0"/>
  </r>
  <r>
    <x v="637"/>
    <x v="538"/>
    <x v="454"/>
    <x v="3"/>
    <x v="3"/>
    <x v="0"/>
    <s v="C_"/>
    <x v="636"/>
    <x v="3"/>
    <x v="0"/>
    <x v="13"/>
    <x v="16"/>
    <x v="94"/>
    <x v="13"/>
    <x v="16"/>
    <x v="94"/>
    <x v="0"/>
    <m/>
    <n v="19.899999999999999"/>
    <n v="149.9"/>
    <s v="0"/>
    <s v="0"/>
  </r>
  <r>
    <x v="638"/>
    <x v="539"/>
    <x v="455"/>
    <x v="2"/>
    <x v="3"/>
    <x v="0"/>
    <s v="C_"/>
    <x v="637"/>
    <x v="3"/>
    <x v="0"/>
    <x v="13"/>
    <x v="16"/>
    <x v="94"/>
    <x v="13"/>
    <x v="16"/>
    <x v="94"/>
    <x v="0"/>
    <m/>
    <n v="19.899999999999999"/>
    <n v="149.9"/>
    <s v="0"/>
    <s v="0"/>
  </r>
  <r>
    <x v="639"/>
    <x v="540"/>
    <x v="456"/>
    <x v="3"/>
    <x v="2"/>
    <x v="11"/>
    <s v="NET"/>
    <x v="638"/>
    <x v="3"/>
    <x v="0"/>
    <x v="152"/>
    <x v="185"/>
    <x v="114"/>
    <x v="152"/>
    <x v="185"/>
    <x v="114"/>
    <x v="1"/>
    <m/>
    <n v="45.9"/>
    <n v="339.9"/>
    <s v="0"/>
    <s v="0"/>
  </r>
  <r>
    <x v="640"/>
    <x v="541"/>
    <x v="419"/>
    <x v="0"/>
    <x v="3"/>
    <x v="1"/>
    <s v="A"/>
    <x v="639"/>
    <x v="3"/>
    <x v="0"/>
    <x v="109"/>
    <x v="117"/>
    <x v="141"/>
    <x v="109"/>
    <x v="117"/>
    <x v="141"/>
    <x v="0"/>
    <m/>
    <n v="89.9"/>
    <n v="169.9"/>
    <s v="0"/>
    <s v="0"/>
  </r>
  <r>
    <x v="641"/>
    <x v="542"/>
    <x v="457"/>
    <x v="2"/>
    <x v="3"/>
    <x v="0"/>
    <s v="C_"/>
    <x v="640"/>
    <x v="3"/>
    <x v="0"/>
    <x v="59"/>
    <x v="64"/>
    <x v="5"/>
    <x v="59"/>
    <x v="64"/>
    <x v="5"/>
    <x v="0"/>
    <m/>
    <n v="3.1"/>
    <n v="22.9"/>
    <s v="0"/>
    <s v="0"/>
  </r>
  <r>
    <x v="642"/>
    <x v="543"/>
    <x v="458"/>
    <x v="2"/>
    <x v="3"/>
    <x v="0"/>
    <s v="C_"/>
    <x v="641"/>
    <x v="3"/>
    <x v="0"/>
    <x v="142"/>
    <x v="31"/>
    <x v="10"/>
    <x v="142"/>
    <x v="31"/>
    <x v="10"/>
    <x v="0"/>
    <m/>
    <n v="3.9"/>
    <n v="29.9"/>
    <s v="0"/>
    <s v="0"/>
  </r>
  <r>
    <x v="643"/>
    <x v="544"/>
    <x v="459"/>
    <x v="2"/>
    <x v="3"/>
    <x v="0"/>
    <s v="C_"/>
    <x v="642"/>
    <x v="3"/>
    <x v="0"/>
    <x v="239"/>
    <x v="296"/>
    <x v="244"/>
    <x v="239"/>
    <x v="296"/>
    <x v="242"/>
    <x v="0"/>
    <m/>
    <n v="18.899999999999999"/>
    <n v="139.9"/>
    <s v="0"/>
    <s v="0"/>
  </r>
  <r>
    <x v="644"/>
    <x v="545"/>
    <x v="460"/>
    <x v="2"/>
    <x v="3"/>
    <x v="0"/>
    <s v="C_"/>
    <x v="643"/>
    <x v="3"/>
    <x v="0"/>
    <x v="13"/>
    <x v="16"/>
    <x v="245"/>
    <x v="13"/>
    <x v="16"/>
    <x v="243"/>
    <x v="0"/>
    <m/>
    <n v="19.899999999999999"/>
    <n v="149.9"/>
    <s v="0"/>
    <s v="0"/>
  </r>
  <r>
    <x v="645"/>
    <x v="546"/>
    <x v="461"/>
    <x v="2"/>
    <x v="3"/>
    <x v="0"/>
    <s v="C_"/>
    <x v="644"/>
    <x v="3"/>
    <x v="0"/>
    <x v="13"/>
    <x v="16"/>
    <x v="94"/>
    <x v="13"/>
    <x v="16"/>
    <x v="94"/>
    <x v="0"/>
    <m/>
    <n v="19.899999999999999"/>
    <n v="149.9"/>
    <s v="0"/>
    <s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71708-E2A8-433D-A575-B7DB57E917C1}" name="PivotTable1" cacheId="83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outline="1" outlineData="1" multipleFieldFilters="0" rowHeaderCaption="Product No">
  <location ref="A17:I812" firstHeaderRow="1" firstDataRow="1" firstDataCol="9"/>
  <pivotFields count="22">
    <pivotField axis="axisRow" outline="0" showAll="0" defaultSubtotal="0">
      <items count="646"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4"/>
        <item x="35"/>
        <item x="38"/>
        <item x="39"/>
        <item x="41"/>
        <item x="42"/>
        <item x="44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3"/>
        <item x="64"/>
        <item x="65"/>
        <item x="68"/>
        <item x="69"/>
        <item x="70"/>
        <item x="71"/>
        <item x="73"/>
        <item x="75"/>
        <item x="76"/>
        <item x="77"/>
        <item x="78"/>
        <item x="94"/>
        <item x="97"/>
        <item x="99"/>
        <item x="100"/>
        <item x="103"/>
        <item x="110"/>
        <item x="111"/>
        <item x="112"/>
        <item x="113"/>
        <item x="114"/>
        <item x="115"/>
        <item x="116"/>
        <item x="120"/>
        <item x="151"/>
        <item x="152"/>
        <item x="153"/>
        <item x="154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2"/>
        <item x="205"/>
        <item x="208"/>
        <item x="239"/>
        <item x="241"/>
        <item x="310"/>
        <item x="311"/>
        <item x="363"/>
        <item x="364"/>
        <item x="365"/>
        <item x="366"/>
        <item x="367"/>
        <item x="368"/>
        <item x="369"/>
        <item x="370"/>
        <item x="372"/>
        <item x="373"/>
        <item x="374"/>
        <item x="375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8"/>
        <item x="569"/>
        <item x="571"/>
        <item x="572"/>
        <item x="573"/>
        <item x="575"/>
        <item x="576"/>
        <item x="578"/>
        <item x="579"/>
        <item x="580"/>
        <item x="581"/>
        <item x="582"/>
        <item x="583"/>
        <item x="587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7"/>
        <item x="618"/>
        <item x="567"/>
        <item x="13"/>
        <item x="79"/>
        <item x="81"/>
        <item x="274"/>
        <item x="275"/>
        <item x="281"/>
        <item x="283"/>
        <item x="183"/>
        <item x="312"/>
        <item x="316"/>
        <item x="313"/>
        <item x="207"/>
        <item x="215"/>
        <item x="216"/>
        <item x="213"/>
        <item x="214"/>
        <item x="217"/>
        <item x="1"/>
        <item x="5"/>
        <item x="6"/>
        <item x="7"/>
        <item x="9"/>
        <item x="10"/>
        <item x="12"/>
        <item x="15"/>
        <item x="32"/>
        <item x="36"/>
        <item x="92"/>
        <item x="72"/>
        <item x="61"/>
        <item x="66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29"/>
        <item x="130"/>
        <item x="132"/>
        <item x="133"/>
        <item x="134"/>
        <item x="135"/>
        <item x="136"/>
        <item x="138"/>
        <item x="139"/>
        <item x="140"/>
        <item x="141"/>
        <item x="142"/>
        <item x="143"/>
        <item x="144"/>
        <item x="145"/>
        <item x="146"/>
        <item x="147"/>
        <item x="149"/>
        <item x="150"/>
        <item x="155"/>
        <item x="156"/>
        <item x="158"/>
        <item x="159"/>
        <item x="160"/>
        <item x="161"/>
        <item x="162"/>
        <item x="163"/>
        <item x="164"/>
        <item x="168"/>
        <item x="169"/>
        <item x="170"/>
        <item x="171"/>
        <item x="172"/>
        <item x="173"/>
        <item x="176"/>
        <item x="181"/>
        <item x="193"/>
        <item x="196"/>
        <item x="199"/>
        <item x="218"/>
        <item x="235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3"/>
        <item x="265"/>
        <item x="266"/>
        <item x="267"/>
        <item x="268"/>
        <item x="269"/>
        <item x="270"/>
        <item x="271"/>
        <item x="272"/>
        <item x="273"/>
        <item x="276"/>
        <item x="277"/>
        <item x="278"/>
        <item x="279"/>
        <item x="280"/>
        <item x="282"/>
        <item x="284"/>
        <item x="285"/>
        <item x="289"/>
        <item x="317"/>
        <item x="371"/>
        <item x="577"/>
        <item x="588"/>
        <item x="589"/>
        <item x="594"/>
        <item x="595"/>
        <item x="616"/>
        <item x="83"/>
        <item x="387"/>
        <item x="388"/>
        <item x="389"/>
        <item x="294"/>
        <item x="297"/>
        <item x="80"/>
        <item x="82"/>
        <item x="45"/>
        <item x="86"/>
        <item x="570"/>
        <item x="574"/>
        <item x="20"/>
        <item x="105"/>
        <item x="286"/>
        <item x="303"/>
        <item x="302"/>
        <item x="619"/>
        <item x="298"/>
        <item x="296"/>
        <item x="131"/>
        <item x="157"/>
        <item x="165"/>
        <item x="295"/>
        <item x="299"/>
        <item x="102"/>
        <item x="620"/>
        <item x="288"/>
        <item x="291"/>
        <item x="292"/>
        <item x="293"/>
        <item x="300"/>
        <item x="376"/>
        <item x="377"/>
        <item x="378"/>
        <item x="383"/>
        <item x="379"/>
        <item x="380"/>
        <item x="381"/>
        <item x="390"/>
        <item x="394"/>
        <item x="392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209"/>
        <item x="210"/>
        <item x="33"/>
        <item x="37"/>
        <item x="40"/>
        <item x="43"/>
        <item x="56"/>
        <item x="62"/>
        <item x="67"/>
        <item x="237"/>
        <item x="384"/>
        <item x="386"/>
        <item x="385"/>
        <item x="244"/>
        <item x="242"/>
        <item x="243"/>
        <item x="245"/>
        <item x="248"/>
        <item x="246"/>
        <item x="247"/>
        <item x="204"/>
        <item x="307"/>
        <item x="308"/>
        <item x="318"/>
        <item x="319"/>
        <item x="84"/>
        <item x="85"/>
        <item x="335"/>
        <item x="330"/>
        <item x="340"/>
        <item x="88"/>
        <item x="342"/>
        <item x="413"/>
        <item x="336"/>
        <item x="391"/>
        <item x="393"/>
        <item x="395"/>
        <item x="184"/>
        <item x="240"/>
        <item x="344"/>
        <item x="601"/>
        <item x="249"/>
        <item x="236"/>
        <item x="602"/>
        <item x="603"/>
        <item x="414"/>
        <item x="415"/>
        <item x="338"/>
        <item x="339"/>
        <item x="211"/>
        <item x="2"/>
        <item x="14"/>
        <item x="24"/>
        <item x="87"/>
        <item x="226"/>
        <item x="227"/>
        <item x="304"/>
        <item x="320"/>
        <item x="331"/>
        <item x="343"/>
        <item x="584"/>
        <item x="585"/>
        <item x="586"/>
        <item x="590"/>
        <item x="591"/>
        <item x="592"/>
        <item x="593"/>
        <item x="596"/>
        <item x="597"/>
        <item x="598"/>
        <item x="599"/>
        <item x="600"/>
        <item x="396"/>
        <item x="315"/>
        <item x="333"/>
        <item x="417"/>
        <item x="418"/>
        <item x="419"/>
        <item x="422"/>
        <item x="425"/>
        <item x="429"/>
        <item x="433"/>
        <item x="436"/>
        <item x="437"/>
        <item x="438"/>
        <item x="439"/>
        <item x="440"/>
        <item x="441"/>
        <item x="332"/>
        <item x="25"/>
        <item x="89"/>
        <item x="195"/>
        <item x="287"/>
        <item x="290"/>
        <item x="301"/>
        <item x="305"/>
        <item x="306"/>
        <item x="309"/>
        <item x="341"/>
        <item x="346"/>
        <item x="421"/>
        <item x="424"/>
        <item x="426"/>
        <item x="428"/>
        <item x="430"/>
        <item x="432"/>
        <item x="435"/>
        <item x="26"/>
        <item x="420"/>
        <item x="423"/>
        <item x="427"/>
        <item x="431"/>
        <item x="434"/>
        <item x="416"/>
        <item x="201"/>
        <item x="200"/>
        <item x="197"/>
        <item x="90"/>
        <item x="220"/>
        <item x="229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347"/>
        <item x="485"/>
        <item x="486"/>
        <item x="487"/>
        <item x="348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79"/>
        <item x="238"/>
        <item x="194"/>
        <item x="604"/>
        <item x="91"/>
        <item x="228"/>
        <item x="354"/>
        <item x="356"/>
        <item x="357"/>
        <item x="353"/>
        <item x="351"/>
        <item x="352"/>
        <item x="321"/>
        <item x="355"/>
        <item x="324"/>
        <item x="326"/>
        <item x="328"/>
        <item x="382"/>
        <item x="212"/>
        <item x="203"/>
        <item x="349"/>
        <item x="350"/>
        <item x="358"/>
        <item x="361"/>
        <item x="74"/>
        <item x="334"/>
        <item x="337"/>
        <item x="345"/>
        <item x="359"/>
        <item x="360"/>
        <item x="362"/>
        <item x="185"/>
        <item x="198"/>
        <item x="206"/>
        <item x="219"/>
        <item x="221"/>
        <item x="222"/>
        <item x="223"/>
        <item x="224"/>
        <item x="225"/>
        <item x="230"/>
        <item x="231"/>
        <item x="232"/>
        <item x="233"/>
        <item x="234"/>
        <item x="314"/>
        <item x="322"/>
        <item x="323"/>
        <item x="325"/>
        <item x="327"/>
        <item x="329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</items>
    </pivotField>
    <pivotField axis="axisRow" outline="0" showAll="0" sortType="ascending" defaultSubtotal="0">
      <items count="5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43"/>
        <item x="59"/>
        <item x="60"/>
        <item x="61"/>
        <item x="62"/>
        <item x="63"/>
        <item x="64"/>
        <item x="65"/>
        <item x="66"/>
        <item x="54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542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537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541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539"/>
        <item x="283"/>
        <item x="284"/>
        <item x="285"/>
        <item x="286"/>
        <item x="287"/>
        <item x="288"/>
        <item x="289"/>
        <item x="290"/>
        <item x="540"/>
        <item x="538"/>
        <item x="544"/>
        <item x="545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22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8"/>
        <item x="519"/>
        <item x="517"/>
        <item x="520"/>
        <item x="521"/>
      </items>
    </pivotField>
    <pivotField axis="axisRow" showAll="0">
      <items count="463">
        <item x="130"/>
        <item x="324"/>
        <item x="26"/>
        <item x="27"/>
        <item x="24"/>
        <item x="25"/>
        <item x="150"/>
        <item x="44"/>
        <item x="71"/>
        <item x="399"/>
        <item x="396"/>
        <item x="397"/>
        <item x="66"/>
        <item x="82"/>
        <item x="83"/>
        <item x="52"/>
        <item x="69"/>
        <item x="110"/>
        <item x="33"/>
        <item x="49"/>
        <item x="75"/>
        <item x="404"/>
        <item x="72"/>
        <item x="139"/>
        <item x="425"/>
        <item x="423"/>
        <item x="426"/>
        <item x="422"/>
        <item x="434"/>
        <item x="427"/>
        <item x="429"/>
        <item x="400"/>
        <item x="428"/>
        <item x="431"/>
        <item x="430"/>
        <item x="432"/>
        <item x="424"/>
        <item x="21"/>
        <item x="10"/>
        <item x="16"/>
        <item x="17"/>
        <item x="20"/>
        <item x="15"/>
        <item x="19"/>
        <item x="14"/>
        <item x="36"/>
        <item x="37"/>
        <item x="159"/>
        <item x="160"/>
        <item x="325"/>
        <item x="393"/>
        <item x="394"/>
        <item x="31"/>
        <item x="39"/>
        <item x="40"/>
        <item x="30"/>
        <item x="42"/>
        <item x="41"/>
        <item x="29"/>
        <item x="28"/>
        <item x="38"/>
        <item x="45"/>
        <item x="51"/>
        <item x="46"/>
        <item x="2"/>
        <item x="172"/>
        <item x="369"/>
        <item x="370"/>
        <item x="371"/>
        <item x="372"/>
        <item x="373"/>
        <item x="374"/>
        <item x="375"/>
        <item x="362"/>
        <item x="363"/>
        <item x="364"/>
        <item x="365"/>
        <item x="366"/>
        <item x="367"/>
        <item x="368"/>
        <item x="391"/>
        <item x="355"/>
        <item x="356"/>
        <item x="357"/>
        <item x="358"/>
        <item x="359"/>
        <item x="360"/>
        <item x="361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122"/>
        <item x="143"/>
        <item x="123"/>
        <item x="35"/>
        <item x="47"/>
        <item x="3"/>
        <item x="7"/>
        <item x="435"/>
        <item x="142"/>
        <item x="174"/>
        <item x="323"/>
        <item x="320"/>
        <item x="152"/>
        <item x="154"/>
        <item x="314"/>
        <item x="146"/>
        <item x="145"/>
        <item x="234"/>
        <item x="43"/>
        <item x="34"/>
        <item x="87"/>
        <item x="141"/>
        <item x="133"/>
        <item x="168"/>
        <item x="398"/>
        <item x="274"/>
        <item x="275"/>
        <item x="276"/>
        <item x="277"/>
        <item x="147"/>
        <item x="161"/>
        <item x="131"/>
        <item x="140"/>
        <item x="144"/>
        <item x="321"/>
        <item x="322"/>
        <item x="132"/>
        <item x="233"/>
        <item x="313"/>
        <item x="12"/>
        <item x="201"/>
        <item x="202"/>
        <item x="208"/>
        <item x="137"/>
        <item x="0"/>
        <item x="151"/>
        <item x="157"/>
        <item x="158"/>
        <item x="1"/>
        <item x="4"/>
        <item x="5"/>
        <item x="6"/>
        <item x="8"/>
        <item x="9"/>
        <item x="11"/>
        <item x="13"/>
        <item x="64"/>
        <item x="48"/>
        <item x="65"/>
        <item x="67"/>
        <item x="68"/>
        <item x="101"/>
        <item x="107"/>
        <item x="70"/>
        <item x="73"/>
        <item x="76"/>
        <item x="78"/>
        <item x="79"/>
        <item x="80"/>
        <item x="81"/>
        <item x="84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9"/>
        <item x="102"/>
        <item x="104"/>
        <item x="105"/>
        <item x="106"/>
        <item x="108"/>
        <item x="109"/>
        <item x="111"/>
        <item x="112"/>
        <item x="114"/>
        <item x="115"/>
        <item x="117"/>
        <item x="118"/>
        <item x="119"/>
        <item x="120"/>
        <item x="124"/>
        <item x="125"/>
        <item x="126"/>
        <item x="127"/>
        <item x="128"/>
        <item x="129"/>
        <item x="162"/>
        <item x="183"/>
        <item x="184"/>
        <item x="185"/>
        <item x="188"/>
        <item x="189"/>
        <item x="191"/>
        <item x="190"/>
        <item x="192"/>
        <item x="193"/>
        <item x="194"/>
        <item x="195"/>
        <item x="196"/>
        <item x="197"/>
        <item x="198"/>
        <item x="199"/>
        <item x="200"/>
        <item x="203"/>
        <item x="204"/>
        <item x="205"/>
        <item x="206"/>
        <item x="207"/>
        <item x="210"/>
        <item x="211"/>
        <item x="212"/>
        <item x="216"/>
        <item x="235"/>
        <item x="392"/>
        <item x="395"/>
        <item x="405"/>
        <item x="406"/>
        <item x="433"/>
        <item x="209"/>
        <item x="136"/>
        <item x="55"/>
        <item x="135"/>
        <item x="289"/>
        <item x="219"/>
        <item x="53"/>
        <item x="54"/>
        <item x="222"/>
        <item x="32"/>
        <item x="58"/>
        <item x="18"/>
        <item x="77"/>
        <item x="213"/>
        <item x="217"/>
        <item x="226"/>
        <item x="436"/>
        <item x="223"/>
        <item x="221"/>
        <item x="98"/>
        <item x="113"/>
        <item x="121"/>
        <item x="220"/>
        <item x="224"/>
        <item x="74"/>
        <item x="437"/>
        <item x="187"/>
        <item x="100"/>
        <item x="103"/>
        <item x="186"/>
        <item x="116"/>
        <item x="278"/>
        <item x="279"/>
        <item x="280"/>
        <item x="285"/>
        <item x="281"/>
        <item x="282"/>
        <item x="283"/>
        <item x="29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153"/>
        <item x="170"/>
        <item x="215"/>
        <item x="218"/>
        <item x="286"/>
        <item x="288"/>
        <item x="287"/>
        <item x="177"/>
        <item x="175"/>
        <item x="176"/>
        <item x="178"/>
        <item x="181"/>
        <item x="179"/>
        <item x="180"/>
        <item x="149"/>
        <item x="230"/>
        <item x="231"/>
        <item x="236"/>
        <item x="237"/>
        <item x="56"/>
        <item x="57"/>
        <item x="247"/>
        <item x="242"/>
        <item x="252"/>
        <item x="60"/>
        <item x="254"/>
        <item x="309"/>
        <item x="248"/>
        <item x="138"/>
        <item x="173"/>
        <item x="255"/>
        <item x="418"/>
        <item x="182"/>
        <item x="169"/>
        <item x="419"/>
        <item x="420"/>
        <item x="310"/>
        <item x="311"/>
        <item x="250"/>
        <item x="251"/>
        <item x="155"/>
        <item x="164"/>
        <item x="165"/>
        <item x="227"/>
        <item x="243"/>
        <item x="401"/>
        <item x="402"/>
        <item x="403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292"/>
        <item x="245"/>
        <item x="315"/>
        <item x="316"/>
        <item x="317"/>
        <item x="318"/>
        <item x="319"/>
        <item x="244"/>
        <item x="22"/>
        <item x="59"/>
        <item x="61"/>
        <item x="214"/>
        <item x="225"/>
        <item x="228"/>
        <item x="229"/>
        <item x="232"/>
        <item x="253"/>
        <item x="257"/>
        <item x="260"/>
        <item x="261"/>
        <item x="23"/>
        <item x="312"/>
        <item x="62"/>
        <item x="163"/>
        <item x="167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258"/>
        <item x="343"/>
        <item x="259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134"/>
        <item x="171"/>
        <item x="63"/>
        <item x="166"/>
        <item x="265"/>
        <item x="264"/>
        <item x="267"/>
        <item x="268"/>
        <item x="262"/>
        <item x="263"/>
        <item x="238"/>
        <item x="266"/>
        <item x="239"/>
        <item x="240"/>
        <item x="241"/>
        <item x="284"/>
        <item x="156"/>
        <item x="148"/>
        <item x="269"/>
        <item x="272"/>
        <item x="50"/>
        <item x="246"/>
        <item x="249"/>
        <item x="256"/>
        <item x="270"/>
        <item x="271"/>
        <item x="273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290"/>
        <item x="421"/>
        <item x="455"/>
        <item x="456"/>
        <item x="457"/>
        <item x="458"/>
        <item x="459"/>
        <item x="460"/>
        <item x="461"/>
        <item t="default"/>
      </items>
    </pivotField>
    <pivotField axis="axisRow" showAll="0">
      <items count="10">
        <item x="0"/>
        <item x="6"/>
        <item x="1"/>
        <item x="4"/>
        <item x="5"/>
        <item x="3"/>
        <item x="7"/>
        <item x="8"/>
        <item h="1" x="2"/>
        <item t="default"/>
      </items>
    </pivotField>
    <pivotField axis="axisRow" showAll="0">
      <items count="20">
        <item x="1"/>
        <item x="6"/>
        <item x="12"/>
        <item x="7"/>
        <item x="11"/>
        <item x="18"/>
        <item x="9"/>
        <item x="8"/>
        <item x="14"/>
        <item x="5"/>
        <item x="0"/>
        <item x="4"/>
        <item x="10"/>
        <item x="15"/>
        <item x="16"/>
        <item x="17"/>
        <item x="2"/>
        <item x="3"/>
        <item x="13"/>
        <item t="default"/>
      </items>
    </pivotField>
    <pivotField axis="axisRow" outline="0" showAll="0" defaultSubtotal="0">
      <items count="12">
        <item x="10"/>
        <item x="9"/>
        <item x="6"/>
        <item x="2"/>
        <item x="5"/>
        <item x="4"/>
        <item x="1"/>
        <item x="3"/>
        <item x="8"/>
        <item x="0"/>
        <item x="11"/>
        <item x="7"/>
      </items>
    </pivotField>
    <pivotField showAll="0"/>
    <pivotField axis="axisRow" outline="0" showAll="0" defaultSubtotal="0">
      <items count="645">
        <item x="577"/>
        <item x="574"/>
        <item x="575"/>
        <item x="579"/>
        <item x="580"/>
        <item x="581"/>
        <item x="582"/>
        <item x="604"/>
        <item x="605"/>
        <item x="606"/>
        <item x="607"/>
        <item x="608"/>
        <item x="609"/>
        <item x="610"/>
        <item x="612"/>
        <item x="613"/>
        <item x="614"/>
        <item x="616"/>
        <item x="33"/>
        <item x="37"/>
        <item x="40"/>
        <item x="43"/>
        <item x="56"/>
        <item x="62"/>
        <item x="67"/>
        <item x="77"/>
        <item x="111"/>
        <item x="115"/>
        <item x="153"/>
        <item x="41"/>
        <item x="44"/>
        <item x="57"/>
        <item x="38"/>
        <item x="34"/>
        <item x="78"/>
        <item x="154"/>
        <item x="152"/>
        <item x="65"/>
        <item x="60"/>
        <item x="364"/>
        <item x="365"/>
        <item x="366"/>
        <item x="368"/>
        <item x="369"/>
        <item x="372"/>
        <item x="373"/>
        <item x="374"/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5"/>
        <item x="39"/>
        <item x="42"/>
        <item x="46"/>
        <item x="47"/>
        <item x="48"/>
        <item x="49"/>
        <item x="50"/>
        <item x="51"/>
        <item x="52"/>
        <item x="53"/>
        <item x="54"/>
        <item x="55"/>
        <item x="58"/>
        <item x="59"/>
        <item x="64"/>
        <item x="69"/>
        <item x="71"/>
        <item x="73"/>
        <item x="75"/>
        <item x="76"/>
        <item x="94"/>
        <item x="97"/>
        <item x="99"/>
        <item x="100"/>
        <item x="103"/>
        <item x="110"/>
        <item x="114"/>
        <item x="120"/>
        <item x="151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1"/>
        <item x="204"/>
        <item x="207"/>
        <item x="238"/>
        <item x="240"/>
        <item x="309"/>
        <item x="310"/>
        <item x="362"/>
        <item x="363"/>
        <item x="367"/>
        <item x="371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7"/>
        <item x="568"/>
        <item x="570"/>
        <item x="571"/>
        <item x="572"/>
        <item x="586"/>
        <item x="566"/>
        <item x="13"/>
        <item x="79"/>
        <item x="81"/>
        <item x="273"/>
        <item x="274"/>
        <item x="280"/>
        <item x="282"/>
        <item x="183"/>
        <item x="311"/>
        <item x="315"/>
        <item x="312"/>
        <item x="206"/>
        <item x="214"/>
        <item x="215"/>
        <item x="212"/>
        <item x="213"/>
        <item x="216"/>
        <item x="1"/>
        <item x="5"/>
        <item x="6"/>
        <item x="7"/>
        <item x="9"/>
        <item x="15"/>
        <item x="32"/>
        <item x="36"/>
        <item x="61"/>
        <item x="63"/>
        <item x="66"/>
        <item x="68"/>
        <item x="70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30"/>
        <item x="132"/>
        <item x="133"/>
        <item x="134"/>
        <item x="135"/>
        <item x="143"/>
        <item x="146"/>
        <item x="159"/>
        <item x="161"/>
        <item x="162"/>
        <item x="176"/>
        <item x="181"/>
        <item x="196"/>
        <item x="205"/>
        <item x="234"/>
        <item x="249"/>
        <item x="272"/>
        <item x="279"/>
        <item x="281"/>
        <item x="283"/>
        <item x="284"/>
        <item x="288"/>
        <item x="316"/>
        <item x="578"/>
        <item x="587"/>
        <item x="588"/>
        <item x="593"/>
        <item x="594"/>
        <item x="615"/>
        <item x="72"/>
        <item x="92"/>
        <item x="112"/>
        <item x="113"/>
        <item x="116"/>
        <item x="198"/>
        <item x="370"/>
        <item x="576"/>
        <item x="611"/>
        <item x="617"/>
        <item x="10"/>
        <item x="12"/>
        <item x="129"/>
        <item x="136"/>
        <item x="138"/>
        <item x="139"/>
        <item x="140"/>
        <item x="141"/>
        <item x="142"/>
        <item x="144"/>
        <item x="145"/>
        <item x="147"/>
        <item x="149"/>
        <item x="150"/>
        <item x="155"/>
        <item x="156"/>
        <item x="158"/>
        <item x="160"/>
        <item x="163"/>
        <item x="164"/>
        <item x="168"/>
        <item x="169"/>
        <item x="170"/>
        <item x="171"/>
        <item x="172"/>
        <item x="173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5"/>
        <item x="276"/>
        <item x="277"/>
        <item x="278"/>
        <item x="83"/>
        <item x="386"/>
        <item x="387"/>
        <item x="388"/>
        <item x="293"/>
        <item x="296"/>
        <item x="80"/>
        <item x="82"/>
        <item x="45"/>
        <item x="86"/>
        <item x="569"/>
        <item x="573"/>
        <item x="193"/>
        <item x="217"/>
        <item x="20"/>
        <item x="105"/>
        <item x="285"/>
        <item x="302"/>
        <item x="301"/>
        <item x="618"/>
        <item x="297"/>
        <item x="295"/>
        <item x="131"/>
        <item x="157"/>
        <item x="165"/>
        <item x="298"/>
        <item x="619"/>
        <item x="287"/>
        <item x="290"/>
        <item x="291"/>
        <item x="292"/>
        <item x="299"/>
        <item x="375"/>
        <item x="376"/>
        <item x="377"/>
        <item x="382"/>
        <item x="378"/>
        <item x="379"/>
        <item x="380"/>
        <item x="389"/>
        <item x="393"/>
        <item x="391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208"/>
        <item x="236"/>
        <item x="209"/>
        <item x="102"/>
        <item x="294"/>
        <item x="383"/>
        <item x="385"/>
        <item x="384"/>
        <item x="243"/>
        <item x="241"/>
        <item x="242"/>
        <item x="244"/>
        <item x="247"/>
        <item x="245"/>
        <item x="246"/>
        <item x="203"/>
        <item x="306"/>
        <item x="307"/>
        <item x="317"/>
        <item x="318"/>
        <item x="84"/>
        <item x="85"/>
        <item x="334"/>
        <item x="329"/>
        <item x="339"/>
        <item x="88"/>
        <item x="341"/>
        <item x="412"/>
        <item x="335"/>
        <item x="390"/>
        <item x="392"/>
        <item x="394"/>
        <item x="184"/>
        <item x="239"/>
        <item x="343"/>
        <item x="600"/>
        <item x="248"/>
        <item x="235"/>
        <item x="601"/>
        <item x="602"/>
        <item x="413"/>
        <item x="414"/>
        <item x="337"/>
        <item x="338"/>
        <item x="210"/>
        <item x="2"/>
        <item x="14"/>
        <item x="24"/>
        <item x="87"/>
        <item x="225"/>
        <item x="226"/>
        <item x="303"/>
        <item x="319"/>
        <item x="330"/>
        <item x="342"/>
        <item x="583"/>
        <item x="584"/>
        <item x="585"/>
        <item x="589"/>
        <item x="590"/>
        <item x="591"/>
        <item x="592"/>
        <item x="595"/>
        <item x="596"/>
        <item x="597"/>
        <item x="598"/>
        <item x="599"/>
        <item x="395"/>
        <item x="314"/>
        <item x="332"/>
        <item x="416"/>
        <item x="417"/>
        <item x="418"/>
        <item x="421"/>
        <item x="424"/>
        <item x="428"/>
        <item x="432"/>
        <item x="435"/>
        <item x="436"/>
        <item x="437"/>
        <item x="438"/>
        <item x="439"/>
        <item x="440"/>
        <item x="331"/>
        <item x="25"/>
        <item x="89"/>
        <item x="195"/>
        <item x="286"/>
        <item x="289"/>
        <item x="300"/>
        <item x="304"/>
        <item x="305"/>
        <item x="308"/>
        <item x="340"/>
        <item x="345"/>
        <item x="348"/>
        <item x="349"/>
        <item x="420"/>
        <item x="423"/>
        <item x="425"/>
        <item x="427"/>
        <item x="429"/>
        <item x="431"/>
        <item x="434"/>
        <item x="26"/>
        <item x="419"/>
        <item x="422"/>
        <item x="426"/>
        <item x="430"/>
        <item x="433"/>
        <item x="415"/>
        <item x="200"/>
        <item x="199"/>
        <item x="90"/>
        <item x="219"/>
        <item x="228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346"/>
        <item x="484"/>
        <item x="485"/>
        <item x="486"/>
        <item x="34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179"/>
        <item x="237"/>
        <item x="194"/>
        <item x="603"/>
        <item x="91"/>
        <item x="227"/>
        <item x="350"/>
        <item x="353"/>
        <item x="355"/>
        <item x="352"/>
        <item x="351"/>
        <item x="320"/>
        <item x="354"/>
        <item x="323"/>
        <item x="325"/>
        <item x="327"/>
        <item x="381"/>
        <item x="211"/>
        <item x="356"/>
        <item x="202"/>
        <item x="357"/>
        <item x="360"/>
        <item x="74"/>
        <item x="333"/>
        <item x="336"/>
        <item x="344"/>
        <item x="358"/>
        <item x="359"/>
        <item x="361"/>
        <item x="185"/>
        <item x="197"/>
        <item x="218"/>
        <item x="220"/>
        <item x="221"/>
        <item x="222"/>
        <item x="223"/>
        <item x="224"/>
        <item x="229"/>
        <item x="230"/>
        <item x="231"/>
        <item x="232"/>
        <item x="233"/>
        <item x="313"/>
        <item x="321"/>
        <item x="322"/>
        <item x="324"/>
        <item x="326"/>
        <item x="328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</items>
    </pivotField>
    <pivotField axis="axisRow" outline="0" showAll="0" defaultSubtotal="0">
      <items count="17">
        <item x="5"/>
        <item x="12"/>
        <item x="11"/>
        <item x="13"/>
        <item x="7"/>
        <item x="10"/>
        <item x="16"/>
        <item x="8"/>
        <item x="1"/>
        <item x="6"/>
        <item x="9"/>
        <item x="4"/>
        <item x="2"/>
        <item x="14"/>
        <item x="15"/>
        <item x="0"/>
        <item x="3"/>
      </items>
    </pivotField>
    <pivotField axis="axisRow" outline="0" showAll="0" defaultSubtotal="0">
      <items count="16">
        <item x="8"/>
        <item x="2"/>
        <item x="1"/>
        <item x="3"/>
        <item x="4"/>
        <item x="5"/>
        <item x="7"/>
        <item x="6"/>
        <item x="11"/>
        <item x="0"/>
        <item x="9"/>
        <item x="10"/>
        <item x="15"/>
        <item x="12"/>
        <item x="13"/>
        <item x="14"/>
      </items>
    </pivotField>
    <pivotField axis="axisRow" outline="0" showAll="0" defaultSubtotal="0">
      <items count="240">
        <item x="161"/>
        <item x="183"/>
        <item x="172"/>
        <item x="155"/>
        <item x="170"/>
        <item x="79"/>
        <item x="178"/>
        <item x="158"/>
        <item x="143"/>
        <item x="133"/>
        <item x="60"/>
        <item x="173"/>
        <item x="57"/>
        <item x="71"/>
        <item x="192"/>
        <item x="140"/>
        <item x="157"/>
        <item x="59"/>
        <item x="61"/>
        <item x="164"/>
        <item x="166"/>
        <item x="4"/>
        <item x="142"/>
        <item x="179"/>
        <item x="69"/>
        <item x="28"/>
        <item x="156"/>
        <item x="9"/>
        <item x="163"/>
        <item x="237"/>
        <item x="184"/>
        <item x="52"/>
        <item x="168"/>
        <item x="63"/>
        <item x="189"/>
        <item x="126"/>
        <item x="82"/>
        <item x="162"/>
        <item x="23"/>
        <item x="29"/>
        <item x="187"/>
        <item x="80"/>
        <item x="84"/>
        <item x="118"/>
        <item x="191"/>
        <item x="132"/>
        <item x="188"/>
        <item x="117"/>
        <item x="125"/>
        <item x="67"/>
        <item x="115"/>
        <item x="30"/>
        <item x="68"/>
        <item x="0"/>
        <item x="160"/>
        <item x="56"/>
        <item x="159"/>
        <item x="70"/>
        <item x="128"/>
        <item x="175"/>
        <item x="113"/>
        <item x="124"/>
        <item x="58"/>
        <item x="8"/>
        <item x="190"/>
        <item x="129"/>
        <item x="174"/>
        <item x="76"/>
        <item x="22"/>
        <item x="114"/>
        <item x="66"/>
        <item x="119"/>
        <item x="6"/>
        <item x="182"/>
        <item x="55"/>
        <item x="21"/>
        <item x="116"/>
        <item x="180"/>
        <item x="17"/>
        <item x="1"/>
        <item x="12"/>
        <item x="81"/>
        <item x="185"/>
        <item x="165"/>
        <item x="112"/>
        <item x="186"/>
        <item x="193"/>
        <item x="77"/>
        <item x="83"/>
        <item x="167"/>
        <item x="11"/>
        <item x="13"/>
        <item x="51"/>
        <item x="5"/>
        <item x="171"/>
        <item x="123"/>
        <item x="31"/>
        <item x="169"/>
        <item x="75"/>
        <item x="221"/>
        <item x="120"/>
        <item x="176"/>
        <item x="33"/>
        <item x="14"/>
        <item x="10"/>
        <item x="122"/>
        <item x="39"/>
        <item x="32"/>
        <item x="78"/>
        <item x="141"/>
        <item x="15"/>
        <item x="54"/>
        <item x="181"/>
        <item x="177"/>
        <item x="2"/>
        <item x="217"/>
        <item x="18"/>
        <item x="95"/>
        <item x="3"/>
        <item x="16"/>
        <item x="218"/>
        <item x="152"/>
        <item x="74"/>
        <item x="220"/>
        <item x="111"/>
        <item x="121"/>
        <item x="53"/>
        <item x="85"/>
        <item x="64"/>
        <item x="7"/>
        <item x="44"/>
        <item x="65"/>
        <item x="19"/>
        <item x="62"/>
        <item x="86"/>
        <item x="96"/>
        <item x="110"/>
        <item x="139"/>
        <item x="20"/>
        <item x="43"/>
        <item x="154"/>
        <item x="50"/>
        <item x="153"/>
        <item x="127"/>
        <item x="87"/>
        <item x="72"/>
        <item x="73"/>
        <item x="104"/>
        <item x="130"/>
        <item x="229"/>
        <item x="109"/>
        <item x="42"/>
        <item x="214"/>
        <item x="102"/>
        <item x="223"/>
        <item x="100"/>
        <item x="230"/>
        <item x="227"/>
        <item x="41"/>
        <item x="93"/>
        <item x="209"/>
        <item x="215"/>
        <item x="148"/>
        <item x="34"/>
        <item x="210"/>
        <item x="88"/>
        <item x="89"/>
        <item x="103"/>
        <item x="235"/>
        <item x="94"/>
        <item x="234"/>
        <item x="91"/>
        <item x="90"/>
        <item x="228"/>
        <item x="101"/>
        <item x="40"/>
        <item x="224"/>
        <item x="92"/>
        <item x="232"/>
        <item x="134"/>
        <item x="144"/>
        <item x="131"/>
        <item x="35"/>
        <item x="149"/>
        <item x="233"/>
        <item x="106"/>
        <item x="36"/>
        <item x="231"/>
        <item x="27"/>
        <item x="150"/>
        <item x="147"/>
        <item x="37"/>
        <item x="105"/>
        <item x="97"/>
        <item x="151"/>
        <item x="145"/>
        <item x="146"/>
        <item x="47"/>
        <item x="219"/>
        <item x="107"/>
        <item x="236"/>
        <item x="108"/>
        <item x="26"/>
        <item x="216"/>
        <item x="38"/>
        <item x="213"/>
        <item x="137"/>
        <item x="135"/>
        <item x="222"/>
        <item x="99"/>
        <item x="211"/>
        <item x="45"/>
        <item x="212"/>
        <item x="225"/>
        <item x="98"/>
        <item x="25"/>
        <item x="46"/>
        <item x="226"/>
        <item x="136"/>
        <item x="24"/>
        <item x="48"/>
        <item x="49"/>
        <item x="138"/>
        <item x="238"/>
        <item x="239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</items>
    </pivotField>
    <pivotField showAll="0"/>
    <pivotField showAll="0"/>
    <pivotField axis="axisRow" outline="0" showAll="0" defaultSubtotal="0">
      <items count="240">
        <item x="161"/>
        <item x="183"/>
        <item x="172"/>
        <item x="155"/>
        <item x="170"/>
        <item x="79"/>
        <item x="178"/>
        <item x="158"/>
        <item x="143"/>
        <item x="133"/>
        <item x="60"/>
        <item x="173"/>
        <item x="57"/>
        <item x="71"/>
        <item x="192"/>
        <item x="140"/>
        <item x="157"/>
        <item x="59"/>
        <item x="61"/>
        <item x="164"/>
        <item x="166"/>
        <item x="4"/>
        <item x="142"/>
        <item x="179"/>
        <item x="69"/>
        <item x="28"/>
        <item x="156"/>
        <item x="9"/>
        <item x="163"/>
        <item x="237"/>
        <item x="184"/>
        <item x="52"/>
        <item x="168"/>
        <item x="63"/>
        <item x="189"/>
        <item x="126"/>
        <item x="82"/>
        <item x="162"/>
        <item x="23"/>
        <item x="29"/>
        <item x="187"/>
        <item x="80"/>
        <item x="84"/>
        <item x="118"/>
        <item x="191"/>
        <item x="132"/>
        <item x="188"/>
        <item x="117"/>
        <item x="125"/>
        <item x="67"/>
        <item x="115"/>
        <item x="30"/>
        <item x="68"/>
        <item x="0"/>
        <item x="160"/>
        <item x="56"/>
        <item x="159"/>
        <item x="70"/>
        <item x="128"/>
        <item x="175"/>
        <item x="113"/>
        <item x="124"/>
        <item x="58"/>
        <item x="8"/>
        <item x="190"/>
        <item x="129"/>
        <item x="174"/>
        <item x="76"/>
        <item x="22"/>
        <item x="114"/>
        <item x="66"/>
        <item x="119"/>
        <item x="6"/>
        <item x="182"/>
        <item x="55"/>
        <item x="21"/>
        <item x="116"/>
        <item x="180"/>
        <item x="17"/>
        <item x="1"/>
        <item x="12"/>
        <item x="81"/>
        <item x="185"/>
        <item x="165"/>
        <item x="112"/>
        <item x="186"/>
        <item x="193"/>
        <item x="77"/>
        <item x="83"/>
        <item x="167"/>
        <item x="11"/>
        <item x="13"/>
        <item x="51"/>
        <item x="5"/>
        <item x="171"/>
        <item x="31"/>
        <item x="169"/>
        <item x="75"/>
        <item x="221"/>
        <item x="120"/>
        <item x="176"/>
        <item x="33"/>
        <item x="14"/>
        <item x="10"/>
        <item x="122"/>
        <item x="32"/>
        <item x="78"/>
        <item x="141"/>
        <item x="15"/>
        <item x="181"/>
        <item x="177"/>
        <item x="2"/>
        <item x="217"/>
        <item x="18"/>
        <item x="95"/>
        <item x="3"/>
        <item x="16"/>
        <item x="218"/>
        <item x="74"/>
        <item x="220"/>
        <item x="111"/>
        <item x="121"/>
        <item x="53"/>
        <item x="64"/>
        <item x="7"/>
        <item x="44"/>
        <item x="65"/>
        <item x="19"/>
        <item x="62"/>
        <item x="20"/>
        <item x="50"/>
        <item x="127"/>
        <item x="87"/>
        <item x="72"/>
        <item x="73"/>
        <item x="104"/>
        <item x="130"/>
        <item x="109"/>
        <item x="102"/>
        <item x="223"/>
        <item x="100"/>
        <item x="93"/>
        <item x="148"/>
        <item x="88"/>
        <item x="89"/>
        <item x="103"/>
        <item x="91"/>
        <item x="90"/>
        <item x="228"/>
        <item x="101"/>
        <item x="40"/>
        <item x="224"/>
        <item x="92"/>
        <item x="144"/>
        <item x="131"/>
        <item x="149"/>
        <item x="106"/>
        <item x="150"/>
        <item x="147"/>
        <item x="105"/>
        <item x="151"/>
        <item x="145"/>
        <item x="146"/>
        <item x="47"/>
        <item x="219"/>
        <item x="107"/>
        <item x="108"/>
        <item x="216"/>
        <item x="137"/>
        <item x="222"/>
        <item x="45"/>
        <item x="225"/>
        <item x="46"/>
        <item x="226"/>
        <item x="138"/>
        <item x="24"/>
        <item x="25"/>
        <item x="26"/>
        <item x="27"/>
        <item x="34"/>
        <item x="35"/>
        <item x="36"/>
        <item x="37"/>
        <item x="38"/>
        <item x="39"/>
        <item x="41"/>
        <item x="42"/>
        <item x="43"/>
        <item x="54"/>
        <item x="85"/>
        <item x="86"/>
        <item x="110"/>
        <item x="152"/>
        <item x="96"/>
        <item x="153"/>
        <item x="154"/>
        <item x="227"/>
        <item x="48"/>
        <item x="49"/>
        <item x="94"/>
        <item x="97"/>
        <item x="98"/>
        <item x="99"/>
        <item x="123"/>
        <item x="134"/>
        <item x="135"/>
        <item x="136"/>
        <item x="139"/>
        <item x="209"/>
        <item x="210"/>
        <item x="211"/>
        <item x="212"/>
        <item x="213"/>
        <item x="214"/>
        <item x="215"/>
        <item x="229"/>
        <item x="230"/>
        <item x="231"/>
        <item x="232"/>
        <item x="233"/>
        <item x="234"/>
        <item x="235"/>
        <item x="236"/>
        <item x="238"/>
        <item x="239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</items>
    </pivotField>
    <pivotField showAll="0"/>
    <pivotField showAll="0"/>
    <pivotField axis="axisRow" numFmtId="9" outline="0" showAll="0" defaultSubtotal="0">
      <items count="3">
        <item x="2"/>
        <item x="0"/>
        <item x="1"/>
      </items>
    </pivotField>
    <pivotField showAll="0"/>
    <pivotField numFmtId="4" showAll="0"/>
    <pivotField numFmtId="4" showAll="0"/>
    <pivotField showAll="0"/>
    <pivotField showAll="0"/>
  </pivotFields>
  <rowFields count="12">
    <field x="3"/>
    <field x="4"/>
    <field x="1"/>
    <field x="2"/>
    <field x="0"/>
    <field x="7"/>
    <field x="9"/>
    <field x="8"/>
    <field x="5"/>
    <field x="16"/>
    <field x="10"/>
    <field x="13"/>
  </rowFields>
  <rowItems count="795">
    <i>
      <x/>
    </i>
    <i r="1">
      <x/>
    </i>
    <i r="2">
      <x v="3"/>
      <x v="64"/>
    </i>
    <i r="4">
      <x v="1"/>
      <x v="48"/>
      <x v="9"/>
      <x v="8"/>
      <x v="6"/>
      <x v="1"/>
      <x v="114"/>
      <x v="111"/>
    </i>
    <i r="2">
      <x v="139"/>
      <x/>
    </i>
    <i r="4">
      <x v="69"/>
      <x v="96"/>
      <x v="9"/>
      <x v="8"/>
      <x v="6"/>
      <x v="1"/>
      <x v="127"/>
      <x v="189"/>
    </i>
    <i r="2">
      <x v="181"/>
      <x v="65"/>
    </i>
    <i r="4">
      <x v="85"/>
      <x v="112"/>
      <x v="9"/>
      <x v="8"/>
      <x v="6"/>
      <x v="1"/>
      <x v="136"/>
      <x v="191"/>
    </i>
    <i r="2">
      <x v="182"/>
      <x v="323"/>
    </i>
    <i r="4">
      <x v="401"/>
      <x v="402"/>
      <x v="9"/>
      <x v="8"/>
      <x v="6"/>
      <x v="1"/>
      <x v="141"/>
      <x v="130"/>
    </i>
    <i r="2">
      <x v="183"/>
      <x v="112"/>
    </i>
    <i r="4">
      <x v="86"/>
      <x v="113"/>
      <x v="9"/>
      <x v="11"/>
      <x v="6"/>
      <x v="1"/>
      <x v="118"/>
      <x v="115"/>
    </i>
    <i r="2">
      <x v="277"/>
      <x v="324"/>
    </i>
    <i r="4">
      <x v="402"/>
      <x v="403"/>
      <x v="14"/>
      <x v="16"/>
      <x v="6"/>
      <x v="1"/>
      <x v="104"/>
      <x v="103"/>
    </i>
    <i r="2">
      <x v="527"/>
      <x v="328"/>
    </i>
    <i r="4">
      <x v="406"/>
      <x v="407"/>
      <x v="9"/>
      <x/>
      <x v="6"/>
      <x v="1"/>
      <x v="157"/>
      <x v="196"/>
    </i>
    <i r="1">
      <x v="1"/>
    </i>
    <i r="2">
      <x v="140"/>
      <x v="134"/>
    </i>
    <i r="4">
      <x v="70"/>
      <x v="97"/>
      <x v="4"/>
      <x v="5"/>
      <x v="6"/>
      <x v="1"/>
      <x v="134"/>
      <x v="190"/>
    </i>
    <i r="4">
      <x v="75"/>
      <x v="102"/>
      <x v="2"/>
      <x v="7"/>
      <x v="6"/>
      <x v="1"/>
      <x v="134"/>
      <x v="190"/>
    </i>
    <i r="4">
      <x v="257"/>
      <x v="230"/>
      <x v="5"/>
      <x v="5"/>
      <x v="6"/>
      <x v="1"/>
      <x v="134"/>
      <x v="190"/>
    </i>
    <i r="2">
      <x v="141"/>
      <x v="139"/>
    </i>
    <i r="4">
      <x v="71"/>
      <x v="98"/>
      <x v="9"/>
      <x v="8"/>
      <x v="6"/>
      <x v="1"/>
      <x v="144"/>
      <x v="132"/>
    </i>
    <i r="2">
      <x v="347"/>
      <x v="114"/>
    </i>
    <i r="4">
      <x v="445"/>
      <x v="446"/>
      <x v="9"/>
      <x v="11"/>
      <x v="6"/>
      <x v="1"/>
      <x v="130"/>
      <x v="125"/>
    </i>
    <i r="2">
      <x v="348"/>
      <x v="137"/>
    </i>
    <i r="4">
      <x v="446"/>
      <x v="447"/>
      <x v="9"/>
      <x v="8"/>
      <x v="6"/>
      <x v="1"/>
      <x v="150"/>
      <x v="137"/>
    </i>
    <i r="2">
      <x v="349"/>
      <x v="138"/>
    </i>
    <i r="4">
      <x v="447"/>
      <x v="448"/>
      <x v="9"/>
      <x v="11"/>
      <x v="6"/>
      <x v="1"/>
      <x v="121"/>
      <x v="192"/>
    </i>
    <i r="1">
      <x v="2"/>
    </i>
    <i r="2">
      <x v="167"/>
      <x v="149"/>
    </i>
    <i r="4">
      <x v="183"/>
      <x v="181"/>
      <x v="9"/>
      <x v="8"/>
      <x v="9"/>
      <x v="1"/>
      <x v="98"/>
      <x v="97"/>
    </i>
    <i r="2">
      <x v="168"/>
      <x v="150"/>
    </i>
    <i r="4">
      <x v="184"/>
      <x v="182"/>
      <x v="9"/>
      <x v="8"/>
      <x v="9"/>
      <x v="1"/>
      <x v="110"/>
      <x v="108"/>
    </i>
    <i r="1">
      <x v="3"/>
    </i>
    <i r="2">
      <x v="144"/>
      <x v="242"/>
    </i>
    <i r="4">
      <x v="73"/>
      <x v="100"/>
      <x v="4"/>
      <x v="2"/>
      <x v="9"/>
      <x v="1"/>
      <x v="166"/>
      <x v="144"/>
    </i>
    <i r="4">
      <x v="76"/>
      <x v="103"/>
      <x v="2"/>
      <x v="16"/>
      <x v="9"/>
      <x v="1"/>
      <x v="165"/>
      <x v="143"/>
    </i>
    <i r="4">
      <x v="258"/>
      <x v="231"/>
      <x v="5"/>
      <x v="2"/>
      <x v="9"/>
      <x v="1"/>
      <x v="166"/>
      <x v="144"/>
    </i>
    <i r="2">
      <x v="145"/>
      <x v="240"/>
    </i>
    <i r="4">
      <x v="74"/>
      <x v="101"/>
      <x v="4"/>
      <x v="2"/>
      <x v="9"/>
      <x v="1"/>
      <x v="172"/>
      <x v="147"/>
    </i>
    <i r="2">
      <x v="147"/>
      <x v="322"/>
    </i>
    <i r="4">
      <x v="400"/>
      <x v="401"/>
      <x v="4"/>
      <x v="2"/>
      <x v="9"/>
      <x v="1"/>
      <x v="177"/>
      <x v="152"/>
    </i>
    <i r="4">
      <x v="601"/>
      <x v="601"/>
      <x v="6"/>
      <x v="2"/>
      <x v="9"/>
      <x v="1"/>
      <x v="177"/>
      <x v="152"/>
    </i>
    <i r="2">
      <x v="172"/>
      <x v="207"/>
    </i>
    <i r="4">
      <x v="262"/>
      <x v="324"/>
      <x v="4"/>
      <x v="2"/>
      <x v="9"/>
      <x v="1"/>
      <x v="166"/>
      <x v="144"/>
    </i>
    <i r="4">
      <x v="604"/>
      <x v="603"/>
      <x v="6"/>
      <x v="16"/>
      <x v="9"/>
      <x v="1"/>
      <x v="166"/>
      <x v="144"/>
    </i>
    <i r="1">
      <x v="4"/>
    </i>
    <i r="2">
      <x v="161"/>
      <x v="148"/>
    </i>
    <i r="4">
      <x v="180"/>
      <x v="178"/>
      <x v="9"/>
      <x v="8"/>
      <x v="9"/>
      <x v="1"/>
      <x v="79"/>
      <x v="79"/>
    </i>
    <i r="2">
      <x v="169"/>
      <x v="47"/>
    </i>
    <i r="4">
      <x v="181"/>
      <x v="179"/>
      <x v="9"/>
      <x v="8"/>
      <x v="9"/>
      <x v="1"/>
      <x v="108"/>
      <x v="106"/>
    </i>
    <i r="2">
      <x v="170"/>
      <x v="48"/>
    </i>
    <i r="4">
      <x v="182"/>
      <x v="180"/>
      <x v="9"/>
      <x v="8"/>
      <x v="9"/>
      <x v="1"/>
      <x v="93"/>
      <x v="93"/>
    </i>
    <i r="1">
      <x v="5"/>
    </i>
    <i r="2">
      <x v="350"/>
      <x v="113"/>
    </i>
    <i r="4">
      <x v="448"/>
      <x v="449"/>
      <x v="9"/>
      <x v="8"/>
      <x v="6"/>
      <x v="1"/>
      <x v="135"/>
      <x v="193"/>
    </i>
    <i r="2">
      <x v="351"/>
      <x v="1"/>
    </i>
    <i r="4">
      <x v="449"/>
      <x v="450"/>
      <x v="9"/>
      <x v="8"/>
      <x v="6"/>
      <x v="1"/>
      <x v="142"/>
      <x v="194"/>
    </i>
    <i r="1">
      <x v="6"/>
    </i>
    <i r="2">
      <x v="156"/>
      <x v="132"/>
    </i>
    <i r="4">
      <x v="82"/>
      <x v="109"/>
      <x v="9"/>
      <x v="5"/>
      <x v="6"/>
      <x v="1"/>
      <x v="155"/>
      <x v="140"/>
    </i>
    <i r="2">
      <x v="157"/>
      <x v="426"/>
    </i>
    <i r="4">
      <x v="589"/>
      <x v="591"/>
      <x v="9"/>
      <x v="8"/>
      <x v="6"/>
      <x v="1"/>
      <x v="119"/>
      <x v="116"/>
    </i>
    <i r="2">
      <x v="159"/>
      <x v="308"/>
    </i>
    <i r="4">
      <x v="383"/>
      <x v="384"/>
      <x v="9"/>
      <x v="11"/>
      <x v="9"/>
      <x v="1"/>
      <x v="104"/>
      <x v="103"/>
    </i>
    <i r="2">
      <x v="171"/>
      <x v="133"/>
    </i>
    <i r="4">
      <x v="185"/>
      <x v="183"/>
      <x v="4"/>
      <x v="7"/>
      <x v="9"/>
      <x v="1"/>
      <x v="110"/>
      <x v="108"/>
    </i>
    <i r="2">
      <x v="255"/>
      <x v="311"/>
    </i>
    <i r="4">
      <x v="386"/>
      <x v="387"/>
      <x v="9"/>
      <x v="13"/>
      <x v="9"/>
      <x v="1"/>
      <x v="105"/>
      <x v="104"/>
    </i>
    <i r="2">
      <x v="256"/>
      <x v="312"/>
    </i>
    <i r="4">
      <x v="387"/>
      <x v="388"/>
      <x v="9"/>
      <x v="11"/>
      <x v="9"/>
      <x v="1"/>
      <x v="117"/>
      <x v="114"/>
    </i>
    <i r="2">
      <x v="257"/>
      <x v="312"/>
    </i>
    <i r="4">
      <x v="420"/>
      <x v="421"/>
      <x v="9"/>
      <x v="11"/>
      <x v="9"/>
      <x v="1"/>
      <x v="117"/>
      <x v="114"/>
    </i>
    <i r="2">
      <x v="263"/>
      <x v="316"/>
    </i>
    <i r="4">
      <x v="391"/>
      <x v="392"/>
      <x v="9"/>
      <x v="8"/>
      <x v="6"/>
      <x v="1"/>
      <x v="116"/>
      <x v="113"/>
    </i>
    <i r="2">
      <x v="352"/>
      <x v="49"/>
    </i>
    <i r="4">
      <x v="450"/>
      <x v="451"/>
      <x v="9"/>
      <x v="11"/>
      <x v="6"/>
      <x v="1"/>
      <x v="140"/>
      <x v="195"/>
    </i>
    <i r="1">
      <x v="7"/>
    </i>
    <i r="2">
      <x v="146"/>
      <x v="146"/>
    </i>
    <i r="4">
      <x v="176"/>
      <x v="174"/>
      <x v="9"/>
      <x v="16"/>
      <x v="6"/>
      <x v="1"/>
      <x v="171"/>
      <x v="146"/>
    </i>
    <i r="2">
      <x v="340"/>
      <x v="141"/>
    </i>
    <i r="4">
      <x v="438"/>
      <x v="439"/>
      <x v="9"/>
      <x v="8"/>
      <x v="6"/>
      <x v="1"/>
      <x v="141"/>
      <x v="130"/>
    </i>
    <i r="2">
      <x v="341"/>
      <x v="117"/>
    </i>
    <i r="4">
      <x v="439"/>
      <x v="440"/>
      <x v="9"/>
      <x v="3"/>
      <x v="6"/>
      <x v="1"/>
      <x v="159"/>
      <x v="141"/>
    </i>
    <i r="2">
      <x v="342"/>
      <x v="355"/>
    </i>
    <i r="4">
      <x v="440"/>
      <x v="441"/>
      <x v="4"/>
      <x v="2"/>
      <x v="8"/>
      <x v="1"/>
      <x v="166"/>
      <x v="144"/>
    </i>
    <i r="4">
      <x v="463"/>
      <x v="466"/>
      <x v="10"/>
      <x v="2"/>
      <x v="8"/>
      <x v="1"/>
      <x v="166"/>
      <x v="144"/>
    </i>
    <i r="4">
      <x v="471"/>
      <x v="474"/>
      <x v="6"/>
      <x v="2"/>
      <x v="8"/>
      <x v="1"/>
      <x v="166"/>
      <x v="144"/>
    </i>
    <i r="2">
      <x v="343"/>
      <x v="356"/>
    </i>
    <i r="4">
      <x v="441"/>
      <x v="442"/>
      <x v="4"/>
      <x v="2"/>
      <x v="8"/>
      <x v="1"/>
      <x v="172"/>
      <x v="147"/>
    </i>
    <i r="4">
      <x v="464"/>
      <x v="467"/>
      <x v="10"/>
      <x v="2"/>
      <x v="8"/>
      <x v="1"/>
      <x v="172"/>
      <x v="147"/>
    </i>
    <i r="4">
      <x v="472"/>
      <x v="475"/>
      <x v="6"/>
      <x v="2"/>
      <x v="8"/>
      <x v="1"/>
      <x v="172"/>
      <x v="147"/>
    </i>
    <i r="2">
      <x v="344"/>
      <x v="357"/>
    </i>
    <i r="4">
      <x v="442"/>
      <x v="443"/>
      <x v="4"/>
      <x v="2"/>
      <x v="8"/>
      <x v="1"/>
      <x v="183"/>
      <x v="155"/>
    </i>
    <i r="4">
      <x v="465"/>
      <x v="468"/>
      <x v="12"/>
      <x v="2"/>
      <x v="8"/>
      <x v="1"/>
      <x v="183"/>
      <x v="155"/>
    </i>
    <i r="4">
      <x v="466"/>
      <x v="469"/>
      <x v="10"/>
      <x v="2"/>
      <x v="8"/>
      <x v="1"/>
      <x v="183"/>
      <x v="155"/>
    </i>
    <i r="4">
      <x v="473"/>
      <x v="476"/>
      <x v="5"/>
      <x v="2"/>
      <x v="8"/>
      <x v="1"/>
      <x v="183"/>
      <x v="155"/>
    </i>
    <i r="2">
      <x v="345"/>
      <x v="358"/>
    </i>
    <i r="4">
      <x v="443"/>
      <x v="444"/>
      <x v="4"/>
      <x v="2"/>
      <x v="8"/>
      <x v="1"/>
      <x v="189"/>
      <x v="157"/>
    </i>
    <i r="4">
      <x v="467"/>
      <x v="470"/>
      <x v="12"/>
      <x v="2"/>
      <x v="8"/>
      <x v="1"/>
      <x v="189"/>
      <x v="157"/>
    </i>
    <i r="4">
      <x v="468"/>
      <x v="471"/>
      <x v="10"/>
      <x v="2"/>
      <x v="8"/>
      <x v="1"/>
      <x v="189"/>
      <x v="157"/>
    </i>
    <i r="4">
      <x v="474"/>
      <x v="477"/>
      <x v="5"/>
      <x v="2"/>
      <x v="8"/>
      <x v="1"/>
      <x v="189"/>
      <x v="157"/>
    </i>
    <i r="2">
      <x v="346"/>
      <x v="359"/>
    </i>
    <i r="4">
      <x v="444"/>
      <x v="445"/>
      <x v="4"/>
      <x v="1"/>
      <x v="8"/>
      <x v="1"/>
      <x v="194"/>
      <x v="160"/>
    </i>
    <i r="4">
      <x v="469"/>
      <x v="472"/>
      <x v="10"/>
      <x v="1"/>
      <x v="8"/>
      <x v="1"/>
      <x v="194"/>
      <x v="160"/>
    </i>
    <i r="4">
      <x v="475"/>
      <x v="478"/>
      <x v="6"/>
      <x v="1"/>
      <x v="8"/>
      <x v="1"/>
      <x v="194"/>
      <x v="160"/>
    </i>
    <i r="1">
      <x v="9"/>
    </i>
    <i r="2">
      <x v="56"/>
      <x v="245"/>
    </i>
    <i r="4">
      <x v="170"/>
      <x v="168"/>
      <x v="4"/>
      <x/>
      <x v="7"/>
      <x v="1"/>
      <x v="211"/>
      <x v="170"/>
    </i>
    <i r="4">
      <x v="311"/>
      <x v="317"/>
      <x v="6"/>
      <x/>
      <x v="7"/>
      <x v="1"/>
      <x v="211"/>
      <x v="170"/>
    </i>
    <i r="2">
      <x v="57"/>
      <x v="246"/>
    </i>
    <i r="4">
      <x v="171"/>
      <x v="169"/>
      <x v="4"/>
      <x/>
      <x v="7"/>
      <x v="1"/>
      <x v="216"/>
      <x v="172"/>
    </i>
    <i r="4">
      <x v="312"/>
      <x v="318"/>
      <x v="6"/>
      <x/>
      <x v="7"/>
      <x v="1"/>
      <x v="216"/>
      <x v="172"/>
    </i>
    <i r="2">
      <x v="521"/>
      <x v="348"/>
    </i>
    <i r="4">
      <x v="430"/>
      <x v="431"/>
      <x v="9"/>
      <x/>
      <x v="7"/>
      <x v="1"/>
      <x v="213"/>
      <x v="171"/>
    </i>
    <i r="2">
      <x v="522"/>
      <x v="349"/>
    </i>
    <i r="4">
      <x v="431"/>
      <x v="432"/>
      <x v="9"/>
      <x/>
      <x v="7"/>
      <x v="1"/>
      <x v="217"/>
      <x v="173"/>
    </i>
    <i r="1">
      <x v="10"/>
    </i>
    <i r="2">
      <x/>
      <x v="147"/>
    </i>
    <i r="4">
      <x/>
      <x v="47"/>
      <x v="9"/>
      <x v="15"/>
      <x v="9"/>
      <x v="1"/>
      <x v="53"/>
      <x v="53"/>
    </i>
    <i r="2">
      <x v="1"/>
      <x v="151"/>
    </i>
    <i r="4">
      <x v="186"/>
      <x v="184"/>
      <x v="9"/>
      <x v="15"/>
      <x v="6"/>
      <x v="1"/>
      <x v="79"/>
      <x v="79"/>
    </i>
    <i r="2">
      <x v="2"/>
      <x v="151"/>
    </i>
    <i r="4">
      <x v="413"/>
      <x v="414"/>
      <x v="9"/>
      <x v="15"/>
      <x v="6"/>
      <x v="1"/>
      <x v="79"/>
      <x v="79"/>
    </i>
    <i r="2">
      <x v="11"/>
      <x v="38"/>
    </i>
    <i r="4">
      <x v="4"/>
      <x v="51"/>
      <x v="9"/>
      <x v="11"/>
      <x v="6"/>
      <x v="1"/>
      <x v="104"/>
      <x v="103"/>
    </i>
    <i r="2">
      <x v="13"/>
      <x v="142"/>
    </i>
    <i r="4">
      <x v="169"/>
      <x v="167"/>
      <x v="9"/>
      <x v="8"/>
      <x v="6"/>
      <x v="1"/>
      <x v="104"/>
      <x v="103"/>
    </i>
    <i r="2">
      <x v="14"/>
      <x v="142"/>
    </i>
    <i r="4">
      <x v="414"/>
      <x v="415"/>
      <x v="9"/>
      <x v="8"/>
      <x v="6"/>
      <x v="1"/>
      <x v="104"/>
      <x v="103"/>
    </i>
    <i r="2">
      <x v="16"/>
      <x v="44"/>
    </i>
    <i r="4">
      <x v="5"/>
      <x v="52"/>
      <x v="9"/>
      <x v="11"/>
      <x v="6"/>
      <x v="1"/>
      <x v="91"/>
      <x v="91"/>
    </i>
    <i r="2">
      <x v="17"/>
      <x v="42"/>
    </i>
    <i r="4">
      <x v="6"/>
      <x v="53"/>
      <x v="9"/>
      <x v="11"/>
      <x v="6"/>
      <x v="1"/>
      <x v="103"/>
      <x v="102"/>
    </i>
    <i r="2">
      <x v="18"/>
      <x v="39"/>
    </i>
    <i r="4">
      <x v="7"/>
      <x v="54"/>
      <x v="9"/>
      <x v="8"/>
      <x v="6"/>
      <x v="1"/>
      <x v="110"/>
      <x v="108"/>
    </i>
    <i r="2">
      <x v="19"/>
      <x v="40"/>
    </i>
    <i r="4">
      <x v="8"/>
      <x v="55"/>
      <x v="9"/>
      <x v="8"/>
      <x v="6"/>
      <x v="1"/>
      <x v="119"/>
      <x v="116"/>
    </i>
    <i r="2">
      <x v="21"/>
      <x v="43"/>
    </i>
    <i r="4">
      <x v="9"/>
      <x v="56"/>
      <x v="9"/>
      <x v="8"/>
      <x v="6"/>
      <x v="1"/>
      <x v="116"/>
      <x v="113"/>
    </i>
    <i r="2">
      <x v="22"/>
      <x v="41"/>
    </i>
    <i r="4">
      <x v="10"/>
      <x v="57"/>
      <x v="9"/>
      <x v="8"/>
      <x v="6"/>
      <x v="1"/>
      <x v="132"/>
      <x v="127"/>
    </i>
    <i r="2">
      <x v="23"/>
      <x v="37"/>
    </i>
    <i r="4">
      <x v="11"/>
      <x v="58"/>
      <x v="9"/>
      <x v="8"/>
      <x v="6"/>
      <x v="1"/>
      <x v="138"/>
      <x v="129"/>
    </i>
    <i r="2">
      <x v="24"/>
      <x v="37"/>
    </i>
    <i r="4">
      <x v="415"/>
      <x v="416"/>
      <x v="9"/>
      <x v="8"/>
      <x v="6"/>
      <x v="1"/>
      <x v="138"/>
      <x v="129"/>
    </i>
    <i r="1">
      <x v="11"/>
    </i>
    <i r="2">
      <x v="31"/>
      <x v="59"/>
    </i>
    <i r="4">
      <x v="16"/>
      <x v="63"/>
      <x v="4"/>
      <x/>
      <x v="6"/>
      <x v="1"/>
      <x v="219"/>
      <x v="175"/>
    </i>
    <i r="4">
      <x v="17"/>
      <x v="33"/>
      <x v="1"/>
      <x/>
      <x v="6"/>
      <x v="1"/>
      <x v="219"/>
      <x v="175"/>
    </i>
    <i r="4">
      <x v="194"/>
      <x v="190"/>
      <x v="5"/>
      <x v="16"/>
      <x v="6"/>
      <x v="1"/>
      <x v="219"/>
      <x v="175"/>
    </i>
    <i r="4">
      <x v="365"/>
      <x v="18"/>
      <x v="7"/>
      <x/>
      <x v="6"/>
      <x v="1"/>
      <x v="219"/>
      <x v="175"/>
    </i>
    <i r="2">
      <x v="32"/>
      <x v="58"/>
    </i>
    <i r="4">
      <x v="18"/>
      <x v="64"/>
      <x v="4"/>
      <x/>
      <x v="6"/>
      <x v="1"/>
      <x v="215"/>
      <x v="176"/>
    </i>
    <i r="4">
      <x v="19"/>
      <x v="32"/>
      <x v="1"/>
      <x/>
      <x v="6"/>
      <x v="1"/>
      <x v="215"/>
      <x v="176"/>
    </i>
    <i r="4">
      <x v="195"/>
      <x v="191"/>
      <x v="5"/>
      <x v="16"/>
      <x v="6"/>
      <x v="1"/>
      <x v="215"/>
      <x v="176"/>
    </i>
    <i r="4">
      <x v="366"/>
      <x v="19"/>
      <x v="7"/>
      <x/>
      <x v="6"/>
      <x v="1"/>
      <x v="215"/>
      <x v="176"/>
    </i>
    <i r="2">
      <x v="33"/>
      <x v="55"/>
    </i>
    <i r="4">
      <x v="20"/>
      <x v="65"/>
      <x v="4"/>
      <x/>
      <x v="6"/>
      <x v="1"/>
      <x v="202"/>
      <x v="177"/>
    </i>
    <i r="4">
      <x v="21"/>
      <x v="29"/>
      <x v="1"/>
      <x/>
      <x v="6"/>
      <x v="1"/>
      <x v="202"/>
      <x v="177"/>
    </i>
    <i r="4">
      <x v="367"/>
      <x v="20"/>
      <x v="7"/>
      <x/>
      <x v="6"/>
      <x v="1"/>
      <x v="202"/>
      <x v="177"/>
    </i>
    <i r="2">
      <x v="34"/>
      <x v="52"/>
    </i>
    <i r="4">
      <x v="22"/>
      <x v="66"/>
      <x v="4"/>
      <x/>
      <x v="6"/>
      <x v="1"/>
      <x v="188"/>
      <x v="178"/>
    </i>
    <i r="4">
      <x v="23"/>
      <x v="30"/>
      <x v="1"/>
      <x/>
      <x v="6"/>
      <x v="1"/>
      <x v="188"/>
      <x v="178"/>
    </i>
    <i r="4">
      <x v="368"/>
      <x v="21"/>
      <x v="7"/>
      <x v="16"/>
      <x v="6"/>
      <x v="1"/>
      <x v="188"/>
      <x v="178"/>
    </i>
    <i r="2">
      <x v="41"/>
      <x v="60"/>
    </i>
    <i r="4">
      <x v="29"/>
      <x v="72"/>
      <x v="9"/>
      <x/>
      <x v="6"/>
      <x v="1"/>
      <x v="163"/>
      <x v="179"/>
    </i>
    <i r="2">
      <x v="42"/>
      <x v="53"/>
    </i>
    <i r="4">
      <x v="30"/>
      <x v="73"/>
      <x v="9"/>
      <x/>
      <x v="6"/>
      <x v="1"/>
      <x v="182"/>
      <x v="180"/>
    </i>
    <i r="2">
      <x v="43"/>
      <x v="54"/>
    </i>
    <i r="4">
      <x v="31"/>
      <x v="74"/>
      <x v="9"/>
      <x/>
      <x v="6"/>
      <x v="1"/>
      <x v="186"/>
      <x v="181"/>
    </i>
    <i r="2">
      <x v="44"/>
      <x v="57"/>
    </i>
    <i r="4">
      <x v="32"/>
      <x v="75"/>
      <x v="9"/>
      <x/>
      <x v="6"/>
      <x v="1"/>
      <x v="191"/>
      <x v="182"/>
    </i>
    <i r="2">
      <x v="45"/>
      <x v="56"/>
    </i>
    <i r="4">
      <x v="33"/>
      <x v="76"/>
      <x v="4"/>
      <x/>
      <x v="6"/>
      <x v="1"/>
      <x v="204"/>
      <x v="183"/>
    </i>
    <i r="4">
      <x v="34"/>
      <x v="31"/>
      <x v="1"/>
      <x/>
      <x v="6"/>
      <x v="1"/>
      <x v="204"/>
      <x v="183"/>
    </i>
    <i r="4">
      <x v="369"/>
      <x v="22"/>
      <x v="7"/>
      <x v="16"/>
      <x v="6"/>
      <x v="1"/>
      <x v="204"/>
      <x v="183"/>
    </i>
    <i r="2">
      <x v="46"/>
      <x v="121"/>
    </i>
    <i r="4">
      <x v="35"/>
      <x v="77"/>
      <x v="4"/>
      <x/>
      <x v="6"/>
      <x v="1"/>
      <x v="106"/>
      <x v="184"/>
    </i>
    <i r="2">
      <x v="47"/>
      <x v="7"/>
    </i>
    <i r="4">
      <x v="36"/>
      <x v="78"/>
      <x v="4"/>
      <x/>
      <x v="6"/>
      <x v="1"/>
      <x v="175"/>
      <x v="150"/>
    </i>
    <i r="4">
      <x v="37"/>
      <x v="38"/>
      <x v="3"/>
      <x/>
      <x v="6"/>
      <x v="1"/>
      <x v="175"/>
      <x v="150"/>
    </i>
    <i r="4">
      <x v="38"/>
      <x v="193"/>
      <x v="1"/>
      <x/>
      <x v="6"/>
      <x v="1"/>
      <x v="175"/>
      <x v="150"/>
    </i>
    <i r="4">
      <x v="198"/>
      <x v="192"/>
      <x v="5"/>
      <x v="16"/>
      <x v="6"/>
      <x v="1"/>
      <x v="175"/>
      <x v="150"/>
    </i>
    <i r="4">
      <x v="370"/>
      <x v="23"/>
      <x v="7"/>
      <x/>
      <x v="6"/>
      <x v="1"/>
      <x v="175"/>
      <x v="150"/>
    </i>
    <i r="2">
      <x v="48"/>
      <x v="61"/>
    </i>
    <i r="4">
      <x v="39"/>
      <x v="79"/>
      <x v="4"/>
      <x/>
      <x v="6"/>
      <x v="1"/>
      <x v="158"/>
      <x v="185"/>
    </i>
    <i r="4">
      <x v="40"/>
      <x v="37"/>
      <x v="3"/>
      <x/>
      <x v="6"/>
      <x v="1"/>
      <x v="158"/>
      <x v="185"/>
    </i>
    <i r="4">
      <x v="41"/>
      <x v="195"/>
      <x v="1"/>
      <x/>
      <x v="6"/>
      <x v="1"/>
      <x v="158"/>
      <x v="185"/>
    </i>
    <i r="4">
      <x v="199"/>
      <x v="194"/>
      <x v="5"/>
      <x v="16"/>
      <x v="6"/>
      <x v="1"/>
      <x v="158"/>
      <x v="185"/>
    </i>
    <i r="4">
      <x v="371"/>
      <x v="24"/>
      <x v="7"/>
      <x/>
      <x v="6"/>
      <x v="1"/>
      <x v="158"/>
      <x v="185"/>
    </i>
    <i r="2">
      <x v="49"/>
      <x v="63"/>
    </i>
    <i r="4">
      <x v="42"/>
      <x v="80"/>
      <x v="9"/>
      <x/>
      <x v="6"/>
      <x v="1"/>
      <x v="151"/>
      <x v="186"/>
    </i>
    <i r="4">
      <x v="43"/>
      <x v="196"/>
      <x v="1"/>
      <x/>
      <x v="6"/>
      <x v="1"/>
      <x v="151"/>
      <x v="186"/>
    </i>
    <i r="2">
      <x v="54"/>
      <x v="62"/>
    </i>
    <i r="4">
      <x v="46"/>
      <x v="83"/>
      <x v="9"/>
      <x/>
      <x v="6"/>
      <x v="1"/>
      <x v="139"/>
      <x v="187"/>
    </i>
    <i r="2">
      <x v="63"/>
      <x v="362"/>
    </i>
    <i r="4">
      <x v="416"/>
      <x v="417"/>
      <x v="9"/>
      <x/>
      <x v="6"/>
      <x v="1"/>
      <x v="141"/>
      <x v="130"/>
    </i>
    <i r="2">
      <x v="66"/>
      <x v="375"/>
    </i>
    <i r="4">
      <x v="480"/>
      <x v="482"/>
      <x v="9"/>
      <x v="16"/>
      <x v="6"/>
      <x v="1"/>
      <x v="126"/>
      <x v="122"/>
    </i>
    <i r="2">
      <x v="67"/>
      <x v="411"/>
    </i>
    <i r="4">
      <x v="574"/>
      <x v="576"/>
      <x v="9"/>
      <x v="16"/>
      <x v="6"/>
      <x v="1"/>
      <x v="111"/>
      <x v="188"/>
    </i>
    <i r="1">
      <x v="12"/>
    </i>
    <i r="2">
      <x v="160"/>
      <x v="6"/>
    </i>
    <i r="4">
      <x v="83"/>
      <x v="110"/>
      <x v="4"/>
      <x v="2"/>
      <x v="9"/>
      <x v="1"/>
      <x v="174"/>
      <x v="149"/>
    </i>
    <i r="4">
      <x v="603"/>
      <x v="233"/>
      <x v="6"/>
      <x v="2"/>
      <x v="9"/>
      <x v="1"/>
      <x v="174"/>
      <x v="149"/>
    </i>
    <i r="1">
      <x v="17"/>
    </i>
    <i r="2">
      <x v="262"/>
      <x v="328"/>
    </i>
    <i r="4">
      <x v="640"/>
      <x v="639"/>
      <x v="9"/>
      <x v="16"/>
      <x v="6"/>
      <x v="1"/>
      <x v="150"/>
      <x v="137"/>
    </i>
    <i r="1">
      <x v="18"/>
    </i>
    <i r="2">
      <x v="258"/>
      <x v="419"/>
    </i>
    <i r="4">
      <x v="582"/>
      <x v="583"/>
      <x v="13"/>
      <x v="16"/>
      <x v="7"/>
      <x v="1"/>
      <x v="206"/>
      <x v="168"/>
    </i>
    <i r="4">
      <x v="616"/>
      <x v="615"/>
      <x v="6"/>
      <x v="16"/>
      <x v="7"/>
      <x v="1"/>
      <x v="206"/>
      <x v="168"/>
    </i>
    <i r="4">
      <x v="617"/>
      <x v="616"/>
      <x v="2"/>
      <x v="16"/>
      <x v="7"/>
      <x v="1"/>
      <x v="206"/>
      <x v="168"/>
    </i>
    <i r="2">
      <x v="259"/>
      <x v="421"/>
    </i>
    <i r="4">
      <x v="584"/>
      <x v="585"/>
      <x v="13"/>
      <x v="16"/>
      <x v="11"/>
      <x v="2"/>
      <x v="222"/>
      <x v="174"/>
    </i>
    <i r="4">
      <x v="618"/>
      <x v="617"/>
      <x v="6"/>
      <x v="16"/>
      <x v="11"/>
      <x v="2"/>
      <x v="222"/>
      <x v="174"/>
    </i>
    <i r="2">
      <x v="260"/>
      <x v="422"/>
    </i>
    <i r="4">
      <x v="585"/>
      <x v="586"/>
      <x v="13"/>
      <x v="16"/>
      <x v="11"/>
      <x v="2"/>
      <x v="222"/>
      <x v="174"/>
    </i>
    <i r="4">
      <x v="619"/>
      <x v="618"/>
      <x v="6"/>
      <x v="16"/>
      <x v="11"/>
      <x v="2"/>
      <x v="222"/>
      <x v="174"/>
    </i>
    <i r="2">
      <x v="261"/>
      <x v="423"/>
    </i>
    <i r="4">
      <x v="586"/>
      <x v="587"/>
      <x v="13"/>
      <x v="16"/>
      <x v="11"/>
      <x v="2"/>
      <x v="222"/>
      <x v="174"/>
    </i>
    <i r="4">
      <x v="620"/>
      <x v="619"/>
      <x v="6"/>
      <x v="16"/>
      <x v="11"/>
      <x v="2"/>
      <x v="222"/>
      <x v="174"/>
    </i>
    <i>
      <x v="1"/>
    </i>
    <i r="1">
      <x v="7"/>
    </i>
    <i r="2">
      <x v="305"/>
      <x v="270"/>
    </i>
    <i r="4">
      <x v="337"/>
      <x v="343"/>
      <x v="9"/>
      <x v="3"/>
      <x v="2"/>
      <x v="1"/>
      <x v="155"/>
      <x v="140"/>
    </i>
    <i r="2">
      <x v="306"/>
      <x v="271"/>
    </i>
    <i r="4">
      <x v="338"/>
      <x v="344"/>
      <x v="9"/>
      <x v="2"/>
      <x v="2"/>
      <x v="1"/>
      <x v="180"/>
      <x v="153"/>
    </i>
    <i r="2">
      <x v="307"/>
      <x v="272"/>
    </i>
    <i r="4">
      <x v="339"/>
      <x v="345"/>
      <x v="9"/>
      <x v="1"/>
      <x v="2"/>
      <x v="1"/>
      <x v="195"/>
      <x v="161"/>
    </i>
    <i r="1">
      <x v="8"/>
    </i>
    <i r="2">
      <x v="308"/>
      <x v="274"/>
    </i>
    <i r="4">
      <x v="341"/>
      <x v="347"/>
      <x v="9"/>
      <x v="1"/>
      <x v="2"/>
      <x v="1"/>
      <x v="196"/>
      <x v="162"/>
    </i>
    <i r="2">
      <x v="312"/>
      <x v="273"/>
    </i>
    <i r="4">
      <x v="340"/>
      <x v="346"/>
      <x v="9"/>
      <x v="2"/>
      <x v="2"/>
      <x v="1"/>
      <x v="177"/>
      <x v="152"/>
    </i>
    <i r="1">
      <x v="13"/>
    </i>
    <i r="2">
      <x v="309"/>
      <x v="275"/>
    </i>
    <i r="4">
      <x v="342"/>
      <x v="348"/>
      <x v="9"/>
      <x v="2"/>
      <x v="2"/>
      <x v="1"/>
      <x v="166"/>
      <x v="144"/>
    </i>
    <i r="2">
      <x v="310"/>
      <x v="276"/>
    </i>
    <i r="4">
      <x v="343"/>
      <x v="349"/>
      <x v="9"/>
      <x v="5"/>
      <x v="2"/>
      <x v="1"/>
      <x v="147"/>
      <x v="135"/>
    </i>
    <i r="1">
      <x v="14"/>
    </i>
    <i r="2">
      <x v="311"/>
      <x v="424"/>
    </i>
    <i r="4">
      <x v="587"/>
      <x v="588"/>
      <x v="9"/>
      <x v="16"/>
      <x v="2"/>
      <x v="1"/>
      <x v="190"/>
      <x v="158"/>
    </i>
    <i r="1">
      <x v="15"/>
    </i>
    <i r="2">
      <x v="320"/>
      <x v="278"/>
    </i>
    <i r="4">
      <x v="347"/>
      <x v="353"/>
      <x v="9"/>
      <x v="11"/>
      <x v="2"/>
      <x v="1"/>
      <x v="57"/>
      <x v="57"/>
    </i>
    <i r="2">
      <x v="321"/>
      <x v="279"/>
    </i>
    <i r="4">
      <x v="348"/>
      <x v="354"/>
      <x v="9"/>
      <x v="11"/>
      <x v="2"/>
      <x v="1"/>
      <x v="57"/>
      <x v="57"/>
    </i>
    <i r="2">
      <x v="322"/>
      <x v="280"/>
    </i>
    <i r="4">
      <x v="349"/>
      <x v="355"/>
      <x v="9"/>
      <x v="11"/>
      <x v="2"/>
      <x v="1"/>
      <x v="57"/>
      <x v="57"/>
    </i>
    <i r="2">
      <x v="323"/>
      <x v="281"/>
    </i>
    <i r="4">
      <x v="350"/>
      <x v="356"/>
      <x v="9"/>
      <x v="11"/>
      <x v="2"/>
      <x v="1"/>
      <x v="57"/>
      <x v="57"/>
    </i>
    <i r="2">
      <x v="324"/>
      <x v="282"/>
    </i>
    <i r="4">
      <x v="351"/>
      <x v="357"/>
      <x v="9"/>
      <x v="11"/>
      <x v="2"/>
      <x v="1"/>
      <x v="57"/>
      <x v="57"/>
    </i>
    <i r="2">
      <x v="325"/>
      <x v="283"/>
    </i>
    <i r="4">
      <x v="352"/>
      <x v="358"/>
      <x v="9"/>
      <x v="11"/>
      <x v="2"/>
      <x v="1"/>
      <x v="57"/>
      <x v="57"/>
    </i>
    <i r="2">
      <x v="326"/>
      <x v="284"/>
    </i>
    <i r="4">
      <x v="353"/>
      <x v="359"/>
      <x v="9"/>
      <x v="11"/>
      <x v="2"/>
      <x v="1"/>
      <x v="57"/>
      <x v="57"/>
    </i>
    <i r="2">
      <x v="327"/>
      <x v="285"/>
    </i>
    <i r="4">
      <x v="354"/>
      <x v="360"/>
      <x v="9"/>
      <x v="11"/>
      <x v="2"/>
      <x v="1"/>
      <x v="57"/>
      <x v="57"/>
    </i>
    <i r="2">
      <x v="328"/>
      <x v="286"/>
    </i>
    <i r="4">
      <x v="355"/>
      <x v="361"/>
      <x v="9"/>
      <x v="11"/>
      <x v="2"/>
      <x v="1"/>
      <x v="57"/>
      <x v="57"/>
    </i>
    <i r="2">
      <x v="329"/>
      <x v="287"/>
    </i>
    <i r="4">
      <x v="356"/>
      <x v="362"/>
      <x v="9"/>
      <x v="11"/>
      <x v="2"/>
      <x v="1"/>
      <x v="57"/>
      <x v="57"/>
    </i>
    <i r="2">
      <x v="330"/>
      <x v="288"/>
    </i>
    <i r="4">
      <x v="357"/>
      <x v="363"/>
      <x v="9"/>
      <x v="11"/>
      <x v="2"/>
      <x v="1"/>
      <x v="57"/>
      <x v="57"/>
    </i>
    <i r="2">
      <x v="331"/>
      <x v="289"/>
    </i>
    <i r="4">
      <x v="358"/>
      <x v="364"/>
      <x v="9"/>
      <x v="11"/>
      <x v="2"/>
      <x v="1"/>
      <x v="57"/>
      <x v="57"/>
    </i>
    <i r="2">
      <x v="332"/>
      <x v="290"/>
    </i>
    <i r="4">
      <x v="359"/>
      <x v="365"/>
      <x v="9"/>
      <x v="11"/>
      <x v="2"/>
      <x v="1"/>
      <x v="57"/>
      <x v="57"/>
    </i>
    <i r="2">
      <x v="333"/>
      <x v="291"/>
    </i>
    <i r="4">
      <x v="360"/>
      <x v="366"/>
      <x v="9"/>
      <x v="11"/>
      <x v="2"/>
      <x v="1"/>
      <x v="57"/>
      <x v="57"/>
    </i>
    <i r="2">
      <x v="334"/>
      <x v="292"/>
    </i>
    <i r="4">
      <x v="361"/>
      <x v="367"/>
      <x v="9"/>
      <x v="11"/>
      <x v="2"/>
      <x v="1"/>
      <x v="57"/>
      <x v="57"/>
    </i>
    <i r="2">
      <x v="335"/>
      <x v="293"/>
    </i>
    <i r="4">
      <x v="362"/>
      <x v="368"/>
      <x v="9"/>
      <x v="11"/>
      <x v="2"/>
      <x v="1"/>
      <x v="57"/>
      <x v="57"/>
    </i>
    <i r="2">
      <x v="336"/>
      <x v="320"/>
    </i>
    <i r="4">
      <x v="395"/>
      <x v="396"/>
      <x v="9"/>
      <x v="11"/>
      <x v="2"/>
      <x v="1"/>
      <x v="57"/>
      <x v="57"/>
    </i>
    <i r="2">
      <x v="337"/>
      <x v="330"/>
    </i>
    <i r="4">
      <x v="408"/>
      <x v="409"/>
      <x v="9"/>
      <x v="16"/>
      <x v="2"/>
      <x v="1"/>
      <x v="98"/>
      <x v="97"/>
    </i>
    <i r="2">
      <x v="338"/>
      <x v="331"/>
    </i>
    <i r="4">
      <x v="409"/>
      <x v="410"/>
      <x v="9"/>
      <x v="11"/>
      <x v="2"/>
      <x v="1"/>
      <x v="57"/>
      <x v="57"/>
    </i>
    <i r="2">
      <x v="339"/>
      <x v="374"/>
    </i>
    <i r="4">
      <x v="476"/>
      <x v="479"/>
      <x v="9"/>
      <x v="11"/>
      <x v="2"/>
      <x v="1"/>
      <x v="57"/>
      <x v="57"/>
    </i>
    <i r="1">
      <x v="16"/>
    </i>
    <i r="2">
      <x v="184"/>
      <x v="302"/>
    </i>
    <i r="4">
      <x v="377"/>
      <x v="378"/>
      <x v="9"/>
      <x v="3"/>
      <x v="2"/>
      <x v="1"/>
      <x v="150"/>
      <x v="137"/>
    </i>
    <i r="2">
      <x v="185"/>
      <x v="303"/>
    </i>
    <i r="4">
      <x v="378"/>
      <x v="379"/>
      <x v="9"/>
      <x v="3"/>
      <x v="2"/>
      <x v="1"/>
      <x v="153"/>
      <x v="138"/>
    </i>
    <i r="2">
      <x v="186"/>
      <x v="301"/>
    </i>
    <i r="4">
      <x v="376"/>
      <x v="377"/>
      <x v="9"/>
      <x v="3"/>
      <x v="2"/>
      <x v="1"/>
      <x v="150"/>
      <x v="137"/>
    </i>
    <i r="2">
      <x v="187"/>
      <x v="304"/>
    </i>
    <i r="4">
      <x v="379"/>
      <x v="380"/>
      <x v="9"/>
      <x v="5"/>
      <x v="2"/>
      <x v="1"/>
      <x v="129"/>
      <x v="124"/>
    </i>
    <i r="2">
      <x v="188"/>
      <x v="306"/>
    </i>
    <i r="4">
      <x v="381"/>
      <x v="382"/>
      <x v="9"/>
      <x v="8"/>
      <x v="2"/>
      <x v="1"/>
      <x v="119"/>
      <x v="116"/>
    </i>
    <i r="2">
      <x v="189"/>
      <x v="307"/>
    </i>
    <i r="4">
      <x v="382"/>
      <x v="383"/>
      <x v="9"/>
      <x v="8"/>
      <x v="2"/>
      <x v="1"/>
      <x v="124"/>
      <x v="120"/>
    </i>
    <i r="2">
      <x v="190"/>
      <x v="305"/>
    </i>
    <i r="4">
      <x v="380"/>
      <x v="381"/>
      <x v="9"/>
      <x v="11"/>
      <x v="2"/>
      <x v="1"/>
      <x v="119"/>
      <x v="116"/>
    </i>
    <i r="2">
      <x v="191"/>
      <x v="326"/>
    </i>
    <i r="4">
      <x v="404"/>
      <x v="405"/>
      <x v="9"/>
      <x v="16"/>
      <x v="2"/>
      <x v="1"/>
      <x v="138"/>
      <x v="129"/>
    </i>
    <i r="2">
      <x v="271"/>
      <x v="332"/>
    </i>
    <i r="4">
      <x v="410"/>
      <x v="411"/>
      <x v="9"/>
      <x v="16"/>
      <x v="9"/>
      <x v="1"/>
      <x v="98"/>
      <x v="97"/>
    </i>
    <i r="2">
      <x v="272"/>
      <x v="333"/>
    </i>
    <i r="4">
      <x v="411"/>
      <x v="412"/>
      <x v="9"/>
      <x v="16"/>
      <x v="9"/>
      <x v="1"/>
      <x v="98"/>
      <x v="97"/>
    </i>
    <i r="2">
      <x v="313"/>
      <x v="298"/>
    </i>
    <i r="4">
      <x v="373"/>
      <x v="374"/>
      <x v="9"/>
      <x v="7"/>
      <x v="2"/>
      <x v="1"/>
      <x v="132"/>
      <x v="127"/>
    </i>
    <i r="2">
      <x v="314"/>
      <x v="300"/>
    </i>
    <i r="4">
      <x v="375"/>
      <x v="376"/>
      <x v="9"/>
      <x v="3"/>
      <x v="2"/>
      <x v="1"/>
      <x v="175"/>
      <x v="150"/>
    </i>
    <i r="2">
      <x v="315"/>
      <x v="299"/>
    </i>
    <i r="4">
      <x v="374"/>
      <x v="375"/>
      <x v="9"/>
      <x v="4"/>
      <x v="2"/>
      <x v="1"/>
      <x v="144"/>
      <x v="132"/>
    </i>
    <i r="2">
      <x v="318"/>
      <x v="277"/>
    </i>
    <i r="4">
      <x v="344"/>
      <x v="350"/>
      <x v="4"/>
      <x v="4"/>
      <x v="2"/>
      <x v="1"/>
      <x v="147"/>
      <x v="135"/>
    </i>
    <i r="4">
      <x v="345"/>
      <x v="351"/>
      <x v="2"/>
      <x v="4"/>
      <x v="2"/>
      <x v="1"/>
      <x v="147"/>
      <x v="135"/>
    </i>
    <i r="4">
      <x v="346"/>
      <x v="352"/>
      <x v="6"/>
      <x v="4"/>
      <x v="2"/>
      <x v="1"/>
      <x v="147"/>
      <x v="135"/>
    </i>
    <i r="4">
      <x v="397"/>
      <x v="398"/>
      <x v="3"/>
      <x v="4"/>
      <x v="2"/>
      <x v="1"/>
      <x v="147"/>
      <x v="135"/>
    </i>
    <i r="4">
      <x v="398"/>
      <x v="399"/>
      <x v="8"/>
      <x v="4"/>
      <x v="2"/>
      <x v="1"/>
      <x v="147"/>
      <x v="135"/>
    </i>
    <i r="4">
      <x v="399"/>
      <x v="400"/>
      <x v="1"/>
      <x v="4"/>
      <x v="2"/>
      <x v="1"/>
      <x v="147"/>
      <x v="135"/>
    </i>
    <i r="2">
      <x v="528"/>
      <x v="329"/>
    </i>
    <i r="4">
      <x v="407"/>
      <x v="408"/>
      <x v="9"/>
      <x/>
      <x v="10"/>
      <x/>
      <x v="177"/>
      <x v="152"/>
    </i>
    <i r="2">
      <x v="529"/>
      <x v="454"/>
    </i>
    <i r="4">
      <x v="573"/>
      <x v="575"/>
      <x v="9"/>
      <x v="16"/>
      <x v="2"/>
      <x v="1"/>
      <x v="173"/>
      <x v="148"/>
    </i>
    <i>
      <x v="2"/>
    </i>
    <i r="1">
      <x v="16"/>
    </i>
    <i r="2">
      <x v="4"/>
      <x v="108"/>
    </i>
    <i r="4">
      <x v="2"/>
      <x v="49"/>
      <x v="9"/>
      <x v="12"/>
      <x v="3"/>
      <x v="1"/>
      <x v="118"/>
      <x v="115"/>
    </i>
    <i r="2">
      <x v="8"/>
      <x v="109"/>
    </i>
    <i r="4">
      <x v="3"/>
      <x v="50"/>
      <x v="9"/>
      <x v="12"/>
      <x v="3"/>
      <x v="1"/>
      <x v="129"/>
      <x v="124"/>
    </i>
    <i r="2">
      <x v="158"/>
      <x v="451"/>
    </i>
    <i r="4">
      <x v="636"/>
      <x v="635"/>
      <x v="9"/>
      <x v="16"/>
      <x v="3"/>
      <x v="1"/>
      <x v="223"/>
      <x v="223"/>
    </i>
    <i r="2">
      <x v="162"/>
      <x v="115"/>
    </i>
    <i r="4">
      <x v="84"/>
      <x v="111"/>
      <x v="9"/>
      <x v="8"/>
      <x v="3"/>
      <x v="1"/>
      <x v="153"/>
      <x v="138"/>
    </i>
    <i r="2">
      <x v="163"/>
      <x v="294"/>
    </i>
    <i r="4">
      <x v="363"/>
      <x v="369"/>
      <x v="9"/>
      <x v="8"/>
      <x v="3"/>
      <x v="1"/>
      <x v="167"/>
      <x v="145"/>
    </i>
    <i r="2">
      <x v="164"/>
      <x v="116"/>
    </i>
    <i r="4">
      <x v="364"/>
      <x v="371"/>
      <x v="9"/>
      <x v="3"/>
      <x v="3"/>
      <x v="1"/>
      <x v="166"/>
      <x v="144"/>
    </i>
    <i r="2">
      <x v="165"/>
      <x v="334"/>
    </i>
    <i r="4">
      <x v="412"/>
      <x v="413"/>
      <x v="9"/>
      <x v="16"/>
      <x v="3"/>
      <x v="1"/>
      <x v="138"/>
      <x v="129"/>
    </i>
    <i r="2">
      <x v="166"/>
      <x v="425"/>
    </i>
    <i r="4">
      <x v="588"/>
      <x v="589"/>
      <x v="9"/>
      <x v="8"/>
      <x v="3"/>
      <x v="1"/>
      <x v="147"/>
      <x v="135"/>
    </i>
    <i r="2">
      <x v="173"/>
      <x v="376"/>
    </i>
    <i r="4">
      <x v="481"/>
      <x v="483"/>
      <x v="4"/>
      <x v="16"/>
      <x v="3"/>
      <x v="1"/>
      <x v="192"/>
      <x v="159"/>
    </i>
    <i r="4">
      <x v="605"/>
      <x v="604"/>
      <x v="3"/>
      <x v="16"/>
      <x v="3"/>
      <x v="1"/>
      <x v="192"/>
      <x v="159"/>
    </i>
    <i r="4">
      <x v="606"/>
      <x v="605"/>
      <x v="6"/>
      <x v="16"/>
      <x v="3"/>
      <x v="1"/>
      <x v="192"/>
      <x v="159"/>
    </i>
    <i r="4">
      <x v="607"/>
      <x v="606"/>
      <x v="8"/>
      <x v="16"/>
      <x v="3"/>
      <x v="1"/>
      <x v="192"/>
      <x v="159"/>
    </i>
    <i r="4">
      <x v="608"/>
      <x v="607"/>
      <x v="2"/>
      <x v="16"/>
      <x v="3"/>
      <x v="1"/>
      <x v="192"/>
      <x v="159"/>
    </i>
    <i r="4">
      <x v="609"/>
      <x v="608"/>
      <x v="1"/>
      <x v="16"/>
      <x v="3"/>
      <x v="1"/>
      <x v="192"/>
      <x v="159"/>
    </i>
    <i r="2">
      <x v="174"/>
      <x v="335"/>
    </i>
    <i r="4">
      <x v="417"/>
      <x v="418"/>
      <x v="9"/>
      <x v="16"/>
      <x v="3"/>
      <x v="1"/>
      <x v="185"/>
      <x v="156"/>
    </i>
    <i r="2">
      <x v="175"/>
      <x v="336"/>
    </i>
    <i r="4">
      <x v="418"/>
      <x v="419"/>
      <x v="9"/>
      <x v="16"/>
      <x v="3"/>
      <x v="1"/>
      <x v="199"/>
      <x v="165"/>
    </i>
    <i r="2">
      <x v="176"/>
      <x v="412"/>
    </i>
    <i r="4">
      <x v="575"/>
      <x v="577"/>
      <x v="9"/>
      <x v="16"/>
      <x v="3"/>
      <x v="1"/>
      <x v="167"/>
      <x v="145"/>
    </i>
    <i r="2">
      <x v="177"/>
      <x v="377"/>
    </i>
    <i r="4">
      <x v="482"/>
      <x v="484"/>
      <x v="4"/>
      <x v="16"/>
      <x v="3"/>
      <x v="1"/>
      <x v="201"/>
      <x v="166"/>
    </i>
    <i r="4">
      <x v="610"/>
      <x v="609"/>
      <x v="3"/>
      <x v="16"/>
      <x v="3"/>
      <x v="1"/>
      <x v="201"/>
      <x v="166"/>
    </i>
    <i r="4">
      <x v="611"/>
      <x v="610"/>
      <x v="6"/>
      <x v="16"/>
      <x v="3"/>
      <x v="1"/>
      <x v="201"/>
      <x v="166"/>
    </i>
    <i r="4">
      <x v="612"/>
      <x v="611"/>
      <x v="8"/>
      <x v="16"/>
      <x v="3"/>
      <x v="1"/>
      <x v="201"/>
      <x v="166"/>
    </i>
    <i r="4">
      <x v="613"/>
      <x v="612"/>
      <x v="2"/>
      <x v="16"/>
      <x v="3"/>
      <x v="1"/>
      <x v="201"/>
      <x v="166"/>
    </i>
    <i r="4">
      <x v="614"/>
      <x v="613"/>
      <x v="1"/>
      <x v="16"/>
      <x v="3"/>
      <x v="1"/>
      <x v="201"/>
      <x v="166"/>
    </i>
    <i r="2">
      <x v="512"/>
      <x v="21"/>
    </i>
    <i r="4">
      <x v="154"/>
      <x v="165"/>
      <x v="9"/>
      <x/>
      <x v="3"/>
      <x v="1"/>
      <x v="198"/>
      <x v="164"/>
    </i>
    <i>
      <x v="3"/>
    </i>
    <i r="1">
      <x v="16"/>
    </i>
    <i r="2">
      <x v="60"/>
      <x v="313"/>
    </i>
    <i r="4">
      <x v="388"/>
      <x v="389"/>
      <x v="4"/>
      <x v="16"/>
      <x v="5"/>
      <x v="1"/>
      <x v="220"/>
      <x v="197"/>
    </i>
    <i r="2">
      <x v="61"/>
      <x v="314"/>
    </i>
    <i r="4">
      <x v="389"/>
      <x v="390"/>
      <x v="4"/>
      <x v="16"/>
      <x v="5"/>
      <x v="1"/>
      <x v="221"/>
      <x v="198"/>
    </i>
    <i r="2">
      <x v="179"/>
      <x v="327"/>
    </i>
    <i r="4">
      <x v="405"/>
      <x v="406"/>
      <x v="9"/>
      <x v="3"/>
      <x v="5"/>
      <x v="1"/>
      <x v="147"/>
      <x v="135"/>
    </i>
    <i r="2">
      <x v="224"/>
      <x v="239"/>
    </i>
    <i r="4">
      <x v="293"/>
      <x v="238"/>
      <x v="9"/>
      <x v="16"/>
      <x v="5"/>
      <x v="1"/>
      <x v="95"/>
      <x v="203"/>
    </i>
    <i r="2">
      <x v="252"/>
      <x v="140"/>
    </i>
    <i r="4">
      <x v="87"/>
      <x v="114"/>
      <x v="9"/>
      <x v="8"/>
      <x v="5"/>
      <x v="1"/>
      <x v="179"/>
      <x v="204"/>
    </i>
    <i r="2">
      <x v="253"/>
      <x v="120"/>
    </i>
    <i r="4">
      <x v="88"/>
      <x v="115"/>
      <x v="9"/>
      <x v="3"/>
      <x v="5"/>
      <x v="1"/>
      <x v="207"/>
      <x v="205"/>
    </i>
    <i r="2">
      <x v="254"/>
      <x v="233"/>
    </i>
    <i r="4">
      <x v="177"/>
      <x v="175"/>
      <x v="4"/>
      <x v="1"/>
      <x v="5"/>
      <x v="1"/>
      <x v="218"/>
      <x v="206"/>
    </i>
    <i r="4">
      <x v="178"/>
      <x v="176"/>
      <x v="2"/>
      <x v="1"/>
      <x v="5"/>
      <x v="1"/>
      <x v="218"/>
      <x v="206"/>
    </i>
    <i r="4">
      <x v="179"/>
      <x v="177"/>
      <x v="3"/>
      <x v="1"/>
      <x v="5"/>
      <x v="1"/>
      <x v="218"/>
      <x v="206"/>
    </i>
    <i r="4">
      <x v="297"/>
      <x v="242"/>
      <x v="1"/>
      <x v="1"/>
      <x v="5"/>
      <x v="1"/>
      <x v="218"/>
      <x v="206"/>
    </i>
    <i r="4">
      <x v="436"/>
      <x v="437"/>
      <x v="8"/>
      <x v="1"/>
      <x v="5"/>
      <x v="1"/>
      <x v="218"/>
      <x v="206"/>
    </i>
    <i r="4">
      <x v="615"/>
      <x v="614"/>
      <x v="5"/>
      <x v="16"/>
      <x v="5"/>
      <x v="1"/>
      <x v="218"/>
      <x v="206"/>
    </i>
    <i r="2">
      <x v="269"/>
      <x v="321"/>
    </i>
    <i r="4">
      <x v="396"/>
      <x v="397"/>
      <x v="9"/>
      <x v="16"/>
      <x v="5"/>
      <x v="1"/>
      <x v="137"/>
      <x v="207"/>
    </i>
    <i>
      <x v="4"/>
    </i>
    <i r="1">
      <x v="16"/>
    </i>
    <i r="2">
      <x v="148"/>
      <x v="23"/>
    </i>
    <i r="4">
      <x v="77"/>
      <x v="104"/>
      <x/>
      <x v="8"/>
      <x v="4"/>
      <x v="1"/>
      <x v="159"/>
      <x v="141"/>
    </i>
    <i r="2">
      <x v="149"/>
      <x v="135"/>
    </i>
    <i r="4">
      <x v="78"/>
      <x v="105"/>
      <x v="9"/>
      <x/>
      <x v="4"/>
      <x v="1"/>
      <x v="169"/>
      <x v="199"/>
    </i>
    <i r="2">
      <x v="150"/>
      <x v="124"/>
    </i>
    <i r="4">
      <x v="79"/>
      <x v="106"/>
      <x v="9"/>
      <x/>
      <x v="4"/>
      <x v="1"/>
      <x v="117"/>
      <x v="114"/>
    </i>
    <i r="2">
      <x v="151"/>
      <x v="111"/>
    </i>
    <i r="4">
      <x v="80"/>
      <x v="107"/>
      <x/>
      <x v="8"/>
      <x v="4"/>
      <x v="1"/>
      <x v="159"/>
      <x v="141"/>
    </i>
    <i r="2">
      <x v="152"/>
      <x v="104"/>
    </i>
    <i r="4">
      <x v="81"/>
      <x v="108"/>
      <x v="9"/>
      <x v="16"/>
      <x v="4"/>
      <x v="1"/>
      <x v="135"/>
      <x v="193"/>
    </i>
    <i r="2">
      <x v="153"/>
      <x v="136"/>
    </i>
    <i r="4">
      <x v="259"/>
      <x v="323"/>
      <x/>
      <x v="5"/>
      <x v="4"/>
      <x v="1"/>
      <x v="193"/>
      <x v="200"/>
    </i>
    <i r="4">
      <x v="454"/>
      <x v="455"/>
      <x v="10"/>
      <x v="5"/>
      <x v="4"/>
      <x v="1"/>
      <x v="193"/>
      <x v="200"/>
    </i>
    <i r="4">
      <x v="572"/>
      <x v="574"/>
      <x v="3"/>
      <x v="5"/>
      <x v="4"/>
      <x v="1"/>
      <x v="193"/>
      <x v="200"/>
    </i>
    <i r="2">
      <x v="154"/>
      <x v="119"/>
    </i>
    <i r="4">
      <x v="260"/>
      <x v="232"/>
      <x v="4"/>
      <x v="1"/>
      <x v="4"/>
      <x v="1"/>
      <x v="214"/>
      <x v="201"/>
    </i>
    <i r="4">
      <x v="479"/>
      <x v="193"/>
      <x v="5"/>
      <x v="16"/>
      <x v="4"/>
      <x v="1"/>
      <x v="214"/>
      <x v="201"/>
    </i>
    <i r="4">
      <x v="602"/>
      <x v="602"/>
      <x v="2"/>
      <x v="16"/>
      <x v="4"/>
      <x v="1"/>
      <x v="214"/>
      <x v="201"/>
    </i>
    <i r="2">
      <x v="155"/>
      <x v="118"/>
    </i>
    <i r="4">
      <x v="261"/>
      <x v="254"/>
      <x v="4"/>
      <x v="1"/>
      <x v="4"/>
      <x v="1"/>
      <x v="209"/>
      <x v="202"/>
    </i>
    <i r="4">
      <x v="477"/>
      <x v="480"/>
      <x v="2"/>
      <x v="1"/>
      <x v="4"/>
      <x v="1"/>
      <x v="209"/>
      <x v="202"/>
    </i>
    <i r="4">
      <x v="478"/>
      <x v="481"/>
      <x v="5"/>
      <x v="1"/>
      <x v="4"/>
      <x v="1"/>
      <x v="209"/>
      <x v="202"/>
    </i>
    <i>
      <x v="5"/>
    </i>
    <i r="1">
      <x v="16"/>
    </i>
    <i r="2">
      <x v="297"/>
      <x v="456"/>
    </i>
    <i r="4">
      <x v="639"/>
      <x v="638"/>
      <x v="9"/>
      <x v="16"/>
      <x v="10"/>
      <x v="2"/>
      <x v="121"/>
      <x v="192"/>
    </i>
    <i r="2">
      <x v="496"/>
      <x v="438"/>
    </i>
    <i r="4">
      <x v="623"/>
      <x v="622"/>
      <x v="9"/>
      <x v="16"/>
      <x v="10"/>
      <x/>
      <x v="91"/>
      <x v="91"/>
    </i>
    <i r="2">
      <x v="498"/>
      <x v="440"/>
    </i>
    <i r="4">
      <x v="625"/>
      <x v="624"/>
      <x v="9"/>
      <x v="16"/>
      <x v="10"/>
      <x/>
      <x v="91"/>
      <x v="91"/>
    </i>
    <i r="2">
      <x v="499"/>
      <x v="441"/>
    </i>
    <i r="4">
      <x v="626"/>
      <x v="625"/>
      <x v="9"/>
      <x v="16"/>
      <x v="10"/>
      <x/>
      <x v="91"/>
      <x v="91"/>
    </i>
    <i r="2">
      <x v="500"/>
      <x v="442"/>
    </i>
    <i r="4">
      <x v="627"/>
      <x v="626"/>
      <x v="9"/>
      <x v="16"/>
      <x v="10"/>
      <x/>
      <x v="91"/>
      <x v="91"/>
    </i>
    <i r="2">
      <x v="501"/>
      <x v="443"/>
    </i>
    <i r="4">
      <x v="628"/>
      <x v="627"/>
      <x v="9"/>
      <x v="16"/>
      <x v="10"/>
      <x/>
      <x v="116"/>
      <x v="113"/>
    </i>
    <i r="2">
      <x v="502"/>
      <x v="444"/>
    </i>
    <i r="4">
      <x v="629"/>
      <x v="628"/>
      <x v="9"/>
      <x v="16"/>
      <x v="10"/>
      <x/>
      <x v="116"/>
      <x v="113"/>
    </i>
    <i r="2">
      <x v="503"/>
      <x v="445"/>
    </i>
    <i r="4">
      <x v="630"/>
      <x v="629"/>
      <x v="9"/>
      <x v="16"/>
      <x v="10"/>
      <x/>
      <x v="116"/>
      <x v="113"/>
    </i>
    <i r="2">
      <x v="504"/>
      <x v="446"/>
    </i>
    <i r="4">
      <x v="631"/>
      <x v="630"/>
      <x v="9"/>
      <x v="16"/>
      <x v="10"/>
      <x/>
      <x v="116"/>
      <x v="113"/>
    </i>
    <i r="2">
      <x v="505"/>
      <x v="447"/>
    </i>
    <i r="4">
      <x v="632"/>
      <x v="631"/>
      <x v="9"/>
      <x v="16"/>
      <x v="10"/>
      <x/>
      <x v="116"/>
      <x v="113"/>
    </i>
    <i r="2">
      <x v="506"/>
      <x v="448"/>
    </i>
    <i r="4">
      <x v="633"/>
      <x v="632"/>
      <x v="9"/>
      <x v="16"/>
      <x v="10"/>
      <x/>
      <x v="116"/>
      <x v="113"/>
    </i>
    <i r="2">
      <x v="507"/>
      <x v="449"/>
    </i>
    <i r="4">
      <x v="634"/>
      <x v="633"/>
      <x v="9"/>
      <x v="16"/>
      <x v="10"/>
      <x/>
      <x v="116"/>
      <x v="113"/>
    </i>
    <i r="2">
      <x v="508"/>
      <x v="450"/>
    </i>
    <i r="4">
      <x v="635"/>
      <x v="634"/>
      <x v="9"/>
      <x v="16"/>
      <x v="10"/>
      <x/>
      <x v="79"/>
      <x v="79"/>
    </i>
    <i r="1">
      <x v="17"/>
    </i>
    <i r="2">
      <x v="27"/>
      <x v="4"/>
    </i>
    <i r="4">
      <x v="12"/>
      <x v="59"/>
      <x v="2"/>
      <x/>
      <x v="9"/>
      <x v="1"/>
      <x v="38"/>
      <x v="38"/>
    </i>
    <i r="2">
      <x v="28"/>
      <x v="5"/>
    </i>
    <i r="4">
      <x v="13"/>
      <x v="60"/>
      <x v="1"/>
      <x/>
      <x v="9"/>
      <x v="1"/>
      <x v="38"/>
      <x v="38"/>
    </i>
    <i r="2">
      <x v="29"/>
      <x v="2"/>
    </i>
    <i r="4">
      <x v="14"/>
      <x v="61"/>
      <x v="3"/>
      <x/>
      <x v="9"/>
      <x v="1"/>
      <x v="38"/>
      <x v="38"/>
    </i>
    <i r="2">
      <x v="30"/>
      <x v="3"/>
    </i>
    <i r="4">
      <x v="15"/>
      <x v="62"/>
      <x v="9"/>
      <x/>
      <x v="9"/>
      <x v="1"/>
      <x v="38"/>
      <x v="38"/>
    </i>
    <i r="2">
      <x v="35"/>
      <x v="248"/>
    </i>
    <i r="4">
      <x v="313"/>
      <x v="319"/>
      <x v="9"/>
      <x/>
      <x v="9"/>
      <x v="1"/>
      <x v="25"/>
      <x v="25"/>
    </i>
    <i r="2">
      <x v="36"/>
      <x v="18"/>
    </i>
    <i r="4">
      <x v="24"/>
      <x v="67"/>
      <x v="9"/>
      <x/>
      <x v="9"/>
      <x v="1"/>
      <x v="39"/>
      <x v="39"/>
    </i>
    <i r="2">
      <x v="37"/>
      <x v="122"/>
    </i>
    <i r="4">
      <x v="25"/>
      <x v="68"/>
      <x v="9"/>
      <x/>
      <x v="9"/>
      <x v="1"/>
      <x v="51"/>
      <x v="51"/>
    </i>
    <i r="3">
      <x v="159"/>
    </i>
    <i r="4">
      <x v="196"/>
      <x v="250"/>
      <x v="9"/>
      <x v="16"/>
      <x v="9"/>
      <x v="1"/>
      <x v="51"/>
      <x v="51"/>
    </i>
    <i r="2">
      <x v="38"/>
      <x v="106"/>
    </i>
    <i r="4">
      <x v="26"/>
      <x v="69"/>
      <x v="9"/>
      <x/>
      <x v="9"/>
      <x v="1"/>
      <x v="96"/>
      <x v="95"/>
    </i>
    <i r="2">
      <x v="39"/>
      <x v="45"/>
    </i>
    <i r="4">
      <x v="27"/>
      <x v="70"/>
      <x v="9"/>
      <x/>
      <x v="9"/>
      <x v="1"/>
      <x v="107"/>
      <x v="105"/>
    </i>
    <i r="2">
      <x v="40"/>
      <x v="46"/>
    </i>
    <i r="4">
      <x v="28"/>
      <x v="71"/>
      <x v="9"/>
      <x/>
      <x v="9"/>
      <x v="1"/>
      <x v="102"/>
      <x v="101"/>
    </i>
    <i r="2">
      <x v="50"/>
      <x v="107"/>
    </i>
    <i r="4">
      <x v="44"/>
      <x v="81"/>
      <x v="9"/>
      <x/>
      <x v="9"/>
      <x v="1"/>
      <x v="80"/>
      <x v="80"/>
    </i>
    <i r="2">
      <x v="51"/>
      <x v="160"/>
    </i>
    <i r="4">
      <x v="197"/>
      <x v="249"/>
      <x v="1"/>
      <x v="16"/>
      <x v="9"/>
      <x v="1"/>
      <x v="132"/>
      <x v="127"/>
    </i>
    <i r="2">
      <x v="52"/>
      <x v="19"/>
    </i>
    <i r="4">
      <x v="45"/>
      <x v="82"/>
      <x v="9"/>
      <x/>
      <x v="9"/>
      <x v="1"/>
      <x v="118"/>
      <x v="115"/>
    </i>
    <i r="2">
      <x v="53"/>
      <x v="429"/>
    </i>
    <i r="4">
      <x v="594"/>
      <x v="594"/>
      <x v="9"/>
      <x v="16"/>
      <x v="9"/>
      <x v="1"/>
      <x v="110"/>
      <x v="108"/>
    </i>
    <i r="2">
      <x v="55"/>
      <x v="15"/>
    </i>
    <i r="4">
      <x v="47"/>
      <x v="84"/>
      <x v="4"/>
      <x/>
      <x v="9"/>
      <x v="1"/>
      <x v="130"/>
      <x v="125"/>
    </i>
    <i r="4">
      <x v="48"/>
      <x v="25"/>
      <x v="3"/>
      <x v="9"/>
      <x v="9"/>
      <x v="1"/>
      <x v="130"/>
      <x v="125"/>
    </i>
    <i r="4">
      <x v="49"/>
      <x v="34"/>
      <x v="1"/>
      <x v="9"/>
      <x v="9"/>
      <x v="1"/>
      <x v="130"/>
      <x v="125"/>
    </i>
    <i r="2">
      <x v="58"/>
      <x v="241"/>
    </i>
    <i r="4">
      <x v="305"/>
      <x v="311"/>
      <x v="9"/>
      <x/>
      <x v="9"/>
      <x v="1"/>
      <x v="197"/>
      <x v="163"/>
    </i>
    <i r="2">
      <x v="62"/>
      <x v="249"/>
    </i>
    <i r="4">
      <x v="314"/>
      <x v="320"/>
      <x v="9"/>
      <x v="16"/>
      <x v="9"/>
      <x v="1"/>
      <x v="102"/>
      <x v="101"/>
    </i>
    <i r="2">
      <x v="64"/>
      <x v="318"/>
    </i>
    <i r="4">
      <x v="393"/>
      <x v="394"/>
      <x v="9"/>
      <x v="16"/>
      <x v="9"/>
      <x v="1"/>
      <x v="92"/>
      <x v="92"/>
    </i>
    <i r="2">
      <x v="69"/>
      <x v="161"/>
    </i>
    <i r="4">
      <x v="200"/>
      <x v="197"/>
      <x/>
      <x/>
      <x v="9"/>
      <x v="1"/>
      <x v="74"/>
      <x v="74"/>
    </i>
    <i r="2">
      <x v="70"/>
      <x v="12"/>
    </i>
    <i r="4">
      <x v="50"/>
      <x v="85"/>
      <x v="9"/>
      <x/>
      <x v="9"/>
      <x v="1"/>
      <x v="55"/>
      <x v="55"/>
    </i>
    <i r="2">
      <x v="72"/>
      <x v="163"/>
    </i>
    <i r="4">
      <x v="202"/>
      <x v="199"/>
      <x v="9"/>
      <x/>
      <x v="9"/>
      <x v="1"/>
      <x v="12"/>
      <x v="12"/>
    </i>
    <i r="2">
      <x v="73"/>
      <x v="16"/>
    </i>
    <i r="4">
      <x v="51"/>
      <x v="86"/>
      <x/>
      <x/>
      <x v="9"/>
      <x v="1"/>
      <x v="62"/>
      <x v="62"/>
    </i>
    <i r="3">
      <x v="164"/>
    </i>
    <i r="4">
      <x v="203"/>
      <x v="200"/>
      <x v="1"/>
      <x/>
      <x v="9"/>
      <x v="1"/>
      <x v="63"/>
      <x v="63"/>
    </i>
    <i r="2">
      <x v="75"/>
      <x v="8"/>
    </i>
    <i r="4">
      <x v="52"/>
      <x v="87"/>
      <x v="9"/>
      <x/>
      <x v="9"/>
      <x v="1"/>
      <x v="10"/>
      <x v="10"/>
    </i>
    <i r="2">
      <x v="76"/>
      <x v="22"/>
    </i>
    <i r="4">
      <x v="53"/>
      <x v="88"/>
      <x v="9"/>
      <x/>
      <x v="9"/>
      <x v="1"/>
      <x v="104"/>
      <x v="103"/>
    </i>
    <i r="2">
      <x v="79"/>
      <x v="20"/>
    </i>
    <i r="4">
      <x v="54"/>
      <x v="89"/>
      <x v="9"/>
      <x v="4"/>
      <x v="9"/>
      <x v="1"/>
      <x v="68"/>
      <x v="68"/>
    </i>
    <i r="2">
      <x v="80"/>
      <x v="168"/>
    </i>
    <i r="4">
      <x v="207"/>
      <x v="204"/>
      <x v="9"/>
      <x v="7"/>
      <x v="9"/>
      <x v="1"/>
      <x v="118"/>
      <x v="115"/>
    </i>
    <i r="2">
      <x v="86"/>
      <x v="13"/>
    </i>
    <i r="4">
      <x v="55"/>
      <x v="90"/>
      <x v="4"/>
      <x/>
      <x v="9"/>
      <x v="1"/>
      <x v="128"/>
      <x v="123"/>
    </i>
    <i r="4">
      <x v="56"/>
      <x v="26"/>
      <x v="3"/>
      <x v="16"/>
      <x v="9"/>
      <x v="1"/>
      <x v="128"/>
      <x v="123"/>
    </i>
    <i r="4">
      <x v="57"/>
      <x v="251"/>
      <x v="2"/>
      <x v="16"/>
      <x v="9"/>
      <x v="1"/>
      <x v="128"/>
      <x v="123"/>
    </i>
    <i r="4">
      <x v="58"/>
      <x v="252"/>
      <x v="1"/>
      <x v="16"/>
      <x v="9"/>
      <x v="1"/>
      <x v="128"/>
      <x v="123"/>
    </i>
    <i r="2">
      <x v="87"/>
      <x v="14"/>
    </i>
    <i r="4">
      <x v="59"/>
      <x v="91"/>
      <x v="4"/>
      <x/>
      <x v="9"/>
      <x v="1"/>
      <x v="131"/>
      <x v="126"/>
    </i>
    <i r="4">
      <x v="60"/>
      <x v="27"/>
      <x v="3"/>
      <x v="16"/>
      <x v="9"/>
      <x v="1"/>
      <x v="131"/>
      <x v="126"/>
    </i>
    <i r="4">
      <x v="61"/>
      <x v="253"/>
      <x v="2"/>
      <x v="16"/>
      <x v="9"/>
      <x v="1"/>
      <x v="131"/>
      <x v="126"/>
    </i>
    <i r="2">
      <x v="91"/>
      <x v="123"/>
    </i>
    <i r="4">
      <x v="62"/>
      <x v="92"/>
      <x v="9"/>
      <x/>
      <x v="9"/>
      <x v="1"/>
      <x v="110"/>
      <x v="108"/>
    </i>
    <i r="2">
      <x v="92"/>
      <x v="176"/>
    </i>
    <i r="4">
      <x v="215"/>
      <x v="212"/>
      <x v="9"/>
      <x v="10"/>
      <x v="9"/>
      <x v="1"/>
      <x v="107"/>
      <x v="105"/>
    </i>
    <i r="2">
      <x v="101"/>
      <x v="185"/>
    </i>
    <i r="4">
      <x v="224"/>
      <x v="220"/>
      <x v="9"/>
      <x/>
      <x v="9"/>
      <x v="1"/>
      <x v="80"/>
      <x v="80"/>
    </i>
    <i r="2">
      <x v="102"/>
      <x v="258"/>
    </i>
    <i r="4">
      <x v="325"/>
      <x v="333"/>
      <x v="10"/>
      <x v="16"/>
      <x v="9"/>
      <x v="1"/>
      <x v="62"/>
      <x v="62"/>
    </i>
    <i r="2">
      <x v="103"/>
      <x v="186"/>
    </i>
    <i r="4">
      <x v="225"/>
      <x v="221"/>
      <x v="4"/>
      <x/>
      <x v="9"/>
      <x v="1"/>
      <x v="131"/>
      <x v="126"/>
    </i>
    <i r="4">
      <x v="226"/>
      <x v="222"/>
      <x v="3"/>
      <x/>
      <x v="9"/>
      <x v="1"/>
      <x v="131"/>
      <x v="126"/>
    </i>
    <i r="4">
      <x v="227"/>
      <x v="223"/>
      <x v="2"/>
      <x/>
      <x v="9"/>
      <x v="1"/>
      <x v="131"/>
      <x v="126"/>
    </i>
    <i r="4">
      <x v="228"/>
      <x v="224"/>
      <x v="1"/>
      <x/>
      <x v="9"/>
      <x v="1"/>
      <x v="131"/>
      <x v="126"/>
    </i>
    <i r="2">
      <x v="115"/>
      <x v="165"/>
    </i>
    <i r="4">
      <x v="204"/>
      <x v="201"/>
      <x v="3"/>
      <x v="16"/>
      <x v="9"/>
      <x v="1"/>
      <x v="63"/>
      <x v="63"/>
    </i>
    <i r="2">
      <x v="118"/>
      <x v="17"/>
    </i>
    <i r="4">
      <x v="63"/>
      <x v="93"/>
      <x/>
      <x/>
      <x v="9"/>
      <x v="1"/>
      <x v="74"/>
      <x v="74"/>
    </i>
    <i r="4">
      <x v="64"/>
      <x v="36"/>
      <x v="3"/>
      <x/>
      <x v="9"/>
      <x v="1"/>
      <x v="74"/>
      <x v="74"/>
    </i>
    <i r="4">
      <x v="65"/>
      <x v="28"/>
      <x v="2"/>
      <x/>
      <x v="9"/>
      <x v="1"/>
      <x v="74"/>
      <x v="74"/>
    </i>
    <i r="4">
      <x v="66"/>
      <x v="35"/>
      <x v="1"/>
      <x/>
      <x v="9"/>
      <x v="1"/>
      <x v="74"/>
      <x v="74"/>
    </i>
    <i r="2">
      <x v="121"/>
      <x v="259"/>
    </i>
    <i r="4">
      <x v="326"/>
      <x v="334"/>
      <x v="11"/>
      <x/>
      <x v="9"/>
      <x v="1"/>
      <x v="98"/>
      <x v="97"/>
    </i>
    <i r="2">
      <x v="130"/>
      <x v="103"/>
    </i>
    <i r="4">
      <x v="67"/>
      <x v="94"/>
      <x v="9"/>
      <x/>
      <x v="9"/>
      <x v="1"/>
      <x v="107"/>
      <x v="105"/>
    </i>
    <i r="2">
      <x v="131"/>
      <x v="105"/>
    </i>
    <i r="4">
      <x v="68"/>
      <x v="95"/>
      <x v="9"/>
      <x/>
      <x v="9"/>
      <x v="1"/>
      <x v="129"/>
      <x v="124"/>
    </i>
    <i r="2">
      <x v="142"/>
      <x v="125"/>
    </i>
    <i r="4">
      <x v="72"/>
      <x v="99"/>
      <x v="9"/>
      <x/>
      <x v="9"/>
      <x v="1"/>
      <x v="165"/>
      <x v="143"/>
    </i>
    <i r="2">
      <x v="143"/>
      <x v="409"/>
    </i>
    <i r="4">
      <x v="570"/>
      <x v="572"/>
      <x v="9"/>
      <x/>
      <x v="9"/>
      <x v="1"/>
      <x v="165"/>
      <x v="143"/>
    </i>
    <i r="2">
      <x v="178"/>
      <x v="126"/>
    </i>
    <i r="4">
      <x v="263"/>
      <x v="234"/>
      <x v="9"/>
      <x/>
      <x v="9"/>
      <x v="1"/>
      <x v="175"/>
      <x v="150"/>
    </i>
    <i r="2">
      <x v="180"/>
      <x v="295"/>
    </i>
    <i r="4">
      <x v="372"/>
      <x v="370"/>
      <x v="9"/>
      <x v="3"/>
      <x v="9"/>
      <x v="1"/>
      <x v="150"/>
      <x v="137"/>
    </i>
    <i r="3">
      <x v="410"/>
    </i>
    <i r="4">
      <x v="571"/>
      <x v="573"/>
      <x v="9"/>
      <x v="3"/>
      <x v="9"/>
      <x v="1"/>
      <x v="150"/>
      <x v="137"/>
    </i>
    <i r="2">
      <x v="216"/>
      <x v="143"/>
    </i>
    <i r="4">
      <x v="172"/>
      <x v="170"/>
      <x v="9"/>
      <x v="11"/>
      <x v="9"/>
      <x v="1"/>
      <x v="63"/>
      <x v="63"/>
    </i>
    <i r="2">
      <x v="217"/>
      <x v="144"/>
    </i>
    <i r="4">
      <x v="173"/>
      <x v="171"/>
      <x v="9"/>
      <x v="8"/>
      <x v="9"/>
      <x v="1"/>
      <x v="80"/>
      <x v="80"/>
    </i>
    <i r="2">
      <x v="222"/>
      <x v="228"/>
    </i>
    <i r="4">
      <x v="292"/>
      <x v="237"/>
      <x v="9"/>
      <x v="16"/>
      <x v="9"/>
      <x v="1"/>
      <x v="128"/>
      <x v="123"/>
    </i>
    <i r="2">
      <x v="223"/>
      <x v="145"/>
    </i>
    <i r="4">
      <x v="174"/>
      <x v="172"/>
      <x v="9"/>
      <x v="4"/>
      <x v="9"/>
      <x v="1"/>
      <x v="132"/>
      <x v="127"/>
    </i>
    <i r="2">
      <x v="225"/>
      <x v="229"/>
    </i>
    <i r="4">
      <x v="175"/>
      <x v="173"/>
      <x v="9"/>
      <x v="16"/>
      <x v="9"/>
      <x v="1"/>
      <x v="93"/>
      <x v="93"/>
    </i>
    <i r="2">
      <x v="236"/>
      <x v="244"/>
    </i>
    <i r="4">
      <x v="309"/>
      <x v="315"/>
      <x v="9"/>
      <x v="8"/>
      <x v="9"/>
      <x v="1"/>
      <x v="80"/>
      <x v="80"/>
    </i>
    <i r="2">
      <x v="238"/>
      <x v="257"/>
    </i>
    <i r="4">
      <x v="324"/>
      <x v="332"/>
      <x v="9"/>
      <x v="16"/>
      <x v="4"/>
      <x v="1"/>
      <x v="131"/>
      <x v="126"/>
    </i>
    <i r="2">
      <x v="239"/>
      <x v="247"/>
    </i>
    <i r="4">
      <x v="310"/>
      <x v="316"/>
      <x v="9"/>
      <x v="8"/>
      <x v="9"/>
      <x v="1"/>
      <x v="110"/>
      <x v="108"/>
    </i>
    <i r="2">
      <x v="246"/>
      <x v="337"/>
    </i>
    <i r="4">
      <x v="419"/>
      <x v="420"/>
      <x v="9"/>
      <x v="16"/>
      <x v="9"/>
      <x v="1"/>
      <x v="116"/>
      <x v="113"/>
    </i>
    <i r="2">
      <x v="249"/>
      <x v="309"/>
    </i>
    <i r="4">
      <x v="384"/>
      <x v="385"/>
      <x v="9"/>
      <x v="16"/>
      <x v="9"/>
      <x v="1"/>
      <x v="79"/>
      <x v="79"/>
    </i>
    <i r="2">
      <x v="250"/>
      <x v="310"/>
    </i>
    <i r="4">
      <x v="385"/>
      <x v="386"/>
      <x v="9"/>
      <x v="16"/>
      <x v="9"/>
      <x v="1"/>
      <x v="47"/>
      <x v="47"/>
    </i>
    <i r="2">
      <x v="264"/>
      <x v="338"/>
    </i>
    <i r="4">
      <x v="421"/>
      <x v="422"/>
      <x v="9"/>
      <x v="16"/>
      <x v="9"/>
      <x v="1"/>
      <x v="129"/>
      <x v="124"/>
    </i>
    <i r="2">
      <x v="265"/>
      <x v="360"/>
    </i>
    <i r="4">
      <x v="451"/>
      <x v="452"/>
      <x v="9"/>
      <x v="16"/>
      <x v="9"/>
      <x v="1"/>
      <x v="33"/>
      <x v="33"/>
    </i>
    <i r="2">
      <x v="268"/>
      <x v="315"/>
    </i>
    <i r="4">
      <x v="390"/>
      <x v="391"/>
      <x v="9"/>
      <x v="16"/>
      <x v="9"/>
      <x v="1"/>
      <x v="124"/>
      <x v="120"/>
    </i>
    <i r="2">
      <x v="273"/>
      <x v="317"/>
    </i>
    <i r="4">
      <x v="392"/>
      <x v="393"/>
      <x v="9"/>
      <x v="14"/>
      <x v="9"/>
      <x v="1"/>
      <x v="53"/>
      <x v="53"/>
    </i>
    <i r="2">
      <x v="275"/>
      <x v="319"/>
    </i>
    <i r="4">
      <x v="394"/>
      <x v="395"/>
      <x v="9"/>
      <x v="16"/>
      <x v="9"/>
      <x v="1"/>
      <x v="15"/>
      <x v="15"/>
    </i>
    <i r="2">
      <x v="276"/>
      <x v="338"/>
    </i>
    <i r="4">
      <x v="422"/>
      <x v="423"/>
      <x v="9"/>
      <x v="16"/>
      <x v="9"/>
      <x v="1"/>
      <x v="116"/>
      <x v="113"/>
    </i>
    <i r="2">
      <x v="282"/>
      <x v="371"/>
    </i>
    <i r="4">
      <x v="590"/>
      <x v="464"/>
      <x v="9"/>
      <x/>
      <x v="9"/>
      <x v="1"/>
      <x v="91"/>
      <x v="91"/>
    </i>
    <i r="2">
      <x v="283"/>
      <x v="372"/>
    </i>
    <i r="4">
      <x v="591"/>
      <x v="465"/>
      <x v="9"/>
      <x/>
      <x v="9"/>
      <x v="1"/>
      <x v="98"/>
      <x v="97"/>
    </i>
    <i r="2">
      <x v="286"/>
      <x v="414"/>
    </i>
    <i r="4">
      <x v="579"/>
      <x v="581"/>
      <x v="9"/>
      <x v="16"/>
      <x v="9"/>
      <x v="1"/>
      <x v="74"/>
      <x v="74"/>
    </i>
    <i r="2">
      <x v="287"/>
      <x v="413"/>
    </i>
    <i r="4">
      <x v="576"/>
      <x v="579"/>
      <x v="9"/>
      <x v="16"/>
      <x v="9"/>
      <x v="1"/>
      <x v="91"/>
      <x v="91"/>
    </i>
    <i r="2">
      <x v="290"/>
      <x v="415"/>
    </i>
    <i r="4">
      <x v="577"/>
      <x v="580"/>
      <x v="9"/>
      <x v="16"/>
      <x v="9"/>
      <x v="1"/>
      <x v="110"/>
      <x v="108"/>
    </i>
    <i r="2">
      <x v="298"/>
      <x v="452"/>
    </i>
    <i r="4">
      <x v="637"/>
      <x v="636"/>
      <x v="9"/>
      <x v="16"/>
      <x v="9"/>
      <x v="1"/>
      <x v="91"/>
      <x v="91"/>
    </i>
    <i r="2">
      <x v="301"/>
      <x v="128"/>
    </i>
    <i r="4">
      <x v="89"/>
      <x v="116"/>
      <x v="9"/>
      <x v="8"/>
      <x v="9"/>
      <x v="1"/>
      <x v="144"/>
      <x v="132"/>
    </i>
    <i r="2">
      <x v="302"/>
      <x v="129"/>
    </i>
    <i r="4">
      <x v="90"/>
      <x v="117"/>
      <x v="4"/>
      <x/>
      <x v="9"/>
      <x v="1"/>
      <x v="118"/>
      <x v="115"/>
    </i>
    <i r="4">
      <x v="91"/>
      <x v="39"/>
      <x v="3"/>
      <x/>
      <x v="9"/>
      <x v="1"/>
      <x v="118"/>
      <x v="115"/>
    </i>
    <i r="4">
      <x v="92"/>
      <x v="40"/>
      <x v="2"/>
      <x/>
      <x v="9"/>
      <x v="1"/>
      <x v="118"/>
      <x v="115"/>
    </i>
    <i r="4">
      <x v="93"/>
      <x v="41"/>
      <x v="1"/>
      <x/>
      <x v="9"/>
      <x v="1"/>
      <x v="118"/>
      <x v="115"/>
    </i>
    <i r="2">
      <x v="303"/>
      <x v="130"/>
    </i>
    <i r="4">
      <x v="94"/>
      <x v="118"/>
      <x v="4"/>
      <x/>
      <x v="9"/>
      <x v="1"/>
      <x v="132"/>
      <x v="127"/>
    </i>
    <i r="4">
      <x v="95"/>
      <x v="42"/>
      <x v="3"/>
      <x/>
      <x v="9"/>
      <x v="1"/>
      <x v="128"/>
      <x v="123"/>
    </i>
    <i r="4">
      <x v="96"/>
      <x v="43"/>
      <x v="2"/>
      <x/>
      <x v="9"/>
      <x v="1"/>
      <x v="128"/>
      <x v="123"/>
    </i>
    <i r="4">
      <x v="298"/>
      <x v="255"/>
      <x v="1"/>
      <x v="16"/>
      <x v="9"/>
      <x v="1"/>
      <x v="128"/>
      <x v="123"/>
    </i>
    <i r="2">
      <x v="304"/>
      <x v="131"/>
    </i>
    <i r="4">
      <x v="97"/>
      <x v="119"/>
      <x v="4"/>
      <x/>
      <x v="9"/>
      <x v="1"/>
      <x v="144"/>
      <x v="132"/>
    </i>
    <i r="4">
      <x v="98"/>
      <x v="44"/>
      <x v="3"/>
      <x/>
      <x v="9"/>
      <x v="1"/>
      <x v="141"/>
      <x v="130"/>
    </i>
    <i r="4">
      <x v="99"/>
      <x v="45"/>
      <x v="2"/>
      <x/>
      <x v="9"/>
      <x v="1"/>
      <x v="141"/>
      <x v="130"/>
    </i>
    <i r="4">
      <x v="100"/>
      <x v="46"/>
      <x v="1"/>
      <x/>
      <x v="9"/>
      <x v="1"/>
      <x v="141"/>
      <x v="130"/>
    </i>
    <i r="2">
      <x v="316"/>
      <x v="243"/>
    </i>
    <i r="4">
      <x v="306"/>
      <x v="312"/>
      <x v="9"/>
      <x v="5"/>
      <x v="2"/>
      <x v="1"/>
      <x v="162"/>
      <x v="142"/>
    </i>
    <i r="2">
      <x v="317"/>
      <x v="453"/>
    </i>
    <i r="4">
      <x v="307"/>
      <x v="313"/>
      <x/>
      <x v="6"/>
      <x v="2"/>
      <x v="1"/>
      <x v="129"/>
      <x v="124"/>
    </i>
    <i r="4">
      <x v="308"/>
      <x v="314"/>
      <x v="2"/>
      <x v="6"/>
      <x v="2"/>
      <x v="1"/>
      <x v="129"/>
      <x v="124"/>
    </i>
    <i r="2">
      <x v="319"/>
      <x v="353"/>
    </i>
    <i r="4">
      <x v="435"/>
      <x v="436"/>
      <x v="9"/>
      <x v="7"/>
      <x v="2"/>
      <x v="1"/>
      <x v="132"/>
      <x v="127"/>
    </i>
    <i r="2">
      <x v="495"/>
      <x v="437"/>
    </i>
    <i r="4">
      <x v="622"/>
      <x v="621"/>
      <x v="9"/>
      <x v="16"/>
      <x v="10"/>
      <x/>
      <x v="91"/>
      <x v="91"/>
    </i>
    <i r="2">
      <x v="497"/>
      <x v="439"/>
    </i>
    <i r="4">
      <x v="624"/>
      <x v="623"/>
      <x v="9"/>
      <x v="16"/>
      <x v="10"/>
      <x/>
      <x v="91"/>
      <x v="91"/>
    </i>
    <i r="2">
      <x v="509"/>
      <x v="339"/>
    </i>
    <i r="4">
      <x v="423"/>
      <x v="424"/>
      <x v="9"/>
      <x v="16"/>
      <x v="10"/>
      <x/>
      <x v="203"/>
      <x v="167"/>
    </i>
    <i r="2">
      <x v="510"/>
      <x v="340"/>
    </i>
    <i r="4">
      <x v="424"/>
      <x v="425"/>
      <x v="9"/>
      <x v="16"/>
      <x v="10"/>
      <x/>
      <x v="115"/>
      <x v="112"/>
    </i>
    <i r="2">
      <x v="511"/>
      <x v="341"/>
    </i>
    <i r="4">
      <x v="425"/>
      <x v="426"/>
      <x v="9"/>
      <x v="16"/>
      <x v="10"/>
      <x/>
      <x v="120"/>
      <x v="117"/>
    </i>
    <i r="2">
      <x v="513"/>
      <x v="236"/>
    </i>
    <i r="4">
      <x v="300"/>
      <x v="244"/>
      <x v="9"/>
      <x v="7"/>
      <x v="9"/>
      <x v="1"/>
      <x v="114"/>
      <x v="111"/>
    </i>
    <i r="2">
      <x v="514"/>
      <x v="237"/>
    </i>
    <i r="4">
      <x v="301"/>
      <x v="245"/>
      <x v="9"/>
      <x v="7"/>
      <x v="9"/>
      <x v="1"/>
      <x v="123"/>
      <x v="119"/>
    </i>
    <i r="2">
      <x v="515"/>
      <x v="342"/>
    </i>
    <i r="4">
      <x v="426"/>
      <x v="427"/>
      <x v="9"/>
      <x v="16"/>
      <x v="10"/>
      <x/>
      <x v="53"/>
      <x v="53"/>
    </i>
    <i r="2">
      <x v="516"/>
      <x v="343"/>
    </i>
    <i r="4">
      <x v="427"/>
      <x v="428"/>
      <x v="9"/>
      <x v="16"/>
      <x v="10"/>
      <x/>
      <x v="99"/>
      <x v="98"/>
    </i>
    <i r="2">
      <x v="517"/>
      <x v="344"/>
    </i>
    <i r="4">
      <x v="428"/>
      <x v="429"/>
      <x v="9"/>
      <x v="16"/>
      <x v="10"/>
      <x/>
      <x v="99"/>
      <x v="98"/>
    </i>
    <i r="2">
      <x v="518"/>
      <x v="345"/>
    </i>
    <i r="4">
      <x v="429"/>
      <x v="430"/>
      <x v="9"/>
      <x v="16"/>
      <x v="10"/>
      <x/>
      <x v="208"/>
      <x v="169"/>
    </i>
    <i r="2">
      <x v="519"/>
      <x v="346"/>
    </i>
    <i r="4">
      <x v="302"/>
      <x v="246"/>
      <x v="9"/>
      <x/>
      <x v="9"/>
      <x v="1"/>
      <x v="154"/>
      <x v="139"/>
    </i>
    <i r="2">
      <x v="520"/>
      <x v="347"/>
    </i>
    <i r="4">
      <x v="303"/>
      <x v="247"/>
      <x v="9"/>
      <x/>
      <x v="9"/>
      <x v="1"/>
      <x v="176"/>
      <x v="151"/>
    </i>
    <i r="2">
      <x v="523"/>
      <x v="350"/>
    </i>
    <i r="4">
      <x v="432"/>
      <x v="433"/>
      <x v="9"/>
      <x v="16"/>
      <x v="10"/>
      <x/>
      <x v="48"/>
      <x v="48"/>
    </i>
    <i r="2">
      <x v="524"/>
      <x v="351"/>
    </i>
    <i r="4">
      <x v="433"/>
      <x v="434"/>
      <x v="9"/>
      <x v="16"/>
      <x v="10"/>
      <x/>
      <x v="99"/>
      <x v="98"/>
    </i>
    <i r="2">
      <x v="525"/>
      <x v="352"/>
    </i>
    <i r="4">
      <x v="434"/>
      <x v="435"/>
      <x v="9"/>
      <x v="16"/>
      <x v="10"/>
      <x/>
      <x v="115"/>
      <x v="112"/>
    </i>
    <i r="2">
      <x v="526"/>
      <x v="325"/>
    </i>
    <i r="4">
      <x v="403"/>
      <x v="404"/>
      <x v="9"/>
      <x v="16"/>
      <x v="10"/>
      <x/>
      <x v="132"/>
      <x v="127"/>
    </i>
    <i r="2">
      <x v="530"/>
      <x v="436"/>
    </i>
    <i r="4">
      <x v="621"/>
      <x v="620"/>
      <x v="9"/>
      <x v="16"/>
      <x v="10"/>
      <x/>
      <x v="180"/>
      <x v="153"/>
    </i>
    <i>
      <x v="6"/>
    </i>
    <i r="1">
      <x v="17"/>
    </i>
    <i r="2">
      <x v="438"/>
      <x v="81"/>
    </i>
    <i r="4">
      <x v="101"/>
      <x v="120"/>
      <x v="9"/>
      <x v="10"/>
      <x v="1"/>
      <x v="1"/>
      <x v="225"/>
      <x v="225"/>
    </i>
    <i r="2">
      <x v="439"/>
      <x v="82"/>
    </i>
    <i r="4">
      <x v="102"/>
      <x v="121"/>
      <x v="9"/>
      <x v="10"/>
      <x v="1"/>
      <x v="1"/>
      <x v="226"/>
      <x v="226"/>
    </i>
    <i r="2">
      <x v="440"/>
      <x v="83"/>
    </i>
    <i r="4">
      <x v="103"/>
      <x v="122"/>
      <x v="9"/>
      <x v="10"/>
      <x v="1"/>
      <x v="1"/>
      <x v="226"/>
      <x v="226"/>
    </i>
    <i r="2">
      <x v="441"/>
      <x v="84"/>
    </i>
    <i r="4">
      <x v="104"/>
      <x v="123"/>
      <x v="9"/>
      <x v="10"/>
      <x v="1"/>
      <x v="1"/>
      <x v="227"/>
      <x v="227"/>
    </i>
    <i r="2">
      <x v="442"/>
      <x v="85"/>
    </i>
    <i r="4">
      <x v="105"/>
      <x v="124"/>
      <x v="9"/>
      <x v="10"/>
      <x v="1"/>
      <x v="1"/>
      <x v="227"/>
      <x v="227"/>
    </i>
    <i r="2">
      <x v="443"/>
      <x v="86"/>
    </i>
    <i r="4">
      <x v="106"/>
      <x v="125"/>
      <x v="9"/>
      <x v="10"/>
      <x v="1"/>
      <x v="1"/>
      <x v="109"/>
      <x v="107"/>
    </i>
    <i r="2">
      <x v="444"/>
      <x v="87"/>
    </i>
    <i r="4">
      <x v="107"/>
      <x v="126"/>
      <x v="9"/>
      <x v="10"/>
      <x v="1"/>
      <x v="1"/>
      <x v="109"/>
      <x v="107"/>
    </i>
    <i r="2">
      <x v="445"/>
      <x v="73"/>
    </i>
    <i r="4">
      <x v="108"/>
      <x v="127"/>
      <x v="9"/>
      <x v="10"/>
      <x v="1"/>
      <x v="1"/>
      <x v="227"/>
      <x v="227"/>
    </i>
    <i r="2">
      <x v="446"/>
      <x v="74"/>
    </i>
    <i r="4">
      <x v="109"/>
      <x v="128"/>
      <x v="9"/>
      <x v="10"/>
      <x v="1"/>
      <x v="1"/>
      <x v="109"/>
      <x v="107"/>
    </i>
    <i r="2">
      <x v="447"/>
      <x v="75"/>
    </i>
    <i r="4">
      <x v="110"/>
      <x v="129"/>
      <x v="9"/>
      <x v="10"/>
      <x v="1"/>
      <x v="1"/>
      <x v="109"/>
      <x v="107"/>
    </i>
    <i r="2">
      <x v="448"/>
      <x v="76"/>
    </i>
    <i r="4">
      <x v="111"/>
      <x v="130"/>
      <x v="9"/>
      <x v="10"/>
      <x v="1"/>
      <x v="1"/>
      <x v="228"/>
      <x v="228"/>
    </i>
    <i r="2">
      <x v="449"/>
      <x v="77"/>
    </i>
    <i r="4">
      <x v="112"/>
      <x v="131"/>
      <x v="9"/>
      <x v="10"/>
      <x v="1"/>
      <x v="1"/>
      <x v="228"/>
      <x v="228"/>
    </i>
    <i r="2">
      <x v="450"/>
      <x v="78"/>
    </i>
    <i r="4">
      <x v="113"/>
      <x v="132"/>
      <x v="9"/>
      <x v="10"/>
      <x v="1"/>
      <x v="1"/>
      <x v="228"/>
      <x v="228"/>
    </i>
    <i r="2">
      <x v="451"/>
      <x v="79"/>
    </i>
    <i r="4">
      <x v="114"/>
      <x v="133"/>
      <x v="9"/>
      <x v="10"/>
      <x v="1"/>
      <x v="1"/>
      <x v="228"/>
      <x v="228"/>
    </i>
    <i r="2">
      <x v="452"/>
      <x v="66"/>
    </i>
    <i r="4">
      <x v="115"/>
      <x v="134"/>
      <x v="9"/>
      <x v="10"/>
      <x v="1"/>
      <x v="1"/>
      <x v="227"/>
      <x v="227"/>
    </i>
    <i r="2">
      <x v="453"/>
      <x v="67"/>
    </i>
    <i r="4">
      <x v="116"/>
      <x v="135"/>
      <x v="9"/>
      <x v="10"/>
      <x v="1"/>
      <x v="1"/>
      <x v="109"/>
      <x v="107"/>
    </i>
    <i r="2">
      <x v="454"/>
      <x v="68"/>
    </i>
    <i r="4">
      <x v="117"/>
      <x v="136"/>
      <x v="9"/>
      <x v="10"/>
      <x v="1"/>
      <x v="1"/>
      <x v="109"/>
      <x v="107"/>
    </i>
    <i r="2">
      <x v="455"/>
      <x v="69"/>
    </i>
    <i r="4">
      <x v="118"/>
      <x v="137"/>
      <x v="9"/>
      <x v="10"/>
      <x v="1"/>
      <x v="1"/>
      <x v="228"/>
      <x v="228"/>
    </i>
    <i r="2">
      <x v="456"/>
      <x v="70"/>
    </i>
    <i r="4">
      <x v="119"/>
      <x v="138"/>
      <x v="9"/>
      <x v="10"/>
      <x v="1"/>
      <x v="1"/>
      <x v="228"/>
      <x v="228"/>
    </i>
    <i r="2">
      <x v="457"/>
      <x v="71"/>
    </i>
    <i r="4">
      <x v="120"/>
      <x v="139"/>
      <x v="9"/>
      <x v="10"/>
      <x v="1"/>
      <x v="1"/>
      <x v="228"/>
      <x v="228"/>
    </i>
    <i r="2">
      <x v="458"/>
      <x v="72"/>
    </i>
    <i r="4">
      <x v="121"/>
      <x v="140"/>
      <x v="9"/>
      <x v="10"/>
      <x v="1"/>
      <x v="1"/>
      <x v="228"/>
      <x v="228"/>
    </i>
    <i r="2">
      <x v="459"/>
      <x v="88"/>
    </i>
    <i r="4">
      <x v="122"/>
      <x v="141"/>
      <x v="9"/>
      <x v="10"/>
      <x v="1"/>
      <x v="1"/>
      <x v="229"/>
      <x v="229"/>
    </i>
    <i r="2">
      <x v="460"/>
      <x v="89"/>
    </i>
    <i r="4">
      <x v="123"/>
      <x v="142"/>
      <x v="9"/>
      <x v="10"/>
      <x v="1"/>
      <x v="1"/>
      <x v="228"/>
      <x v="228"/>
    </i>
    <i r="2">
      <x v="461"/>
      <x v="90"/>
    </i>
    <i r="4">
      <x v="124"/>
      <x v="143"/>
      <x v="9"/>
      <x v="10"/>
      <x v="1"/>
      <x v="1"/>
      <x v="228"/>
      <x v="228"/>
    </i>
    <i r="2">
      <x v="462"/>
      <x v="91"/>
    </i>
    <i r="4">
      <x v="125"/>
      <x v="144"/>
      <x v="9"/>
      <x v="10"/>
      <x v="1"/>
      <x v="1"/>
      <x v="230"/>
      <x v="230"/>
    </i>
    <i r="2">
      <x v="463"/>
      <x v="92"/>
    </i>
    <i r="4">
      <x v="126"/>
      <x v="145"/>
      <x v="9"/>
      <x v="10"/>
      <x v="1"/>
      <x v="1"/>
      <x v="230"/>
      <x v="230"/>
    </i>
    <i r="2">
      <x v="464"/>
      <x v="93"/>
    </i>
    <i r="4">
      <x v="127"/>
      <x v="146"/>
      <x v="9"/>
      <x v="10"/>
      <x v="1"/>
      <x v="1"/>
      <x v="231"/>
      <x v="231"/>
    </i>
    <i r="2">
      <x v="465"/>
      <x v="94"/>
    </i>
    <i r="4">
      <x v="128"/>
      <x v="147"/>
      <x v="9"/>
      <x v="10"/>
      <x v="1"/>
      <x v="1"/>
      <x v="231"/>
      <x v="231"/>
    </i>
    <i r="2">
      <x v="466"/>
      <x v="95"/>
    </i>
    <i r="4">
      <x v="129"/>
      <x v="148"/>
      <x v="9"/>
      <x v="10"/>
      <x v="1"/>
      <x v="1"/>
      <x v="227"/>
      <x v="227"/>
    </i>
    <i r="2">
      <x v="467"/>
      <x v="96"/>
    </i>
    <i r="4">
      <x v="130"/>
      <x v="149"/>
      <x v="9"/>
      <x v="10"/>
      <x v="1"/>
      <x v="1"/>
      <x v="232"/>
      <x v="232"/>
    </i>
    <i r="2">
      <x v="468"/>
      <x v="97"/>
    </i>
    <i r="4">
      <x v="131"/>
      <x v="150"/>
      <x v="9"/>
      <x v="10"/>
      <x v="1"/>
      <x v="1"/>
      <x v="233"/>
      <x v="233"/>
    </i>
    <i r="2">
      <x v="469"/>
      <x v="98"/>
    </i>
    <i r="4">
      <x v="132"/>
      <x v="151"/>
      <x v="9"/>
      <x v="10"/>
      <x v="1"/>
      <x v="1"/>
      <x v="228"/>
      <x v="228"/>
    </i>
    <i r="2">
      <x v="470"/>
      <x v="99"/>
    </i>
    <i r="4">
      <x v="133"/>
      <x v="152"/>
      <x v="9"/>
      <x v="10"/>
      <x v="1"/>
      <x v="1"/>
      <x v="227"/>
      <x v="227"/>
    </i>
    <i r="2">
      <x v="471"/>
      <x v="100"/>
    </i>
    <i r="4">
      <x v="134"/>
      <x v="153"/>
      <x v="9"/>
      <x v="10"/>
      <x v="1"/>
      <x v="1"/>
      <x v="109"/>
      <x v="107"/>
    </i>
    <i r="2">
      <x v="472"/>
      <x v="101"/>
    </i>
    <i r="4">
      <x v="135"/>
      <x v="154"/>
      <x v="9"/>
      <x v="10"/>
      <x v="1"/>
      <x v="1"/>
      <x v="233"/>
      <x v="233"/>
    </i>
    <i r="2">
      <x v="473"/>
      <x v="102"/>
    </i>
    <i r="4">
      <x v="136"/>
      <x v="155"/>
      <x v="9"/>
      <x v="10"/>
      <x v="1"/>
      <x v="1"/>
      <x v="228"/>
      <x v="228"/>
    </i>
    <i r="2">
      <x v="474"/>
      <x v="80"/>
    </i>
    <i r="4">
      <x v="137"/>
      <x v="156"/>
      <x v="9"/>
      <x v="16"/>
      <x v="1"/>
      <x v="1"/>
      <x v="234"/>
      <x v="234"/>
    </i>
    <i r="2">
      <x v="475"/>
      <x v="80"/>
    </i>
    <i r="4">
      <x v="138"/>
      <x v="157"/>
      <x v="9"/>
      <x v="16"/>
      <x v="1"/>
      <x v="1"/>
      <x v="235"/>
      <x v="235"/>
    </i>
    <i r="2">
      <x v="476"/>
      <x v="80"/>
    </i>
    <i r="4">
      <x v="139"/>
      <x v="158"/>
      <x v="9"/>
      <x v="16"/>
      <x v="1"/>
      <x v="1"/>
      <x v="235"/>
      <x v="235"/>
    </i>
    <i r="2">
      <x v="477"/>
      <x v="80"/>
    </i>
    <i r="4">
      <x v="140"/>
      <x v="159"/>
      <x v="9"/>
      <x v="16"/>
      <x v="1"/>
      <x v="1"/>
      <x v="236"/>
      <x v="236"/>
    </i>
    <i r="2">
      <x v="478"/>
      <x v="234"/>
    </i>
    <i r="4">
      <x v="168"/>
      <x v="166"/>
      <x v="9"/>
      <x v="16"/>
      <x v="1"/>
      <x v="1"/>
      <x v="237"/>
      <x v="237"/>
    </i>
    <i r="2">
      <x v="479"/>
      <x v="80"/>
    </i>
    <i r="4">
      <x v="141"/>
      <x v="160"/>
      <x v="9"/>
      <x v="16"/>
      <x v="1"/>
      <x v="1"/>
      <x v="237"/>
      <x v="237"/>
    </i>
    <i r="2">
      <x v="480"/>
      <x v="80"/>
    </i>
    <i r="4">
      <x v="142"/>
      <x v="161"/>
      <x v="9"/>
      <x v="16"/>
      <x v="1"/>
      <x v="1"/>
      <x v="238"/>
      <x v="238"/>
    </i>
    <i r="2">
      <x v="481"/>
      <x v="80"/>
    </i>
    <i r="4">
      <x v="315"/>
      <x v="321"/>
      <x v="9"/>
      <x v="16"/>
      <x v="1"/>
      <x v="1"/>
      <x v="239"/>
      <x v="239"/>
    </i>
    <i r="2">
      <x v="482"/>
      <x v="80"/>
    </i>
    <i r="4">
      <x v="143"/>
      <x v="162"/>
      <x v="9"/>
      <x v="16"/>
      <x v="1"/>
      <x v="1"/>
      <x v="235"/>
      <x v="235"/>
    </i>
    <i r="2">
      <x v="483"/>
      <x v="80"/>
    </i>
    <i r="4">
      <x v="144"/>
      <x v="163"/>
      <x v="9"/>
      <x v="16"/>
      <x v="1"/>
      <x v="1"/>
      <x v="236"/>
      <x v="236"/>
    </i>
    <i r="2">
      <x v="484"/>
      <x v="80"/>
    </i>
    <i r="4">
      <x v="145"/>
      <x v="164"/>
      <x v="9"/>
      <x v="16"/>
      <x v="1"/>
      <x v="1"/>
      <x v="236"/>
      <x v="236"/>
    </i>
    <i r="2">
      <x v="485"/>
      <x v="80"/>
    </i>
    <i r="4">
      <x v="316"/>
      <x v="322"/>
      <x v="9"/>
      <x v="16"/>
      <x v="1"/>
      <x v="1"/>
      <x v="237"/>
      <x v="237"/>
    </i>
    <i>
      <x v="7"/>
    </i>
    <i r="1">
      <x v="17"/>
    </i>
    <i r="2">
      <x v="486"/>
      <x v="50"/>
    </i>
    <i r="4">
      <x v="146"/>
      <x v="1"/>
      <x v="9"/>
      <x v="16"/>
      <x/>
      <x v="1"/>
      <x v="160"/>
      <x v="208"/>
    </i>
    <i r="2">
      <x v="487"/>
      <x v="51"/>
    </i>
    <i r="4">
      <x v="147"/>
      <x v="2"/>
      <x v="9"/>
      <x v="16"/>
      <x/>
      <x v="1"/>
      <x v="164"/>
      <x v="209"/>
    </i>
    <i r="2">
      <x v="488"/>
      <x v="235"/>
    </i>
    <i r="4">
      <x v="299"/>
      <x v="256"/>
      <x v="9"/>
      <x v="16"/>
      <x/>
      <x v="1"/>
      <x v="164"/>
      <x v="209"/>
    </i>
    <i r="2">
      <x v="489"/>
      <x v="10"/>
    </i>
    <i r="4">
      <x v="148"/>
      <x/>
      <x v="9"/>
      <x v="16"/>
      <x/>
      <x v="1"/>
      <x v="210"/>
      <x v="210"/>
    </i>
    <i r="2">
      <x v="490"/>
      <x v="11"/>
    </i>
    <i r="4">
      <x v="149"/>
      <x v="243"/>
      <x v="9"/>
      <x v="16"/>
      <x/>
      <x v="1"/>
      <x v="212"/>
      <x v="211"/>
    </i>
    <i r="2">
      <x v="491"/>
      <x v="127"/>
    </i>
    <i r="4">
      <x v="150"/>
      <x v="3"/>
      <x v="9"/>
      <x v="16"/>
      <x/>
      <x v="1"/>
      <x v="72"/>
      <x v="72"/>
    </i>
    <i r="2">
      <x v="492"/>
      <x v="9"/>
    </i>
    <i r="4">
      <x v="151"/>
      <x v="4"/>
      <x v="9"/>
      <x/>
      <x/>
      <x v="1"/>
      <x v="205"/>
      <x v="212"/>
    </i>
    <i r="2">
      <x v="493"/>
      <x v="31"/>
    </i>
    <i r="4">
      <x v="152"/>
      <x v="5"/>
      <x v="9"/>
      <x v="16"/>
      <x/>
      <x v="1"/>
      <x v="152"/>
      <x v="213"/>
    </i>
    <i r="2">
      <x v="494"/>
      <x v="31"/>
    </i>
    <i r="4">
      <x v="153"/>
      <x v="6"/>
      <x v="9"/>
      <x v="16"/>
      <x/>
      <x v="1"/>
      <x v="161"/>
      <x v="214"/>
    </i>
    <i r="2">
      <x v="531"/>
      <x v="27"/>
    </i>
    <i r="4">
      <x v="155"/>
      <x v="7"/>
      <x v="9"/>
      <x v="16"/>
      <x/>
      <x v="1"/>
      <x v="141"/>
      <x v="130"/>
    </i>
    <i r="2">
      <x v="532"/>
      <x v="25"/>
    </i>
    <i r="4">
      <x v="156"/>
      <x v="8"/>
      <x v="9"/>
      <x v="16"/>
      <x/>
      <x v="1"/>
      <x v="149"/>
      <x v="215"/>
    </i>
    <i r="2">
      <x v="533"/>
      <x v="36"/>
    </i>
    <i r="4">
      <x v="157"/>
      <x v="9"/>
      <x v="9"/>
      <x v="16"/>
      <x/>
      <x v="1"/>
      <x v="149"/>
      <x v="215"/>
    </i>
    <i r="2">
      <x v="534"/>
      <x v="24"/>
    </i>
    <i r="4">
      <x v="158"/>
      <x v="10"/>
      <x v="9"/>
      <x v="16"/>
      <x/>
      <x v="1"/>
      <x v="164"/>
      <x v="209"/>
    </i>
    <i r="2">
      <x v="535"/>
      <x v="26"/>
    </i>
    <i r="4">
      <x v="159"/>
      <x v="11"/>
      <x v="9"/>
      <x v="16"/>
      <x/>
      <x v="1"/>
      <x v="146"/>
      <x v="134"/>
    </i>
    <i r="2">
      <x v="536"/>
      <x v="29"/>
    </i>
    <i r="4">
      <x v="160"/>
      <x v="12"/>
      <x v="9"/>
      <x v="16"/>
      <x/>
      <x v="1"/>
      <x v="156"/>
      <x v="216"/>
    </i>
    <i r="2">
      <x v="537"/>
      <x v="32"/>
    </i>
    <i r="4">
      <x v="161"/>
      <x v="13"/>
      <x v="9"/>
      <x v="16"/>
      <x/>
      <x v="1"/>
      <x v="187"/>
      <x v="217"/>
    </i>
    <i r="2">
      <x v="538"/>
      <x v="30"/>
    </i>
    <i r="4">
      <x v="162"/>
      <x v="257"/>
      <x v="9"/>
      <x v="16"/>
      <x/>
      <x v="1"/>
      <x v="193"/>
      <x v="200"/>
    </i>
    <i r="2">
      <x v="539"/>
      <x v="34"/>
    </i>
    <i r="4">
      <x v="163"/>
      <x v="14"/>
      <x v="9"/>
      <x v="16"/>
      <x/>
      <x v="1"/>
      <x v="178"/>
      <x v="218"/>
    </i>
    <i r="2">
      <x v="540"/>
      <x v="33"/>
    </i>
    <i r="4">
      <x v="164"/>
      <x v="15"/>
      <x v="9"/>
      <x v="16"/>
      <x/>
      <x v="1"/>
      <x v="184"/>
      <x v="219"/>
    </i>
    <i r="2">
      <x v="541"/>
      <x v="35"/>
    </i>
    <i r="4">
      <x v="165"/>
      <x v="16"/>
      <x v="9"/>
      <x v="16"/>
      <x/>
      <x v="1"/>
      <x v="170"/>
      <x v="220"/>
    </i>
    <i r="2">
      <x v="542"/>
      <x v="28"/>
    </i>
    <i r="4">
      <x v="166"/>
      <x v="17"/>
      <x v="9"/>
      <x v="16"/>
      <x/>
      <x v="1"/>
      <x v="179"/>
      <x v="204"/>
    </i>
    <i r="2">
      <x v="543"/>
      <x v="110"/>
    </i>
    <i r="4">
      <x v="167"/>
      <x v="258"/>
      <x v="9"/>
      <x v="16"/>
      <x/>
      <x v="1"/>
      <x v="200"/>
      <x v="222"/>
    </i>
    <i r="2">
      <x v="544"/>
      <x v="238"/>
    </i>
    <i r="4">
      <x v="304"/>
      <x v="248"/>
      <x v="9"/>
      <x v="16"/>
      <x/>
      <x v="1"/>
      <x v="168"/>
      <x v="221"/>
    </i>
  </rowItems>
  <colItems count="1">
    <i/>
  </colItems>
  <formats count="62">
    <format dxfId="960">
      <pivotArea field="3" type="button" dataOnly="0" labelOnly="1" outline="0" axis="axisRow" fieldPosition="0"/>
    </format>
    <format dxfId="959">
      <pivotArea field="2" type="button" dataOnly="0" labelOnly="1" outline="0" axis="axisRow" fieldPosition="3"/>
    </format>
    <format dxfId="958">
      <pivotArea field="7" type="button" dataOnly="0" labelOnly="1" outline="0" axis="axisRow" fieldPosition="5"/>
    </format>
    <format dxfId="957">
      <pivotArea field="9" type="button" dataOnly="0" labelOnly="1" outline="0" axis="axisRow" fieldPosition="6"/>
    </format>
    <format dxfId="956">
      <pivotArea dataOnly="0" labelOnly="1" fieldPosition="0">
        <references count="1">
          <reference field="4" count="0"/>
        </references>
      </pivotArea>
    </format>
    <format dxfId="955">
      <pivotArea dataOnly="0" labelOnly="1" fieldPosition="0">
        <references count="1">
          <reference field="4" count="0"/>
        </references>
      </pivotArea>
    </format>
    <format dxfId="954">
      <pivotArea dataOnly="0" labelOnly="1" fieldPosition="0">
        <references count="1">
          <reference field="1" count="0"/>
        </references>
      </pivotArea>
    </format>
    <format dxfId="953">
      <pivotArea dataOnly="0" labelOnly="1" fieldPosition="0">
        <references count="1">
          <reference field="3" count="0"/>
        </references>
      </pivotArea>
    </format>
    <format dxfId="952">
      <pivotArea dataOnly="0" labelOnly="1" fieldPosition="0">
        <references count="1">
          <reference field="3" count="0"/>
        </references>
      </pivotArea>
    </format>
    <format dxfId="951">
      <pivotArea dataOnly="0" labelOnly="1" fieldPosition="0">
        <references count="1">
          <reference field="3" count="0"/>
        </references>
      </pivotArea>
    </format>
    <format dxfId="950">
      <pivotArea field="3" type="button" dataOnly="0" labelOnly="1" outline="0" axis="axisRow" fieldPosition="0"/>
    </format>
    <format dxfId="949">
      <pivotArea field="2" type="button" dataOnly="0" labelOnly="1" outline="0" axis="axisRow" fieldPosition="3"/>
    </format>
    <format dxfId="948">
      <pivotArea field="7" type="button" dataOnly="0" labelOnly="1" outline="0" axis="axisRow" fieldPosition="5"/>
    </format>
    <format dxfId="947">
      <pivotArea field="9" type="button" dataOnly="0" labelOnly="1" outline="0" axis="axisRow" fieldPosition="6"/>
    </format>
    <format dxfId="946">
      <pivotArea dataOnly="0" labelOnly="1" fieldPosition="0">
        <references count="1">
          <reference field="0" count="0"/>
        </references>
      </pivotArea>
    </format>
    <format dxfId="945">
      <pivotArea dataOnly="0" labelOnly="1" fieldPosition="0">
        <references count="1">
          <reference field="7" count="0"/>
        </references>
      </pivotArea>
    </format>
    <format dxfId="944">
      <pivotArea dataOnly="0" labelOnly="1" fieldPosition="0">
        <references count="1">
          <reference field="9" count="0"/>
        </references>
      </pivotArea>
    </format>
    <format dxfId="943">
      <pivotArea dataOnly="0" labelOnly="1" fieldPosition="0">
        <references count="1">
          <reference field="3" count="0"/>
        </references>
      </pivotArea>
    </format>
    <format dxfId="942">
      <pivotArea dataOnly="0" labelOnly="1" fieldPosition="0">
        <references count="1">
          <reference field="16" count="0"/>
        </references>
      </pivotArea>
    </format>
    <format dxfId="941">
      <pivotArea field="16" type="button" dataOnly="0" labelOnly="1" outline="0" axis="axisRow" fieldPosition="9"/>
    </format>
    <format dxfId="940">
      <pivotArea dataOnly="0" labelOnly="1" fieldPosition="0">
        <references count="1">
          <reference field="16" count="0"/>
        </references>
      </pivotArea>
    </format>
    <format dxfId="939">
      <pivotArea field="16" type="button" dataOnly="0" labelOnly="1" outline="0" axis="axisRow" fieldPosition="9"/>
    </format>
    <format dxfId="938">
      <pivotArea dataOnly="0" labelOnly="1" fieldPosition="0">
        <references count="1">
          <reference field="5" count="0"/>
        </references>
      </pivotArea>
    </format>
    <format dxfId="937">
      <pivotArea field="5" type="button" dataOnly="0" labelOnly="1" outline="0" axis="axisRow" fieldPosition="8"/>
    </format>
    <format dxfId="936">
      <pivotArea field="5" type="button" dataOnly="0" labelOnly="1" outline="0" axis="axisRow" fieldPosition="8"/>
    </format>
    <format dxfId="935">
      <pivotArea dataOnly="0" labelOnly="1" fieldPosition="0">
        <references count="1">
          <reference field="16" count="0"/>
        </references>
      </pivotArea>
    </format>
    <format dxfId="934">
      <pivotArea dataOnly="0" labelOnly="1" fieldPosition="0">
        <references count="1">
          <reference field="5" count="0"/>
        </references>
      </pivotArea>
    </format>
    <format dxfId="933">
      <pivotArea dataOnly="0" labelOnly="1" fieldPosition="0">
        <references count="1">
          <reference field="5" count="0"/>
        </references>
      </pivotArea>
    </format>
    <format dxfId="932">
      <pivotArea dataOnly="0" labelOnly="1" fieldPosition="0">
        <references count="1">
          <reference field="8" count="0"/>
        </references>
      </pivotArea>
    </format>
    <format dxfId="931">
      <pivotArea field="8" type="button" dataOnly="0" labelOnly="1" outline="0" axis="axisRow" fieldPosition="7"/>
    </format>
    <format dxfId="930">
      <pivotArea dataOnly="0" labelOnly="1" fieldPosition="0">
        <references count="1">
          <reference field="8" count="0"/>
        </references>
      </pivotArea>
    </format>
    <format dxfId="929">
      <pivotArea field="5" type="button" dataOnly="0" labelOnly="1" outline="0" axis="axisRow" fieldPosition="8"/>
    </format>
    <format dxfId="928">
      <pivotArea field="16" type="button" dataOnly="0" labelOnly="1" outline="0" axis="axisRow" fieldPosition="9"/>
    </format>
    <format dxfId="927">
      <pivotArea dataOnly="0" labelOnly="1" fieldPosition="0">
        <references count="7">
          <reference field="0" count="1" selected="0">
            <x v="1"/>
          </reference>
          <reference field="1" count="1" selected="0">
            <x v="3"/>
          </reference>
          <reference field="2" count="1" selected="0">
            <x v="64"/>
          </reference>
          <reference field="3" count="1" selected="0">
            <x v="0"/>
          </reference>
          <reference field="4" count="1" selected="0">
            <x v="0"/>
          </reference>
          <reference field="7" count="1" selected="0">
            <x v="48"/>
          </reference>
          <reference field="9" count="1">
            <x v="9"/>
          </reference>
        </references>
      </pivotArea>
    </format>
    <format dxfId="926">
      <pivotArea dataOnly="0" labelOnly="1" fieldPosition="0">
        <references count="8">
          <reference field="0" count="1" selected="0">
            <x v="1"/>
          </reference>
          <reference field="1" count="1" selected="0">
            <x v="3"/>
          </reference>
          <reference field="2" count="1" selected="0">
            <x v="64"/>
          </reference>
          <reference field="3" count="1" selected="0">
            <x v="0"/>
          </reference>
          <reference field="4" count="1" selected="0">
            <x v="0"/>
          </reference>
          <reference field="7" count="1" selected="0">
            <x v="48"/>
          </reference>
          <reference field="8" count="1">
            <x v="8"/>
          </reference>
          <reference field="9" count="1" selected="0">
            <x v="9"/>
          </reference>
        </references>
      </pivotArea>
    </format>
    <format dxfId="925">
      <pivotArea dataOnly="0" labelOnly="1" fieldPosition="0">
        <references count="9">
          <reference field="0" count="1" selected="0">
            <x v="1"/>
          </reference>
          <reference field="1" count="1" selected="0">
            <x v="3"/>
          </reference>
          <reference field="2" count="1" selected="0">
            <x v="64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48"/>
          </reference>
          <reference field="8" count="1" selected="0">
            <x v="8"/>
          </reference>
          <reference field="9" count="1" selected="0">
            <x v="9"/>
          </reference>
        </references>
      </pivotArea>
    </format>
    <format dxfId="924">
      <pivotArea dataOnly="0" labelOnly="1" fieldPosition="0">
        <references count="7">
          <reference field="0" count="1" selected="0">
            <x v="69"/>
          </reference>
          <reference field="1" count="1" selected="0">
            <x v="139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  <reference field="7" count="1" selected="0">
            <x v="96"/>
          </reference>
          <reference field="9" count="1">
            <x v="9"/>
          </reference>
        </references>
      </pivotArea>
    </format>
    <format dxfId="923">
      <pivotArea dataOnly="0" labelOnly="1" fieldPosition="0">
        <references count="8">
          <reference field="0" count="1" selected="0">
            <x v="69"/>
          </reference>
          <reference field="1" count="1" selected="0">
            <x v="139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  <reference field="7" count="1" selected="0">
            <x v="96"/>
          </reference>
          <reference field="8" count="1">
            <x v="8"/>
          </reference>
          <reference field="9" count="1" selected="0">
            <x v="9"/>
          </reference>
        </references>
      </pivotArea>
    </format>
    <format dxfId="922">
      <pivotArea dataOnly="0" labelOnly="1" fieldPosition="0">
        <references count="9">
          <reference field="0" count="1" selected="0">
            <x v="69"/>
          </reference>
          <reference field="1" count="1" selected="0">
            <x v="139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96"/>
          </reference>
          <reference field="8" count="1" selected="0">
            <x v="8"/>
          </reference>
          <reference field="9" count="1" selected="0">
            <x v="9"/>
          </reference>
        </references>
      </pivotArea>
    </format>
    <format dxfId="921">
      <pivotArea dataOnly="0" labelOnly="1" fieldPosition="0">
        <references count="9">
          <reference field="0" count="1" selected="0">
            <x v="85"/>
          </reference>
          <reference field="1" count="1" selected="0">
            <x v="181"/>
          </reference>
          <reference field="2" count="1" selected="0">
            <x v="65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112"/>
          </reference>
          <reference field="8" count="1" selected="0">
            <x v="8"/>
          </reference>
          <reference field="9" count="1" selected="0">
            <x v="9"/>
          </reference>
        </references>
      </pivotArea>
    </format>
    <format dxfId="920">
      <pivotArea dataOnly="0" labelOnly="1" fieldPosition="0">
        <references count="9">
          <reference field="0" count="1" selected="0">
            <x v="401"/>
          </reference>
          <reference field="1" count="1" selected="0">
            <x v="182"/>
          </reference>
          <reference field="2" count="1" selected="0">
            <x v="323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402"/>
          </reference>
          <reference field="8" count="1" selected="0">
            <x v="8"/>
          </reference>
          <reference field="9" count="1" selected="0">
            <x v="9"/>
          </reference>
        </references>
      </pivotArea>
    </format>
    <format dxfId="919">
      <pivotArea dataOnly="0" labelOnly="1" fieldPosition="0">
        <references count="9">
          <reference field="0" count="1" selected="0">
            <x v="86"/>
          </reference>
          <reference field="1" count="1" selected="0">
            <x v="183"/>
          </reference>
          <reference field="2" count="1" selected="0">
            <x v="112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113"/>
          </reference>
          <reference field="8" count="1" selected="0">
            <x v="11"/>
          </reference>
          <reference field="9" count="1" selected="0">
            <x v="9"/>
          </reference>
        </references>
      </pivotArea>
    </format>
    <format dxfId="918">
      <pivotArea dataOnly="0" labelOnly="1" fieldPosition="0">
        <references count="9">
          <reference field="0" count="1" selected="0">
            <x v="402"/>
          </reference>
          <reference field="1" count="1" selected="0">
            <x v="277"/>
          </reference>
          <reference field="2" count="1" selected="0">
            <x v="324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6"/>
          </reference>
          <reference field="7" count="1" selected="0">
            <x v="403"/>
          </reference>
          <reference field="8" count="1" selected="0">
            <x v="16"/>
          </reference>
          <reference field="9" count="1" selected="0">
            <x v="14"/>
          </reference>
        </references>
      </pivotArea>
    </format>
    <format dxfId="917">
      <pivotArea dataOnly="0" labelOnly="1" fieldPosition="0">
        <references count="2">
          <reference field="3" count="1" selected="0">
            <x v="0"/>
          </reference>
          <reference field="4" count="1">
            <x v="17"/>
          </reference>
        </references>
      </pivotArea>
    </format>
    <format dxfId="916">
      <pivotArea field="13" type="button" dataOnly="0" labelOnly="1" outline="0" axis="axisRow" fieldPosition="11"/>
    </format>
    <format dxfId="915">
      <pivotArea field="13" type="button" dataOnly="0" labelOnly="1" outline="0" axis="axisRow" fieldPosition="11"/>
    </format>
    <format dxfId="914">
      <pivotArea field="13" type="button" dataOnly="0" labelOnly="1" outline="0" axis="axisRow" fieldPosition="11"/>
    </format>
    <format dxfId="913">
      <pivotArea dataOnly="0" labelOnly="1" fieldPosition="0">
        <references count="1">
          <reference field="13" count="0"/>
        </references>
      </pivotArea>
    </format>
    <format dxfId="912">
      <pivotArea dataOnly="0" labelOnly="1" fieldPosition="0">
        <references count="1">
          <reference field="13" count="0"/>
        </references>
      </pivotArea>
    </format>
    <format dxfId="911">
      <pivotArea dataOnly="0" labelOnly="1" fieldPosition="0">
        <references count="1">
          <reference field="13" count="0"/>
        </references>
      </pivotArea>
    </format>
    <format dxfId="910">
      <pivotArea dataOnly="0" labelOnly="1" fieldPosition="0">
        <references count="1">
          <reference field="13" count="0"/>
        </references>
      </pivotArea>
    </format>
    <format dxfId="909">
      <pivotArea field="13" type="button" dataOnly="0" labelOnly="1" outline="0" axis="axisRow" fieldPosition="11"/>
    </format>
    <format dxfId="908">
      <pivotArea field="8" type="button" dataOnly="0" labelOnly="1" outline="0" axis="axisRow" fieldPosition="7"/>
    </format>
    <format dxfId="907">
      <pivotArea dataOnly="0" labelOnly="1" fieldPosition="0">
        <references count="1">
          <reference field="10" count="0"/>
        </references>
      </pivotArea>
    </format>
    <format dxfId="906">
      <pivotArea dataOnly="0" labelOnly="1" fieldPosition="0">
        <references count="1">
          <reference field="10" count="0"/>
        </references>
      </pivotArea>
    </format>
    <format dxfId="905">
      <pivotArea dataOnly="0" labelOnly="1" fieldPosition="0">
        <references count="1">
          <reference field="10" count="0"/>
        </references>
      </pivotArea>
    </format>
    <format dxfId="904">
      <pivotArea field="10" type="button" dataOnly="0" labelOnly="1" outline="0" axis="axisRow" fieldPosition="10"/>
    </format>
    <format dxfId="903">
      <pivotArea field="10" type="button" dataOnly="0" labelOnly="1" outline="0" axis="axisRow" fieldPosition="10"/>
    </format>
    <format dxfId="902">
      <pivotArea field="10" type="button" dataOnly="0" labelOnly="1" outline="0" axis="axisRow" fieldPosition="10"/>
    </format>
    <format dxfId="901">
      <pivotArea field="10" type="button" dataOnly="0" labelOnly="1" outline="0" axis="axisRow" fieldPosition="10"/>
    </format>
    <format dxfId="900">
      <pivotArea field="10" type="button" dataOnly="0" labelOnly="1" outline="0" axis="axisRow" fieldPosition="10"/>
    </format>
    <format dxfId="899">
      <pivotArea dataOnly="0" labelOnly="1" fieldPosition="0">
        <references count="1">
          <reference field="10" count="0"/>
        </references>
      </pivotArea>
    </format>
  </formats>
  <pivotTableStyleInfo name="Pricelist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72E947-ADDD-4348-B240-056E96C2741C}" name="PivotTable1" cacheId="83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outline="1" outlineData="1" multipleFieldFilters="0" rowHeaderCaption="Product No">
  <location ref="A17:I812" firstHeaderRow="1" firstDataRow="1" firstDataCol="9"/>
  <pivotFields count="22">
    <pivotField axis="axisRow" outline="0" showAll="0" defaultSubtotal="0">
      <items count="646"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4"/>
        <item x="35"/>
        <item x="38"/>
        <item x="39"/>
        <item x="41"/>
        <item x="42"/>
        <item x="44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3"/>
        <item x="64"/>
        <item x="65"/>
        <item x="68"/>
        <item x="69"/>
        <item x="70"/>
        <item x="71"/>
        <item x="73"/>
        <item x="75"/>
        <item x="76"/>
        <item x="77"/>
        <item x="78"/>
        <item x="94"/>
        <item x="97"/>
        <item x="99"/>
        <item x="100"/>
        <item x="103"/>
        <item x="110"/>
        <item x="111"/>
        <item x="112"/>
        <item x="113"/>
        <item x="114"/>
        <item x="115"/>
        <item x="116"/>
        <item x="120"/>
        <item x="151"/>
        <item x="152"/>
        <item x="153"/>
        <item x="154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2"/>
        <item x="205"/>
        <item x="208"/>
        <item x="239"/>
        <item x="241"/>
        <item x="310"/>
        <item x="311"/>
        <item x="363"/>
        <item x="364"/>
        <item x="365"/>
        <item x="366"/>
        <item x="367"/>
        <item x="368"/>
        <item x="369"/>
        <item x="370"/>
        <item x="372"/>
        <item x="373"/>
        <item x="374"/>
        <item x="375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8"/>
        <item x="569"/>
        <item x="571"/>
        <item x="572"/>
        <item x="573"/>
        <item x="575"/>
        <item x="576"/>
        <item x="578"/>
        <item x="579"/>
        <item x="580"/>
        <item x="581"/>
        <item x="582"/>
        <item x="583"/>
        <item x="587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7"/>
        <item x="618"/>
        <item x="567"/>
        <item x="13"/>
        <item x="79"/>
        <item x="81"/>
        <item x="274"/>
        <item x="275"/>
        <item x="281"/>
        <item x="283"/>
        <item x="183"/>
        <item x="312"/>
        <item x="316"/>
        <item x="313"/>
        <item x="207"/>
        <item x="215"/>
        <item x="216"/>
        <item x="213"/>
        <item x="214"/>
        <item x="217"/>
        <item x="1"/>
        <item x="5"/>
        <item x="6"/>
        <item x="7"/>
        <item x="9"/>
        <item x="10"/>
        <item x="12"/>
        <item x="15"/>
        <item x="32"/>
        <item x="36"/>
        <item x="92"/>
        <item x="72"/>
        <item x="61"/>
        <item x="66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29"/>
        <item x="130"/>
        <item x="132"/>
        <item x="133"/>
        <item x="134"/>
        <item x="135"/>
        <item x="136"/>
        <item x="138"/>
        <item x="139"/>
        <item x="140"/>
        <item x="141"/>
        <item x="142"/>
        <item x="143"/>
        <item x="144"/>
        <item x="145"/>
        <item x="146"/>
        <item x="147"/>
        <item x="149"/>
        <item x="150"/>
        <item x="155"/>
        <item x="156"/>
        <item x="158"/>
        <item x="159"/>
        <item x="160"/>
        <item x="161"/>
        <item x="162"/>
        <item x="163"/>
        <item x="164"/>
        <item x="168"/>
        <item x="169"/>
        <item x="170"/>
        <item x="171"/>
        <item x="172"/>
        <item x="173"/>
        <item x="176"/>
        <item x="181"/>
        <item x="193"/>
        <item x="196"/>
        <item x="199"/>
        <item x="218"/>
        <item x="235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3"/>
        <item x="265"/>
        <item x="266"/>
        <item x="267"/>
        <item x="268"/>
        <item x="269"/>
        <item x="270"/>
        <item x="271"/>
        <item x="272"/>
        <item x="273"/>
        <item x="276"/>
        <item x="277"/>
        <item x="278"/>
        <item x="279"/>
        <item x="280"/>
        <item x="282"/>
        <item x="284"/>
        <item x="285"/>
        <item x="289"/>
        <item x="317"/>
        <item x="371"/>
        <item x="577"/>
        <item x="588"/>
        <item x="589"/>
        <item x="594"/>
        <item x="595"/>
        <item x="616"/>
        <item x="83"/>
        <item x="387"/>
        <item x="388"/>
        <item x="389"/>
        <item x="294"/>
        <item x="297"/>
        <item x="80"/>
        <item x="82"/>
        <item x="45"/>
        <item x="86"/>
        <item x="570"/>
        <item x="574"/>
        <item x="20"/>
        <item x="105"/>
        <item x="286"/>
        <item x="303"/>
        <item x="302"/>
        <item x="619"/>
        <item x="298"/>
        <item x="296"/>
        <item x="131"/>
        <item x="157"/>
        <item x="165"/>
        <item x="295"/>
        <item x="299"/>
        <item x="102"/>
        <item x="620"/>
        <item x="288"/>
        <item x="291"/>
        <item x="292"/>
        <item x="293"/>
        <item x="300"/>
        <item x="376"/>
        <item x="377"/>
        <item x="378"/>
        <item x="383"/>
        <item x="379"/>
        <item x="380"/>
        <item x="381"/>
        <item x="390"/>
        <item x="394"/>
        <item x="392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209"/>
        <item x="210"/>
        <item x="33"/>
        <item x="37"/>
        <item x="40"/>
        <item x="43"/>
        <item x="56"/>
        <item x="62"/>
        <item x="67"/>
        <item x="237"/>
        <item x="384"/>
        <item x="386"/>
        <item x="385"/>
        <item x="244"/>
        <item x="242"/>
        <item x="243"/>
        <item x="245"/>
        <item x="248"/>
        <item x="246"/>
        <item x="247"/>
        <item x="204"/>
        <item x="307"/>
        <item x="308"/>
        <item x="318"/>
        <item x="319"/>
        <item x="84"/>
        <item x="85"/>
        <item x="335"/>
        <item x="330"/>
        <item x="340"/>
        <item x="88"/>
        <item x="342"/>
        <item x="413"/>
        <item x="336"/>
        <item x="391"/>
        <item x="393"/>
        <item x="395"/>
        <item x="184"/>
        <item x="240"/>
        <item x="344"/>
        <item x="601"/>
        <item x="249"/>
        <item x="236"/>
        <item x="602"/>
        <item x="603"/>
        <item x="414"/>
        <item x="415"/>
        <item x="338"/>
        <item x="339"/>
        <item x="211"/>
        <item x="2"/>
        <item x="14"/>
        <item x="24"/>
        <item x="87"/>
        <item x="226"/>
        <item x="227"/>
        <item x="304"/>
        <item x="320"/>
        <item x="331"/>
        <item x="343"/>
        <item x="584"/>
        <item x="585"/>
        <item x="586"/>
        <item x="590"/>
        <item x="591"/>
        <item x="592"/>
        <item x="593"/>
        <item x="596"/>
        <item x="597"/>
        <item x="598"/>
        <item x="599"/>
        <item x="600"/>
        <item x="396"/>
        <item x="315"/>
        <item x="333"/>
        <item x="417"/>
        <item x="418"/>
        <item x="419"/>
        <item x="422"/>
        <item x="425"/>
        <item x="429"/>
        <item x="433"/>
        <item x="436"/>
        <item x="437"/>
        <item x="438"/>
        <item x="439"/>
        <item x="440"/>
        <item x="441"/>
        <item x="332"/>
        <item x="25"/>
        <item x="89"/>
        <item x="195"/>
        <item x="287"/>
        <item x="290"/>
        <item x="301"/>
        <item x="305"/>
        <item x="306"/>
        <item x="309"/>
        <item x="341"/>
        <item x="346"/>
        <item x="421"/>
        <item x="424"/>
        <item x="426"/>
        <item x="428"/>
        <item x="430"/>
        <item x="432"/>
        <item x="435"/>
        <item x="26"/>
        <item x="420"/>
        <item x="423"/>
        <item x="427"/>
        <item x="431"/>
        <item x="434"/>
        <item x="416"/>
        <item x="201"/>
        <item x="200"/>
        <item x="197"/>
        <item x="90"/>
        <item x="220"/>
        <item x="229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347"/>
        <item x="485"/>
        <item x="486"/>
        <item x="487"/>
        <item x="348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79"/>
        <item x="238"/>
        <item x="194"/>
        <item x="604"/>
        <item x="91"/>
        <item x="228"/>
        <item x="354"/>
        <item x="356"/>
        <item x="357"/>
        <item x="353"/>
        <item x="351"/>
        <item x="352"/>
        <item x="321"/>
        <item x="355"/>
        <item x="324"/>
        <item x="326"/>
        <item x="328"/>
        <item x="382"/>
        <item x="212"/>
        <item x="203"/>
        <item x="349"/>
        <item x="350"/>
        <item x="358"/>
        <item x="361"/>
        <item x="74"/>
        <item x="334"/>
        <item x="337"/>
        <item x="345"/>
        <item x="359"/>
        <item x="360"/>
        <item x="362"/>
        <item x="185"/>
        <item x="198"/>
        <item x="206"/>
        <item x="219"/>
        <item x="221"/>
        <item x="222"/>
        <item x="223"/>
        <item x="224"/>
        <item x="225"/>
        <item x="230"/>
        <item x="231"/>
        <item x="232"/>
        <item x="233"/>
        <item x="234"/>
        <item x="314"/>
        <item x="322"/>
        <item x="323"/>
        <item x="325"/>
        <item x="327"/>
        <item x="329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</items>
    </pivotField>
    <pivotField axis="axisRow" outline="0" showAll="0" defaultSubtotal="0">
      <items count="547">
        <item x="0"/>
        <item x="3"/>
        <item x="4"/>
        <item x="8"/>
        <item x="16"/>
        <item x="17"/>
        <item x="18"/>
        <item x="19"/>
        <item x="11"/>
        <item x="21"/>
        <item x="22"/>
        <item x="23"/>
        <item x="27"/>
        <item x="28"/>
        <item x="29"/>
        <item x="30"/>
        <item x="49"/>
        <item x="48"/>
        <item x="47"/>
        <item x="45"/>
        <item x="34"/>
        <item x="33"/>
        <item x="32"/>
        <item x="31"/>
        <item x="41"/>
        <item x="42"/>
        <item x="43"/>
        <item x="44"/>
        <item x="46"/>
        <item x="54"/>
        <item x="36"/>
        <item x="37"/>
        <item x="38"/>
        <item x="39"/>
        <item x="40"/>
        <item x="50"/>
        <item x="52"/>
        <item x="55"/>
        <item x="68"/>
        <item x="71"/>
        <item x="73"/>
        <item x="74"/>
        <item x="77"/>
        <item x="84"/>
        <item x="85"/>
        <item x="89"/>
        <item x="116"/>
        <item x="128"/>
        <item x="129"/>
        <item x="179"/>
        <item x="136"/>
        <item x="137"/>
        <item x="138"/>
        <item x="139"/>
        <item x="158"/>
        <item x="141"/>
        <item x="142"/>
        <item x="148"/>
        <item x="145"/>
        <item x="488"/>
        <item x="146"/>
        <item x="147"/>
        <item x="149"/>
        <item x="153"/>
        <item x="156"/>
        <item x="177"/>
        <item x="248"/>
        <item x="249"/>
        <item x="291"/>
        <item x="292"/>
        <item x="293"/>
        <item x="294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9"/>
        <item x="470"/>
        <item x="472"/>
        <item x="473"/>
        <item x="474"/>
        <item x="482"/>
        <item x="479"/>
        <item x="480"/>
        <item x="476"/>
        <item x="477"/>
        <item x="481"/>
        <item x="483"/>
        <item x="484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8"/>
        <item x="519"/>
        <item x="468"/>
        <item x="13"/>
        <item x="56"/>
        <item x="57"/>
        <item x="212"/>
        <item x="213"/>
        <item x="219"/>
        <item x="221"/>
        <item x="143"/>
        <item x="250"/>
        <item x="157"/>
        <item x="165"/>
        <item x="166"/>
        <item x="163"/>
        <item x="164"/>
        <item x="167"/>
        <item x="1"/>
        <item x="5"/>
        <item x="6"/>
        <item x="7"/>
        <item x="9"/>
        <item x="10"/>
        <item x="12"/>
        <item x="15"/>
        <item x="67"/>
        <item x="69"/>
        <item x="70"/>
        <item x="72"/>
        <item x="75"/>
        <item x="78"/>
        <item x="80"/>
        <item x="81"/>
        <item x="82"/>
        <item x="83"/>
        <item x="86"/>
        <item x="87"/>
        <item x="88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4"/>
        <item x="115"/>
        <item x="117"/>
        <item x="118"/>
        <item x="120"/>
        <item x="121"/>
        <item x="122"/>
        <item x="123"/>
        <item x="124"/>
        <item x="125"/>
        <item x="126"/>
        <item x="130"/>
        <item x="131"/>
        <item x="132"/>
        <item x="133"/>
        <item x="134"/>
        <item x="135"/>
        <item x="150"/>
        <item x="151"/>
        <item x="152"/>
        <item x="168"/>
        <item x="174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3"/>
        <item x="204"/>
        <item x="205"/>
        <item x="206"/>
        <item x="207"/>
        <item x="208"/>
        <item x="209"/>
        <item x="210"/>
        <item x="211"/>
        <item x="214"/>
        <item x="215"/>
        <item x="216"/>
        <item x="217"/>
        <item x="218"/>
        <item x="220"/>
        <item x="222"/>
        <item x="223"/>
        <item x="227"/>
        <item x="478"/>
        <item x="489"/>
        <item x="490"/>
        <item x="495"/>
        <item x="496"/>
        <item x="517"/>
        <item x="202"/>
        <item x="58"/>
        <item x="306"/>
        <item x="307"/>
        <item x="232"/>
        <item x="235"/>
        <item x="35"/>
        <item x="61"/>
        <item x="51"/>
        <item x="475"/>
        <item x="471"/>
        <item x="20"/>
        <item x="79"/>
        <item x="224"/>
        <item x="241"/>
        <item x="240"/>
        <item x="520"/>
        <item x="236"/>
        <item x="234"/>
        <item x="100"/>
        <item x="119"/>
        <item x="127"/>
        <item x="233"/>
        <item x="237"/>
        <item x="76"/>
        <item x="521"/>
        <item x="226"/>
        <item x="229"/>
        <item x="230"/>
        <item x="231"/>
        <item x="238"/>
        <item x="295"/>
        <item x="296"/>
        <item x="297"/>
        <item x="302"/>
        <item x="298"/>
        <item x="299"/>
        <item x="300"/>
        <item x="308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59"/>
        <item x="160"/>
        <item x="176"/>
        <item x="303"/>
        <item x="305"/>
        <item x="304"/>
        <item x="182"/>
        <item x="180"/>
        <item x="181"/>
        <item x="183"/>
        <item x="186"/>
        <item x="184"/>
        <item x="185"/>
        <item x="155"/>
        <item x="245"/>
        <item x="246"/>
        <item x="251"/>
        <item x="59"/>
        <item x="60"/>
        <item x="263"/>
        <item x="258"/>
        <item x="268"/>
        <item x="63"/>
        <item x="270"/>
        <item x="326"/>
        <item x="264"/>
        <item x="144"/>
        <item x="178"/>
        <item x="272"/>
        <item x="502"/>
        <item x="187"/>
        <item x="175"/>
        <item x="503"/>
        <item x="504"/>
        <item x="327"/>
        <item x="328"/>
        <item x="266"/>
        <item x="267"/>
        <item x="161"/>
        <item x="2"/>
        <item x="14"/>
        <item x="24"/>
        <item x="62"/>
        <item x="170"/>
        <item x="171"/>
        <item x="242"/>
        <item x="253"/>
        <item x="259"/>
        <item x="271"/>
        <item x="485"/>
        <item x="486"/>
        <item x="487"/>
        <item x="491"/>
        <item x="492"/>
        <item x="493"/>
        <item x="494"/>
        <item x="497"/>
        <item x="498"/>
        <item x="499"/>
        <item x="500"/>
        <item x="501"/>
        <item x="252"/>
        <item x="309"/>
        <item x="113"/>
        <item x="261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260"/>
        <item x="25"/>
        <item x="64"/>
        <item x="225"/>
        <item x="228"/>
        <item x="239"/>
        <item x="243"/>
        <item x="244"/>
        <item x="247"/>
        <item x="269"/>
        <item x="274"/>
        <item x="277"/>
        <item x="26"/>
        <item x="329"/>
        <item x="65"/>
        <item x="281"/>
        <item x="169"/>
        <item x="173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275"/>
        <item x="386"/>
        <item x="387"/>
        <item x="388"/>
        <item x="276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40"/>
        <item x="505"/>
        <item x="66"/>
        <item x="172"/>
        <item x="282"/>
        <item x="284"/>
        <item x="285"/>
        <item x="278"/>
        <item x="279"/>
        <item x="280"/>
        <item x="254"/>
        <item x="283"/>
        <item x="255"/>
        <item x="256"/>
        <item x="257"/>
        <item x="301"/>
        <item x="162"/>
        <item x="154"/>
        <item x="286"/>
        <item x="289"/>
        <item x="53"/>
        <item x="262"/>
        <item x="265"/>
        <item x="273"/>
        <item x="287"/>
        <item x="288"/>
        <item x="290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</items>
    </pivotField>
    <pivotField axis="axisRow" showAll="0" defaultSubtotal="0">
      <items count="462">
        <item x="130"/>
        <item x="324"/>
        <item x="26"/>
        <item x="27"/>
        <item x="24"/>
        <item x="25"/>
        <item x="150"/>
        <item x="44"/>
        <item x="71"/>
        <item x="399"/>
        <item x="396"/>
        <item x="397"/>
        <item x="66"/>
        <item x="82"/>
        <item x="83"/>
        <item x="52"/>
        <item x="69"/>
        <item x="110"/>
        <item x="33"/>
        <item x="49"/>
        <item x="75"/>
        <item x="404"/>
        <item x="72"/>
        <item x="139"/>
        <item x="425"/>
        <item x="423"/>
        <item x="426"/>
        <item x="422"/>
        <item x="434"/>
        <item x="427"/>
        <item x="429"/>
        <item x="400"/>
        <item x="428"/>
        <item x="431"/>
        <item x="430"/>
        <item x="432"/>
        <item x="424"/>
        <item x="21"/>
        <item x="10"/>
        <item x="16"/>
        <item x="17"/>
        <item x="20"/>
        <item x="15"/>
        <item x="19"/>
        <item x="14"/>
        <item x="36"/>
        <item x="37"/>
        <item x="159"/>
        <item x="160"/>
        <item x="325"/>
        <item x="393"/>
        <item x="394"/>
        <item x="31"/>
        <item x="39"/>
        <item x="40"/>
        <item x="30"/>
        <item x="42"/>
        <item x="41"/>
        <item x="29"/>
        <item x="28"/>
        <item x="38"/>
        <item x="45"/>
        <item x="51"/>
        <item x="46"/>
        <item x="2"/>
        <item x="172"/>
        <item x="369"/>
        <item x="370"/>
        <item x="371"/>
        <item x="372"/>
        <item x="373"/>
        <item x="374"/>
        <item x="375"/>
        <item x="362"/>
        <item x="363"/>
        <item x="364"/>
        <item x="365"/>
        <item x="366"/>
        <item x="367"/>
        <item x="368"/>
        <item x="391"/>
        <item x="355"/>
        <item x="356"/>
        <item x="357"/>
        <item x="358"/>
        <item x="359"/>
        <item x="360"/>
        <item x="361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122"/>
        <item x="143"/>
        <item x="123"/>
        <item x="35"/>
        <item x="47"/>
        <item x="3"/>
        <item x="7"/>
        <item x="435"/>
        <item x="142"/>
        <item x="174"/>
        <item x="323"/>
        <item x="320"/>
        <item x="152"/>
        <item x="154"/>
        <item x="314"/>
        <item x="146"/>
        <item x="145"/>
        <item x="234"/>
        <item x="43"/>
        <item x="34"/>
        <item x="87"/>
        <item x="141"/>
        <item x="133"/>
        <item x="168"/>
        <item x="398"/>
        <item x="274"/>
        <item x="275"/>
        <item x="276"/>
        <item x="277"/>
        <item x="147"/>
        <item x="161"/>
        <item x="131"/>
        <item x="140"/>
        <item x="144"/>
        <item x="321"/>
        <item x="322"/>
        <item x="132"/>
        <item x="233"/>
        <item x="313"/>
        <item x="12"/>
        <item x="201"/>
        <item x="202"/>
        <item x="208"/>
        <item x="137"/>
        <item x="0"/>
        <item x="151"/>
        <item x="157"/>
        <item x="158"/>
        <item x="1"/>
        <item x="4"/>
        <item x="5"/>
        <item x="6"/>
        <item x="8"/>
        <item x="9"/>
        <item x="11"/>
        <item x="13"/>
        <item x="64"/>
        <item x="48"/>
        <item x="65"/>
        <item x="67"/>
        <item x="68"/>
        <item x="101"/>
        <item x="107"/>
        <item x="70"/>
        <item x="73"/>
        <item x="76"/>
        <item x="78"/>
        <item x="79"/>
        <item x="80"/>
        <item x="81"/>
        <item x="84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9"/>
        <item x="102"/>
        <item x="104"/>
        <item x="105"/>
        <item x="106"/>
        <item x="108"/>
        <item x="109"/>
        <item x="111"/>
        <item x="112"/>
        <item x="114"/>
        <item x="115"/>
        <item x="117"/>
        <item x="118"/>
        <item x="119"/>
        <item x="120"/>
        <item x="124"/>
        <item x="125"/>
        <item x="126"/>
        <item x="127"/>
        <item x="128"/>
        <item x="129"/>
        <item x="162"/>
        <item x="183"/>
        <item x="184"/>
        <item x="185"/>
        <item x="188"/>
        <item x="189"/>
        <item x="191"/>
        <item x="190"/>
        <item x="192"/>
        <item x="193"/>
        <item x="194"/>
        <item x="195"/>
        <item x="196"/>
        <item x="197"/>
        <item x="198"/>
        <item x="199"/>
        <item x="200"/>
        <item x="203"/>
        <item x="204"/>
        <item x="205"/>
        <item x="206"/>
        <item x="207"/>
        <item x="210"/>
        <item x="211"/>
        <item x="212"/>
        <item x="216"/>
        <item x="235"/>
        <item x="392"/>
        <item x="395"/>
        <item x="405"/>
        <item x="406"/>
        <item x="433"/>
        <item x="209"/>
        <item x="136"/>
        <item x="55"/>
        <item x="135"/>
        <item x="289"/>
        <item x="219"/>
        <item x="53"/>
        <item x="54"/>
        <item x="222"/>
        <item x="32"/>
        <item x="58"/>
        <item x="18"/>
        <item x="77"/>
        <item x="213"/>
        <item x="217"/>
        <item x="226"/>
        <item x="436"/>
        <item x="223"/>
        <item x="221"/>
        <item x="98"/>
        <item x="113"/>
        <item x="121"/>
        <item x="220"/>
        <item x="224"/>
        <item x="74"/>
        <item x="437"/>
        <item x="187"/>
        <item x="100"/>
        <item x="103"/>
        <item x="186"/>
        <item x="116"/>
        <item x="278"/>
        <item x="279"/>
        <item x="280"/>
        <item x="285"/>
        <item x="281"/>
        <item x="282"/>
        <item x="283"/>
        <item x="29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153"/>
        <item x="170"/>
        <item x="215"/>
        <item x="218"/>
        <item x="286"/>
        <item x="288"/>
        <item x="287"/>
        <item x="177"/>
        <item x="175"/>
        <item x="176"/>
        <item x="178"/>
        <item x="181"/>
        <item x="179"/>
        <item x="180"/>
        <item x="149"/>
        <item x="230"/>
        <item x="231"/>
        <item x="236"/>
        <item x="237"/>
        <item x="56"/>
        <item x="57"/>
        <item x="247"/>
        <item x="242"/>
        <item x="252"/>
        <item x="60"/>
        <item x="254"/>
        <item x="309"/>
        <item x="248"/>
        <item x="138"/>
        <item x="173"/>
        <item x="255"/>
        <item x="418"/>
        <item x="182"/>
        <item x="169"/>
        <item x="419"/>
        <item x="420"/>
        <item x="310"/>
        <item x="311"/>
        <item x="250"/>
        <item x="251"/>
        <item x="155"/>
        <item x="164"/>
        <item x="165"/>
        <item x="227"/>
        <item x="243"/>
        <item x="401"/>
        <item x="402"/>
        <item x="403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292"/>
        <item x="245"/>
        <item x="315"/>
        <item x="316"/>
        <item x="317"/>
        <item x="318"/>
        <item x="319"/>
        <item x="244"/>
        <item x="22"/>
        <item x="59"/>
        <item x="61"/>
        <item x="214"/>
        <item x="225"/>
        <item x="228"/>
        <item x="229"/>
        <item x="232"/>
        <item x="253"/>
        <item x="257"/>
        <item x="260"/>
        <item x="261"/>
        <item x="23"/>
        <item x="312"/>
        <item x="62"/>
        <item x="163"/>
        <item x="167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258"/>
        <item x="343"/>
        <item x="259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134"/>
        <item x="171"/>
        <item x="63"/>
        <item x="166"/>
        <item x="265"/>
        <item x="264"/>
        <item x="267"/>
        <item x="268"/>
        <item x="262"/>
        <item x="263"/>
        <item x="238"/>
        <item x="266"/>
        <item x="239"/>
        <item x="240"/>
        <item x="241"/>
        <item x="284"/>
        <item x="156"/>
        <item x="148"/>
        <item x="269"/>
        <item x="272"/>
        <item x="50"/>
        <item x="246"/>
        <item x="249"/>
        <item x="256"/>
        <item x="270"/>
        <item x="271"/>
        <item x="273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290"/>
        <item x="421"/>
        <item x="455"/>
        <item x="456"/>
        <item x="457"/>
        <item x="458"/>
        <item x="459"/>
        <item x="460"/>
        <item x="461"/>
      </items>
    </pivotField>
    <pivotField axis="axisRow" showAll="0" defaultSubtotal="0">
      <items count="9">
        <item x="0"/>
        <item x="6"/>
        <item x="1"/>
        <item x="4"/>
        <item x="5"/>
        <item x="3"/>
        <item x="7"/>
        <item x="8"/>
        <item h="1" x="2"/>
      </items>
    </pivotField>
    <pivotField axis="axisRow" showAll="0" defaultSubtotal="0">
      <items count="19">
        <item x="1"/>
        <item x="6"/>
        <item x="12"/>
        <item x="7"/>
        <item x="11"/>
        <item x="18"/>
        <item x="9"/>
        <item x="8"/>
        <item x="14"/>
        <item x="0"/>
        <item x="4"/>
        <item x="5"/>
        <item x="10"/>
        <item x="15"/>
        <item x="16"/>
        <item x="17"/>
        <item x="3"/>
        <item x="2"/>
        <item x="13"/>
      </items>
    </pivotField>
    <pivotField axis="axisRow" outline="0" showAll="0" defaultSubtotal="0">
      <items count="12">
        <item x="10"/>
        <item x="9"/>
        <item x="6"/>
        <item x="2"/>
        <item x="5"/>
        <item x="4"/>
        <item x="1"/>
        <item x="3"/>
        <item x="8"/>
        <item x="0"/>
        <item x="11"/>
        <item x="7"/>
      </items>
    </pivotField>
    <pivotField showAll="0"/>
    <pivotField axis="axisRow" outline="0" showAll="0" defaultSubtotal="0">
      <items count="645">
        <item x="577"/>
        <item x="574"/>
        <item x="575"/>
        <item x="579"/>
        <item x="580"/>
        <item x="581"/>
        <item x="582"/>
        <item x="604"/>
        <item x="605"/>
        <item x="606"/>
        <item x="607"/>
        <item x="608"/>
        <item x="609"/>
        <item x="610"/>
        <item x="612"/>
        <item x="613"/>
        <item x="614"/>
        <item x="616"/>
        <item x="33"/>
        <item x="37"/>
        <item x="40"/>
        <item x="43"/>
        <item x="56"/>
        <item x="62"/>
        <item x="67"/>
        <item x="77"/>
        <item x="111"/>
        <item x="115"/>
        <item x="153"/>
        <item x="41"/>
        <item x="44"/>
        <item x="57"/>
        <item x="38"/>
        <item x="34"/>
        <item x="78"/>
        <item x="154"/>
        <item x="152"/>
        <item x="65"/>
        <item x="60"/>
        <item x="364"/>
        <item x="365"/>
        <item x="366"/>
        <item x="368"/>
        <item x="369"/>
        <item x="372"/>
        <item x="373"/>
        <item x="374"/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5"/>
        <item x="39"/>
        <item x="42"/>
        <item x="46"/>
        <item x="47"/>
        <item x="48"/>
        <item x="49"/>
        <item x="50"/>
        <item x="51"/>
        <item x="52"/>
        <item x="53"/>
        <item x="54"/>
        <item x="55"/>
        <item x="58"/>
        <item x="59"/>
        <item x="64"/>
        <item x="69"/>
        <item x="71"/>
        <item x="73"/>
        <item x="75"/>
        <item x="76"/>
        <item x="94"/>
        <item x="97"/>
        <item x="99"/>
        <item x="100"/>
        <item x="103"/>
        <item x="110"/>
        <item x="114"/>
        <item x="120"/>
        <item x="151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1"/>
        <item x="204"/>
        <item x="207"/>
        <item x="238"/>
        <item x="240"/>
        <item x="309"/>
        <item x="310"/>
        <item x="362"/>
        <item x="363"/>
        <item x="367"/>
        <item x="371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7"/>
        <item x="568"/>
        <item x="570"/>
        <item x="571"/>
        <item x="572"/>
        <item x="586"/>
        <item x="566"/>
        <item x="13"/>
        <item x="79"/>
        <item x="81"/>
        <item x="273"/>
        <item x="274"/>
        <item x="280"/>
        <item x="282"/>
        <item x="183"/>
        <item x="311"/>
        <item x="315"/>
        <item x="312"/>
        <item x="206"/>
        <item x="214"/>
        <item x="215"/>
        <item x="212"/>
        <item x="213"/>
        <item x="216"/>
        <item x="1"/>
        <item x="5"/>
        <item x="6"/>
        <item x="7"/>
        <item x="9"/>
        <item x="15"/>
        <item x="32"/>
        <item x="36"/>
        <item x="61"/>
        <item x="63"/>
        <item x="66"/>
        <item x="68"/>
        <item x="70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30"/>
        <item x="132"/>
        <item x="133"/>
        <item x="134"/>
        <item x="135"/>
        <item x="143"/>
        <item x="146"/>
        <item x="159"/>
        <item x="161"/>
        <item x="162"/>
        <item x="176"/>
        <item x="181"/>
        <item x="196"/>
        <item x="205"/>
        <item x="234"/>
        <item x="249"/>
        <item x="272"/>
        <item x="279"/>
        <item x="281"/>
        <item x="283"/>
        <item x="284"/>
        <item x="288"/>
        <item x="316"/>
        <item x="578"/>
        <item x="587"/>
        <item x="588"/>
        <item x="593"/>
        <item x="594"/>
        <item x="615"/>
        <item x="72"/>
        <item x="92"/>
        <item x="112"/>
        <item x="113"/>
        <item x="116"/>
        <item x="198"/>
        <item x="370"/>
        <item x="576"/>
        <item x="611"/>
        <item x="617"/>
        <item x="10"/>
        <item x="12"/>
        <item x="129"/>
        <item x="136"/>
        <item x="138"/>
        <item x="139"/>
        <item x="140"/>
        <item x="141"/>
        <item x="142"/>
        <item x="144"/>
        <item x="145"/>
        <item x="147"/>
        <item x="149"/>
        <item x="150"/>
        <item x="155"/>
        <item x="156"/>
        <item x="158"/>
        <item x="160"/>
        <item x="163"/>
        <item x="164"/>
        <item x="168"/>
        <item x="169"/>
        <item x="170"/>
        <item x="171"/>
        <item x="172"/>
        <item x="173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5"/>
        <item x="276"/>
        <item x="277"/>
        <item x="278"/>
        <item x="83"/>
        <item x="386"/>
        <item x="387"/>
        <item x="388"/>
        <item x="293"/>
        <item x="296"/>
        <item x="80"/>
        <item x="82"/>
        <item x="45"/>
        <item x="86"/>
        <item x="569"/>
        <item x="573"/>
        <item x="193"/>
        <item x="217"/>
        <item x="20"/>
        <item x="105"/>
        <item x="285"/>
        <item x="302"/>
        <item x="301"/>
        <item x="618"/>
        <item x="297"/>
        <item x="295"/>
        <item x="131"/>
        <item x="157"/>
        <item x="165"/>
        <item x="298"/>
        <item x="619"/>
        <item x="287"/>
        <item x="290"/>
        <item x="291"/>
        <item x="292"/>
        <item x="299"/>
        <item x="375"/>
        <item x="376"/>
        <item x="377"/>
        <item x="382"/>
        <item x="378"/>
        <item x="379"/>
        <item x="380"/>
        <item x="389"/>
        <item x="393"/>
        <item x="391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208"/>
        <item x="236"/>
        <item x="209"/>
        <item x="102"/>
        <item x="294"/>
        <item x="383"/>
        <item x="385"/>
        <item x="384"/>
        <item x="243"/>
        <item x="241"/>
        <item x="242"/>
        <item x="244"/>
        <item x="247"/>
        <item x="245"/>
        <item x="246"/>
        <item x="203"/>
        <item x="306"/>
        <item x="307"/>
        <item x="317"/>
        <item x="318"/>
        <item x="84"/>
        <item x="85"/>
        <item x="334"/>
        <item x="329"/>
        <item x="339"/>
        <item x="88"/>
        <item x="341"/>
        <item x="412"/>
        <item x="335"/>
        <item x="390"/>
        <item x="392"/>
        <item x="394"/>
        <item x="184"/>
        <item x="239"/>
        <item x="343"/>
        <item x="600"/>
        <item x="248"/>
        <item x="235"/>
        <item x="601"/>
        <item x="602"/>
        <item x="413"/>
        <item x="414"/>
        <item x="337"/>
        <item x="338"/>
        <item x="210"/>
        <item x="2"/>
        <item x="14"/>
        <item x="24"/>
        <item x="87"/>
        <item x="225"/>
        <item x="226"/>
        <item x="303"/>
        <item x="319"/>
        <item x="330"/>
        <item x="342"/>
        <item x="583"/>
        <item x="584"/>
        <item x="585"/>
        <item x="589"/>
        <item x="590"/>
        <item x="591"/>
        <item x="592"/>
        <item x="595"/>
        <item x="596"/>
        <item x="597"/>
        <item x="598"/>
        <item x="599"/>
        <item x="395"/>
        <item x="314"/>
        <item x="332"/>
        <item x="416"/>
        <item x="417"/>
        <item x="418"/>
        <item x="421"/>
        <item x="424"/>
        <item x="428"/>
        <item x="432"/>
        <item x="435"/>
        <item x="436"/>
        <item x="437"/>
        <item x="438"/>
        <item x="439"/>
        <item x="440"/>
        <item x="331"/>
        <item x="25"/>
        <item x="89"/>
        <item x="195"/>
        <item x="286"/>
        <item x="289"/>
        <item x="300"/>
        <item x="304"/>
        <item x="305"/>
        <item x="308"/>
        <item x="340"/>
        <item x="345"/>
        <item x="348"/>
        <item x="349"/>
        <item x="420"/>
        <item x="423"/>
        <item x="425"/>
        <item x="427"/>
        <item x="429"/>
        <item x="431"/>
        <item x="434"/>
        <item x="26"/>
        <item x="419"/>
        <item x="422"/>
        <item x="426"/>
        <item x="430"/>
        <item x="433"/>
        <item x="415"/>
        <item x="200"/>
        <item x="199"/>
        <item x="90"/>
        <item x="219"/>
        <item x="228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346"/>
        <item x="484"/>
        <item x="485"/>
        <item x="486"/>
        <item x="34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179"/>
        <item x="237"/>
        <item x="194"/>
        <item x="603"/>
        <item x="91"/>
        <item x="227"/>
        <item x="350"/>
        <item x="353"/>
        <item x="355"/>
        <item x="352"/>
        <item x="351"/>
        <item x="320"/>
        <item x="354"/>
        <item x="323"/>
        <item x="325"/>
        <item x="327"/>
        <item x="381"/>
        <item x="211"/>
        <item x="356"/>
        <item x="202"/>
        <item x="357"/>
        <item x="360"/>
        <item x="74"/>
        <item x="333"/>
        <item x="336"/>
        <item x="344"/>
        <item x="358"/>
        <item x="359"/>
        <item x="361"/>
        <item x="185"/>
        <item x="197"/>
        <item x="218"/>
        <item x="220"/>
        <item x="221"/>
        <item x="222"/>
        <item x="223"/>
        <item x="224"/>
        <item x="229"/>
        <item x="230"/>
        <item x="231"/>
        <item x="232"/>
        <item x="233"/>
        <item x="313"/>
        <item x="321"/>
        <item x="322"/>
        <item x="324"/>
        <item x="326"/>
        <item x="328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</items>
    </pivotField>
    <pivotField axis="axisRow" outline="0" showAll="0" defaultSubtotal="0">
      <items count="17">
        <item x="5"/>
        <item x="12"/>
        <item x="11"/>
        <item x="13"/>
        <item x="7"/>
        <item x="10"/>
        <item x="16"/>
        <item x="8"/>
        <item x="1"/>
        <item x="6"/>
        <item x="9"/>
        <item x="4"/>
        <item x="2"/>
        <item x="14"/>
        <item x="15"/>
        <item x="0"/>
        <item x="3"/>
      </items>
    </pivotField>
    <pivotField axis="axisRow" outline="0" showAll="0" defaultSubtotal="0">
      <items count="16">
        <item x="8"/>
        <item x="0"/>
        <item x="2"/>
        <item x="1"/>
        <item x="3"/>
        <item x="4"/>
        <item x="5"/>
        <item x="7"/>
        <item x="6"/>
        <item x="11"/>
        <item x="9"/>
        <item x="10"/>
        <item x="15"/>
        <item x="12"/>
        <item x="13"/>
        <item x="14"/>
      </items>
    </pivotField>
    <pivotField showAll="0"/>
    <pivotField axis="axisRow" outline="0" showAll="0" defaultSubtotal="0">
      <items count="297">
        <item x="195"/>
        <item x="225"/>
        <item x="209"/>
        <item x="188"/>
        <item x="207"/>
        <item x="89"/>
        <item x="216"/>
        <item x="191"/>
        <item x="153"/>
        <item x="65"/>
        <item x="202"/>
        <item x="210"/>
        <item x="168"/>
        <item x="61"/>
        <item x="239"/>
        <item x="62"/>
        <item x="238"/>
        <item x="163"/>
        <item x="190"/>
        <item x="64"/>
        <item x="66"/>
        <item x="198"/>
        <item x="200"/>
        <item x="5"/>
        <item x="167"/>
        <item x="31"/>
        <item x="218"/>
        <item x="76"/>
        <item x="189"/>
        <item x="10"/>
        <item x="197"/>
        <item x="290"/>
        <item x="226"/>
        <item x="56"/>
        <item x="204"/>
        <item x="69"/>
        <item x="227"/>
        <item x="160"/>
        <item x="233"/>
        <item x="145"/>
        <item x="92"/>
        <item x="196"/>
        <item x="26"/>
        <item x="230"/>
        <item x="90"/>
        <item x="94"/>
        <item x="137"/>
        <item x="152"/>
        <item x="236"/>
        <item x="231"/>
        <item x="136"/>
        <item x="144"/>
        <item x="75"/>
        <item x="276"/>
        <item x="134"/>
        <item x="32"/>
        <item x="203"/>
        <item x="59"/>
        <item x="95"/>
        <item x="269"/>
        <item x="192"/>
        <item x="194"/>
        <item x="0"/>
        <item x="132"/>
        <item x="193"/>
        <item x="77"/>
        <item x="147"/>
        <item x="212"/>
        <item x="133"/>
        <item x="234"/>
        <item x="143"/>
        <item x="206"/>
        <item x="63"/>
        <item x="9"/>
        <item x="235"/>
        <item x="149"/>
        <item x="211"/>
        <item x="85"/>
        <item x="237"/>
        <item x="71"/>
        <item x="232"/>
        <item x="25"/>
        <item x="224"/>
        <item x="72"/>
        <item x="138"/>
        <item x="162"/>
        <item x="7"/>
        <item x="60"/>
        <item x="223"/>
        <item x="24"/>
        <item x="220"/>
        <item x="87"/>
        <item x="135"/>
        <item x="221"/>
        <item x="20"/>
        <item x="2"/>
        <item x="1"/>
        <item x="15"/>
        <item x="80"/>
        <item x="219"/>
        <item x="228"/>
        <item x="199"/>
        <item x="130"/>
        <item x="229"/>
        <item x="86"/>
        <item x="240"/>
        <item x="93"/>
        <item x="201"/>
        <item x="12"/>
        <item x="131"/>
        <item x="215"/>
        <item x="16"/>
        <item x="129"/>
        <item x="55"/>
        <item x="6"/>
        <item x="208"/>
        <item x="117"/>
        <item x="33"/>
        <item x="205"/>
        <item x="180"/>
        <item x="84"/>
        <item x="139"/>
        <item x="270"/>
        <item x="213"/>
        <item x="35"/>
        <item x="165"/>
        <item x="17"/>
        <item x="13"/>
        <item x="14"/>
        <item x="67"/>
        <item x="11"/>
        <item x="164"/>
        <item x="41"/>
        <item x="91"/>
        <item x="34"/>
        <item x="73"/>
        <item x="88"/>
        <item x="116"/>
        <item x="166"/>
        <item x="18"/>
        <item x="222"/>
        <item x="58"/>
        <item x="214"/>
        <item x="3"/>
        <item x="74"/>
        <item x="277"/>
        <item x="265"/>
        <item x="82"/>
        <item x="21"/>
        <item x="157"/>
        <item x="46"/>
        <item x="4"/>
        <item x="19"/>
        <item x="217"/>
        <item x="111"/>
        <item x="266"/>
        <item x="185"/>
        <item x="81"/>
        <item x="268"/>
        <item x="128"/>
        <item x="148"/>
        <item x="140"/>
        <item x="57"/>
        <item x="70"/>
        <item x="8"/>
        <item x="48"/>
        <item x="83"/>
        <item x="22"/>
        <item x="45"/>
        <item x="179"/>
        <item x="141"/>
        <item x="176"/>
        <item x="68"/>
        <item x="103"/>
        <item x="96"/>
        <item x="106"/>
        <item x="125"/>
        <item x="23"/>
        <item x="47"/>
        <item x="187"/>
        <item x="54"/>
        <item x="126"/>
        <item x="186"/>
        <item x="146"/>
        <item x="97"/>
        <item x="169"/>
        <item x="177"/>
        <item x="78"/>
        <item x="79"/>
        <item x="115"/>
        <item x="150"/>
        <item x="124"/>
        <item x="127"/>
        <item x="44"/>
        <item x="113"/>
        <item x="272"/>
        <item x="110"/>
        <item x="170"/>
        <item x="43"/>
        <item x="278"/>
        <item x="178"/>
        <item x="36"/>
        <item x="98"/>
        <item x="99"/>
        <item x="121"/>
        <item x="114"/>
        <item x="101"/>
        <item x="181"/>
        <item x="100"/>
        <item x="279"/>
        <item x="112"/>
        <item x="42"/>
        <item x="123"/>
        <item x="273"/>
        <item x="175"/>
        <item x="102"/>
        <item x="171"/>
        <item x="151"/>
        <item x="37"/>
        <item x="182"/>
        <item x="119"/>
        <item x="38"/>
        <item x="30"/>
        <item x="183"/>
        <item x="174"/>
        <item x="39"/>
        <item x="118"/>
        <item x="184"/>
        <item x="172"/>
        <item x="173"/>
        <item x="51"/>
        <item x="267"/>
        <item x="120"/>
        <item x="122"/>
        <item x="29"/>
        <item x="264"/>
        <item x="40"/>
        <item x="158"/>
        <item x="271"/>
        <item x="49"/>
        <item x="274"/>
        <item x="28"/>
        <item x="50"/>
        <item x="275"/>
        <item x="27"/>
        <item x="159"/>
        <item x="52"/>
        <item x="53"/>
        <item x="104"/>
        <item x="105"/>
        <item x="107"/>
        <item x="108"/>
        <item x="109"/>
        <item x="142"/>
        <item x="154"/>
        <item x="155"/>
        <item x="156"/>
        <item x="161"/>
        <item x="257"/>
        <item x="258"/>
        <item x="259"/>
        <item x="260"/>
        <item x="261"/>
        <item x="262"/>
        <item x="263"/>
        <item x="280"/>
        <item x="281"/>
        <item x="282"/>
        <item x="283"/>
        <item x="284"/>
        <item x="285"/>
        <item x="286"/>
        <item x="287"/>
        <item x="288"/>
        <item x="289"/>
        <item x="291"/>
        <item x="292"/>
        <item x="293"/>
        <item x="294"/>
        <item x="295"/>
        <item x="296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</items>
    </pivotField>
    <pivotField showAll="0"/>
    <pivotField showAll="0"/>
    <pivotField axis="axisRow" outline="0" showAll="0" defaultSubtotal="0">
      <items count="297">
        <item x="195"/>
        <item x="225"/>
        <item x="209"/>
        <item x="188"/>
        <item x="207"/>
        <item x="89"/>
        <item x="216"/>
        <item x="191"/>
        <item x="153"/>
        <item x="65"/>
        <item x="202"/>
        <item x="210"/>
        <item x="168"/>
        <item x="61"/>
        <item x="239"/>
        <item x="62"/>
        <item x="238"/>
        <item x="163"/>
        <item x="190"/>
        <item x="64"/>
        <item x="66"/>
        <item x="198"/>
        <item x="200"/>
        <item x="5"/>
        <item x="167"/>
        <item x="31"/>
        <item x="218"/>
        <item x="76"/>
        <item x="189"/>
        <item x="10"/>
        <item x="197"/>
        <item x="290"/>
        <item x="226"/>
        <item x="56"/>
        <item x="204"/>
        <item x="69"/>
        <item x="227"/>
        <item x="160"/>
        <item x="233"/>
        <item x="145"/>
        <item x="92"/>
        <item x="196"/>
        <item x="26"/>
        <item x="230"/>
        <item x="90"/>
        <item x="94"/>
        <item x="137"/>
        <item x="152"/>
        <item x="236"/>
        <item x="231"/>
        <item x="136"/>
        <item x="144"/>
        <item x="75"/>
        <item x="276"/>
        <item x="134"/>
        <item x="32"/>
        <item x="203"/>
        <item x="59"/>
        <item x="95"/>
        <item x="269"/>
        <item x="192"/>
        <item x="194"/>
        <item x="0"/>
        <item x="132"/>
        <item x="193"/>
        <item x="77"/>
        <item x="147"/>
        <item x="212"/>
        <item x="133"/>
        <item x="234"/>
        <item x="143"/>
        <item x="206"/>
        <item x="63"/>
        <item x="9"/>
        <item x="235"/>
        <item x="149"/>
        <item x="211"/>
        <item x="85"/>
        <item x="237"/>
        <item x="71"/>
        <item x="232"/>
        <item x="25"/>
        <item x="224"/>
        <item x="72"/>
        <item x="138"/>
        <item x="162"/>
        <item x="7"/>
        <item x="60"/>
        <item x="223"/>
        <item x="24"/>
        <item x="220"/>
        <item x="87"/>
        <item x="135"/>
        <item x="221"/>
        <item x="20"/>
        <item x="2"/>
        <item x="1"/>
        <item x="15"/>
        <item x="80"/>
        <item x="219"/>
        <item x="228"/>
        <item x="199"/>
        <item x="130"/>
        <item x="229"/>
        <item x="86"/>
        <item x="240"/>
        <item x="93"/>
        <item x="201"/>
        <item x="12"/>
        <item x="131"/>
        <item x="215"/>
        <item x="16"/>
        <item x="129"/>
        <item x="55"/>
        <item x="6"/>
        <item x="208"/>
        <item x="117"/>
        <item x="33"/>
        <item x="205"/>
        <item x="180"/>
        <item x="84"/>
        <item x="139"/>
        <item x="270"/>
        <item x="213"/>
        <item x="35"/>
        <item x="165"/>
        <item x="14"/>
        <item x="67"/>
        <item x="11"/>
        <item x="164"/>
        <item x="41"/>
        <item x="91"/>
        <item x="34"/>
        <item x="73"/>
        <item x="88"/>
        <item x="116"/>
        <item x="166"/>
        <item x="18"/>
        <item x="222"/>
        <item x="214"/>
        <item x="3"/>
        <item x="74"/>
        <item x="277"/>
        <item x="265"/>
        <item x="82"/>
        <item x="21"/>
        <item x="157"/>
        <item x="46"/>
        <item x="4"/>
        <item x="217"/>
        <item x="111"/>
        <item x="266"/>
        <item x="81"/>
        <item x="268"/>
        <item x="128"/>
        <item x="148"/>
        <item x="140"/>
        <item x="57"/>
        <item x="70"/>
        <item x="8"/>
        <item x="48"/>
        <item x="83"/>
        <item x="22"/>
        <item x="45"/>
        <item x="179"/>
        <item x="141"/>
        <item x="176"/>
        <item x="68"/>
        <item x="125"/>
        <item x="23"/>
        <item x="54"/>
        <item x="146"/>
        <item x="169"/>
        <item x="177"/>
        <item x="78"/>
        <item x="79"/>
        <item x="115"/>
        <item x="150"/>
        <item x="124"/>
        <item x="127"/>
        <item x="113"/>
        <item x="272"/>
        <item x="110"/>
        <item x="170"/>
        <item x="43"/>
        <item x="178"/>
        <item x="98"/>
        <item x="99"/>
        <item x="121"/>
        <item x="114"/>
        <item x="101"/>
        <item x="181"/>
        <item x="100"/>
        <item x="279"/>
        <item x="112"/>
        <item x="42"/>
        <item x="123"/>
        <item x="273"/>
        <item x="175"/>
        <item x="102"/>
        <item x="171"/>
        <item x="151"/>
        <item x="182"/>
        <item x="119"/>
        <item x="183"/>
        <item x="174"/>
        <item x="118"/>
        <item x="184"/>
        <item x="172"/>
        <item x="173"/>
        <item x="51"/>
        <item x="267"/>
        <item x="120"/>
        <item x="122"/>
        <item x="264"/>
        <item x="40"/>
        <item x="158"/>
        <item x="271"/>
        <item x="49"/>
        <item x="274"/>
        <item x="50"/>
        <item x="275"/>
        <item x="159"/>
        <item x="13"/>
        <item x="17"/>
        <item x="19"/>
        <item x="27"/>
        <item x="28"/>
        <item x="29"/>
        <item x="30"/>
        <item x="36"/>
        <item x="37"/>
        <item x="38"/>
        <item x="39"/>
        <item x="44"/>
        <item x="47"/>
        <item x="58"/>
        <item x="96"/>
        <item x="97"/>
        <item x="103"/>
        <item x="126"/>
        <item x="185"/>
        <item x="106"/>
        <item x="186"/>
        <item x="187"/>
        <item x="278"/>
        <item x="52"/>
        <item x="53"/>
        <item x="104"/>
        <item x="105"/>
        <item x="107"/>
        <item x="108"/>
        <item x="109"/>
        <item x="142"/>
        <item x="154"/>
        <item x="155"/>
        <item x="156"/>
        <item x="161"/>
        <item x="257"/>
        <item x="258"/>
        <item x="259"/>
        <item x="260"/>
        <item x="261"/>
        <item x="262"/>
        <item x="263"/>
        <item x="280"/>
        <item x="281"/>
        <item x="282"/>
        <item x="283"/>
        <item x="284"/>
        <item x="285"/>
        <item x="286"/>
        <item x="287"/>
        <item x="288"/>
        <item x="289"/>
        <item x="291"/>
        <item x="292"/>
        <item x="293"/>
        <item x="294"/>
        <item x="295"/>
        <item x="296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</items>
    </pivotField>
    <pivotField showAll="0"/>
    <pivotField axis="axisRow" numFmtId="9" outline="0" showAll="0" defaultSubtotal="0">
      <items count="3">
        <item x="2"/>
        <item x="0"/>
        <item x="1"/>
      </items>
    </pivotField>
    <pivotField showAll="0"/>
    <pivotField numFmtId="4" showAll="0"/>
    <pivotField numFmtId="4" showAll="0"/>
    <pivotField showAll="0"/>
    <pivotField showAll="0"/>
  </pivotFields>
  <rowFields count="12">
    <field x="3"/>
    <field x="4"/>
    <field x="1"/>
    <field x="2"/>
    <field x="0"/>
    <field x="7"/>
    <field x="9"/>
    <field x="8"/>
    <field x="5"/>
    <field x="16"/>
    <field x="11"/>
    <field x="14"/>
  </rowFields>
  <rowItems count="795">
    <i>
      <x/>
    </i>
    <i r="1">
      <x/>
    </i>
    <i r="2">
      <x v="1"/>
      <x v="64"/>
    </i>
    <i r="4">
      <x v="1"/>
      <x v="48"/>
      <x v="1"/>
      <x v="8"/>
      <x v="6"/>
      <x v="1"/>
      <x v="143"/>
      <x v="140"/>
    </i>
    <i r="2">
      <x v="49"/>
      <x v="112"/>
    </i>
    <i r="4">
      <x v="86"/>
      <x v="113"/>
      <x v="1"/>
      <x v="11"/>
      <x v="6"/>
      <x v="1"/>
      <x v="151"/>
      <x v="148"/>
    </i>
    <i r="2">
      <x v="50"/>
      <x/>
    </i>
    <i r="4">
      <x v="69"/>
      <x v="96"/>
      <x v="1"/>
      <x v="8"/>
      <x v="6"/>
      <x v="1"/>
      <x v="162"/>
      <x v="157"/>
    </i>
    <i r="2">
      <x v="65"/>
      <x v="65"/>
    </i>
    <i r="4">
      <x v="85"/>
      <x v="112"/>
      <x v="1"/>
      <x v="8"/>
      <x v="6"/>
      <x v="1"/>
      <x v="176"/>
      <x v="168"/>
    </i>
    <i r="2">
      <x v="339"/>
      <x v="323"/>
    </i>
    <i r="4">
      <x v="401"/>
      <x v="402"/>
      <x v="1"/>
      <x v="8"/>
      <x v="6"/>
      <x v="1"/>
      <x v="181"/>
      <x v="240"/>
    </i>
    <i r="2">
      <x v="340"/>
      <x v="324"/>
    </i>
    <i r="4">
      <x v="402"/>
      <x v="403"/>
      <x v="14"/>
      <x v="16"/>
      <x v="6"/>
      <x v="1"/>
      <x v="131"/>
      <x v="129"/>
    </i>
    <i r="2">
      <x v="344"/>
      <x v="328"/>
    </i>
    <i r="4">
      <x v="406"/>
      <x v="407"/>
      <x v="1"/>
      <x/>
      <x v="6"/>
      <x v="1"/>
      <x v="199"/>
      <x v="245"/>
    </i>
    <i r="1">
      <x v="1"/>
    </i>
    <i r="2">
      <x v="51"/>
      <x v="134"/>
    </i>
    <i r="4">
      <x v="70"/>
      <x v="97"/>
      <x v="5"/>
      <x v="5"/>
      <x v="6"/>
      <x v="1"/>
      <x v="174"/>
      <x v="237"/>
    </i>
    <i r="4">
      <x v="75"/>
      <x v="102"/>
      <x v="3"/>
      <x v="7"/>
      <x v="6"/>
      <x v="1"/>
      <x v="173"/>
      <x v="239"/>
    </i>
    <i r="4">
      <x v="257"/>
      <x v="230"/>
      <x v="6"/>
      <x v="5"/>
      <x v="6"/>
      <x v="1"/>
      <x v="174"/>
      <x v="237"/>
    </i>
    <i r="2">
      <x v="52"/>
      <x v="139"/>
    </i>
    <i r="4">
      <x v="71"/>
      <x v="98"/>
      <x v="1"/>
      <x v="8"/>
      <x v="6"/>
      <x v="1"/>
      <x v="184"/>
      <x v="238"/>
    </i>
    <i r="2">
      <x v="384"/>
      <x v="114"/>
    </i>
    <i r="4">
      <x v="445"/>
      <x v="446"/>
      <x v="1"/>
      <x v="11"/>
      <x v="6"/>
      <x v="1"/>
      <x v="165"/>
      <x v="160"/>
    </i>
    <i r="2">
      <x v="385"/>
      <x v="137"/>
    </i>
    <i r="4">
      <x v="446"/>
      <x v="447"/>
      <x v="1"/>
      <x v="8"/>
      <x v="6"/>
      <x v="1"/>
      <x v="191"/>
      <x v="178"/>
    </i>
    <i r="2">
      <x v="386"/>
      <x v="138"/>
    </i>
    <i r="4">
      <x v="447"/>
      <x v="448"/>
      <x v="1"/>
      <x v="11"/>
      <x v="6"/>
      <x v="1"/>
      <x v="156"/>
      <x v="241"/>
    </i>
    <i r="1">
      <x v="2"/>
    </i>
    <i r="2">
      <x v="151"/>
      <x v="149"/>
    </i>
    <i r="4">
      <x v="183"/>
      <x v="181"/>
      <x v="1"/>
      <x v="8"/>
      <x v="9"/>
      <x v="1"/>
      <x v="120"/>
      <x v="120"/>
    </i>
    <i r="2">
      <x v="152"/>
      <x v="150"/>
    </i>
    <i r="4">
      <x v="184"/>
      <x v="182"/>
      <x v="1"/>
      <x v="8"/>
      <x v="9"/>
      <x v="1"/>
      <x v="139"/>
      <x v="137"/>
    </i>
    <i r="1">
      <x v="3"/>
    </i>
    <i r="2">
      <x v="55"/>
      <x v="242"/>
    </i>
    <i r="4">
      <x v="73"/>
      <x v="100"/>
      <x v="5"/>
      <x v="2"/>
      <x v="9"/>
      <x v="1"/>
      <x v="203"/>
      <x v="187"/>
    </i>
    <i r="4">
      <x v="76"/>
      <x v="103"/>
      <x v="3"/>
      <x v="16"/>
      <x v="9"/>
      <x v="1"/>
      <x v="202"/>
      <x v="186"/>
    </i>
    <i r="4">
      <x v="258"/>
      <x v="231"/>
      <x v="6"/>
      <x v="2"/>
      <x v="9"/>
      <x v="1"/>
      <x v="203"/>
      <x v="187"/>
    </i>
    <i r="2">
      <x v="56"/>
      <x v="240"/>
    </i>
    <i r="4">
      <x v="74"/>
      <x v="101"/>
      <x v="5"/>
      <x v="2"/>
      <x v="9"/>
      <x v="1"/>
      <x v="208"/>
      <x v="192"/>
    </i>
    <i r="2">
      <x v="217"/>
      <x v="207"/>
    </i>
    <i r="4">
      <x v="262"/>
      <x v="324"/>
      <x v="5"/>
      <x v="2"/>
      <x v="9"/>
      <x v="1"/>
      <x v="203"/>
      <x v="187"/>
    </i>
    <i r="4">
      <x v="604"/>
      <x v="603"/>
      <x v="7"/>
      <x v="16"/>
      <x v="9"/>
      <x v="1"/>
      <x v="203"/>
      <x v="187"/>
    </i>
    <i r="2">
      <x v="338"/>
      <x v="322"/>
    </i>
    <i r="4">
      <x v="400"/>
      <x v="401"/>
      <x v="5"/>
      <x v="2"/>
      <x v="9"/>
      <x v="1"/>
      <x v="215"/>
      <x v="199"/>
    </i>
    <i r="4">
      <x v="601"/>
      <x v="601"/>
      <x v="7"/>
      <x v="2"/>
      <x v="9"/>
      <x v="1"/>
      <x v="215"/>
      <x v="199"/>
    </i>
    <i r="1">
      <x v="4"/>
    </i>
    <i r="2">
      <x v="148"/>
      <x v="148"/>
    </i>
    <i r="4">
      <x v="180"/>
      <x v="178"/>
      <x v="1"/>
      <x v="8"/>
      <x v="9"/>
      <x v="1"/>
      <x v="96"/>
      <x v="96"/>
    </i>
    <i r="2">
      <x v="149"/>
      <x v="47"/>
    </i>
    <i r="4">
      <x v="181"/>
      <x v="179"/>
      <x v="1"/>
      <x v="8"/>
      <x v="9"/>
      <x v="1"/>
      <x v="137"/>
      <x v="135"/>
    </i>
    <i r="2">
      <x v="150"/>
      <x v="48"/>
    </i>
    <i r="4">
      <x v="182"/>
      <x v="180"/>
      <x v="1"/>
      <x v="8"/>
      <x v="9"/>
      <x v="1"/>
      <x v="116"/>
      <x v="116"/>
    </i>
    <i r="1">
      <x v="5"/>
    </i>
    <i r="2">
      <x v="387"/>
      <x v="113"/>
    </i>
    <i r="4">
      <x v="448"/>
      <x v="449"/>
      <x v="1"/>
      <x v="8"/>
      <x v="6"/>
      <x v="1"/>
      <x v="175"/>
      <x v="242"/>
    </i>
    <i r="2">
      <x v="388"/>
      <x v="1"/>
    </i>
    <i r="4">
      <x v="449"/>
      <x v="450"/>
      <x v="1"/>
      <x v="8"/>
      <x v="6"/>
      <x v="1"/>
      <x v="182"/>
      <x v="243"/>
    </i>
    <i r="1">
      <x v="6"/>
    </i>
    <i r="2">
      <x v="63"/>
      <x v="132"/>
    </i>
    <i r="4">
      <x v="82"/>
      <x v="109"/>
      <x v="1"/>
      <x v="5"/>
      <x v="6"/>
      <x v="1"/>
      <x v="196"/>
      <x v="182"/>
    </i>
    <i r="2">
      <x v="153"/>
      <x v="133"/>
    </i>
    <i r="4">
      <x v="185"/>
      <x v="183"/>
      <x v="5"/>
      <x v="7"/>
      <x v="9"/>
      <x v="1"/>
      <x v="139"/>
      <x v="137"/>
    </i>
    <i r="2">
      <x v="325"/>
      <x v="308"/>
    </i>
    <i r="4">
      <x v="383"/>
      <x v="384"/>
      <x v="1"/>
      <x v="11"/>
      <x v="9"/>
      <x v="1"/>
      <x v="128"/>
      <x v="126"/>
    </i>
    <i r="2">
      <x v="328"/>
      <x v="311"/>
    </i>
    <i r="4">
      <x v="386"/>
      <x v="387"/>
      <x v="1"/>
      <x v="13"/>
      <x v="9"/>
      <x v="1"/>
      <x v="132"/>
      <x v="130"/>
    </i>
    <i r="2">
      <x v="332"/>
      <x v="316"/>
    </i>
    <i r="4">
      <x v="391"/>
      <x v="392"/>
      <x v="1"/>
      <x v="8"/>
      <x v="6"/>
      <x v="1"/>
      <x v="148"/>
      <x v="145"/>
    </i>
    <i r="2">
      <x v="358"/>
      <x v="312"/>
    </i>
    <i r="4">
      <x v="420"/>
      <x v="421"/>
      <x v="1"/>
      <x v="11"/>
      <x v="9"/>
      <x v="1"/>
      <x v="149"/>
      <x v="146"/>
    </i>
    <i r="2">
      <x v="373"/>
      <x v="312"/>
    </i>
    <i r="4">
      <x v="387"/>
      <x v="388"/>
      <x v="1"/>
      <x v="11"/>
      <x v="9"/>
      <x v="1"/>
      <x v="149"/>
      <x v="146"/>
    </i>
    <i r="2">
      <x v="389"/>
      <x v="49"/>
    </i>
    <i r="4">
      <x v="450"/>
      <x v="451"/>
      <x v="1"/>
      <x v="11"/>
      <x v="6"/>
      <x v="1"/>
      <x v="179"/>
      <x v="244"/>
    </i>
    <i r="2">
      <x v="512"/>
      <x v="426"/>
    </i>
    <i r="4">
      <x v="589"/>
      <x v="591"/>
      <x v="1"/>
      <x v="8"/>
      <x v="6"/>
      <x v="1"/>
      <x v="154"/>
      <x v="150"/>
    </i>
    <i r="1">
      <x v="7"/>
    </i>
    <i r="2">
      <x v="146"/>
      <x v="146"/>
    </i>
    <i r="4">
      <x v="176"/>
      <x v="174"/>
      <x v="1"/>
      <x v="16"/>
      <x v="6"/>
      <x v="1"/>
      <x v="206"/>
      <x v="190"/>
    </i>
    <i r="2">
      <x v="377"/>
      <x v="141"/>
    </i>
    <i r="4">
      <x v="438"/>
      <x v="439"/>
      <x v="1"/>
      <x v="8"/>
      <x v="6"/>
      <x v="1"/>
      <x v="181"/>
      <x v="240"/>
    </i>
    <i r="2">
      <x v="378"/>
      <x v="117"/>
    </i>
    <i r="4">
      <x v="439"/>
      <x v="440"/>
      <x v="1"/>
      <x v="3"/>
      <x v="6"/>
      <x v="1"/>
      <x v="198"/>
      <x v="184"/>
    </i>
    <i r="2">
      <x v="379"/>
      <x v="355"/>
    </i>
    <i r="4">
      <x v="440"/>
      <x v="441"/>
      <x v="5"/>
      <x v="2"/>
      <x v="8"/>
      <x v="1"/>
      <x v="203"/>
      <x v="187"/>
    </i>
    <i r="4">
      <x v="463"/>
      <x v="466"/>
      <x v="10"/>
      <x v="2"/>
      <x v="8"/>
      <x v="1"/>
      <x v="203"/>
      <x v="187"/>
    </i>
    <i r="4">
      <x v="471"/>
      <x v="474"/>
      <x v="7"/>
      <x v="2"/>
      <x v="8"/>
      <x v="1"/>
      <x v="203"/>
      <x v="187"/>
    </i>
    <i r="2">
      <x v="380"/>
      <x v="356"/>
    </i>
    <i r="4">
      <x v="441"/>
      <x v="442"/>
      <x v="5"/>
      <x v="2"/>
      <x v="8"/>
      <x v="1"/>
      <x v="207"/>
      <x v="191"/>
    </i>
    <i r="4">
      <x v="464"/>
      <x v="467"/>
      <x v="10"/>
      <x v="2"/>
      <x v="8"/>
      <x v="1"/>
      <x v="207"/>
      <x v="191"/>
    </i>
    <i r="4">
      <x v="472"/>
      <x v="475"/>
      <x v="7"/>
      <x v="2"/>
      <x v="8"/>
      <x v="1"/>
      <x v="207"/>
      <x v="191"/>
    </i>
    <i r="2">
      <x v="381"/>
      <x v="357"/>
    </i>
    <i r="4">
      <x v="442"/>
      <x v="443"/>
      <x v="5"/>
      <x v="2"/>
      <x v="8"/>
      <x v="1"/>
      <x v="219"/>
      <x v="202"/>
    </i>
    <i r="4">
      <x v="465"/>
      <x v="468"/>
      <x v="12"/>
      <x v="2"/>
      <x v="8"/>
      <x v="1"/>
      <x v="219"/>
      <x v="202"/>
    </i>
    <i r="4">
      <x v="466"/>
      <x v="469"/>
      <x v="10"/>
      <x v="2"/>
      <x v="8"/>
      <x v="1"/>
      <x v="219"/>
      <x v="202"/>
    </i>
    <i r="4">
      <x v="473"/>
      <x v="476"/>
      <x v="6"/>
      <x v="2"/>
      <x v="8"/>
      <x v="1"/>
      <x v="219"/>
      <x v="202"/>
    </i>
    <i r="2">
      <x v="382"/>
      <x v="358"/>
    </i>
    <i r="4">
      <x v="443"/>
      <x v="444"/>
      <x v="5"/>
      <x v="2"/>
      <x v="8"/>
      <x v="1"/>
      <x v="223"/>
      <x v="204"/>
    </i>
    <i r="4">
      <x v="467"/>
      <x v="470"/>
      <x v="12"/>
      <x v="2"/>
      <x v="8"/>
      <x v="1"/>
      <x v="223"/>
      <x v="204"/>
    </i>
    <i r="4">
      <x v="468"/>
      <x v="471"/>
      <x v="10"/>
      <x v="2"/>
      <x v="8"/>
      <x v="1"/>
      <x v="223"/>
      <x v="204"/>
    </i>
    <i r="4">
      <x v="474"/>
      <x v="477"/>
      <x v="6"/>
      <x v="2"/>
      <x v="8"/>
      <x v="1"/>
      <x v="223"/>
      <x v="204"/>
    </i>
    <i r="2">
      <x v="383"/>
      <x v="359"/>
    </i>
    <i r="4">
      <x v="444"/>
      <x v="445"/>
      <x v="5"/>
      <x v="1"/>
      <x v="8"/>
      <x v="1"/>
      <x v="227"/>
      <x v="207"/>
    </i>
    <i r="4">
      <x v="469"/>
      <x v="472"/>
      <x v="10"/>
      <x v="1"/>
      <x v="8"/>
      <x v="1"/>
      <x v="227"/>
      <x v="207"/>
    </i>
    <i r="4">
      <x v="475"/>
      <x v="478"/>
      <x v="7"/>
      <x v="1"/>
      <x v="8"/>
      <x v="1"/>
      <x v="227"/>
      <x v="207"/>
    </i>
    <i r="1">
      <x v="9"/>
    </i>
    <i r="2">
      <x/>
      <x v="147"/>
    </i>
    <i r="4">
      <x/>
      <x v="47"/>
      <x v="1"/>
      <x v="15"/>
      <x v="9"/>
      <x v="1"/>
      <x v="62"/>
      <x v="62"/>
    </i>
    <i r="2">
      <x v="4"/>
      <x v="44"/>
    </i>
    <i r="4">
      <x v="5"/>
      <x v="52"/>
      <x v="1"/>
      <x v="11"/>
      <x v="6"/>
      <x v="1"/>
      <x v="111"/>
      <x v="111"/>
    </i>
    <i r="2">
      <x v="5"/>
      <x v="42"/>
    </i>
    <i r="4">
      <x v="6"/>
      <x v="53"/>
      <x v="1"/>
      <x v="11"/>
      <x v="6"/>
      <x v="1"/>
      <x v="126"/>
      <x v="224"/>
    </i>
    <i r="2">
      <x v="6"/>
      <x v="39"/>
    </i>
    <i r="4">
      <x v="7"/>
      <x v="54"/>
      <x v="1"/>
      <x v="8"/>
      <x v="6"/>
      <x v="1"/>
      <x v="139"/>
      <x v="137"/>
    </i>
    <i r="2">
      <x v="7"/>
      <x v="40"/>
    </i>
    <i r="4">
      <x v="8"/>
      <x v="55"/>
      <x v="1"/>
      <x v="8"/>
      <x v="6"/>
      <x v="1"/>
      <x v="152"/>
      <x v="225"/>
    </i>
    <i r="2">
      <x v="8"/>
      <x v="38"/>
    </i>
    <i r="4">
      <x v="4"/>
      <x v="51"/>
      <x v="1"/>
      <x v="11"/>
      <x v="6"/>
      <x v="1"/>
      <x v="130"/>
      <x v="128"/>
    </i>
    <i r="2">
      <x v="9"/>
      <x v="43"/>
    </i>
    <i r="4">
      <x v="9"/>
      <x v="56"/>
      <x v="1"/>
      <x v="8"/>
      <x v="6"/>
      <x v="1"/>
      <x v="148"/>
      <x v="145"/>
    </i>
    <i r="2">
      <x v="10"/>
      <x v="41"/>
    </i>
    <i r="4">
      <x v="10"/>
      <x v="57"/>
      <x v="1"/>
      <x v="8"/>
      <x v="6"/>
      <x v="1"/>
      <x v="167"/>
      <x v="162"/>
    </i>
    <i r="2">
      <x v="11"/>
      <x v="37"/>
    </i>
    <i r="4">
      <x v="11"/>
      <x v="58"/>
      <x v="1"/>
      <x v="8"/>
      <x v="6"/>
      <x v="1"/>
      <x v="177"/>
      <x v="169"/>
    </i>
    <i r="2">
      <x v="139"/>
      <x v="142"/>
    </i>
    <i r="4">
      <x v="169"/>
      <x v="167"/>
      <x v="1"/>
      <x v="8"/>
      <x v="6"/>
      <x v="1"/>
      <x v="127"/>
      <x v="223"/>
    </i>
    <i r="2">
      <x v="154"/>
      <x v="151"/>
    </i>
    <i r="4">
      <x v="186"/>
      <x v="184"/>
      <x v="1"/>
      <x v="15"/>
      <x v="6"/>
      <x v="1"/>
      <x v="96"/>
      <x v="96"/>
    </i>
    <i r="2">
      <x v="351"/>
      <x v="151"/>
    </i>
    <i r="4">
      <x v="413"/>
      <x v="414"/>
      <x v="1"/>
      <x v="15"/>
      <x v="6"/>
      <x v="1"/>
      <x v="95"/>
      <x v="95"/>
    </i>
    <i r="2">
      <x v="352"/>
      <x v="142"/>
    </i>
    <i r="4">
      <x v="414"/>
      <x v="415"/>
      <x v="1"/>
      <x v="8"/>
      <x v="6"/>
      <x v="1"/>
      <x v="128"/>
      <x v="126"/>
    </i>
    <i r="2">
      <x v="353"/>
      <x v="37"/>
    </i>
    <i r="4">
      <x v="415"/>
      <x v="416"/>
      <x v="1"/>
      <x v="8"/>
      <x v="6"/>
      <x v="1"/>
      <x v="177"/>
      <x v="169"/>
    </i>
    <i r="1">
      <x v="10"/>
    </i>
    <i r="2">
      <x v="16"/>
      <x v="63"/>
    </i>
    <i r="4">
      <x v="42"/>
      <x v="80"/>
      <x v="1"/>
      <x/>
      <x v="6"/>
      <x v="1"/>
      <x v="193"/>
      <x v="234"/>
    </i>
    <i r="4">
      <x v="43"/>
      <x v="196"/>
      <x v="2"/>
      <x/>
      <x v="6"/>
      <x v="1"/>
      <x v="193"/>
      <x v="234"/>
    </i>
    <i r="2">
      <x v="17"/>
      <x v="61"/>
    </i>
    <i r="4">
      <x v="39"/>
      <x v="79"/>
      <x v="5"/>
      <x/>
      <x v="6"/>
      <x v="1"/>
      <x v="198"/>
      <x v="184"/>
    </i>
    <i r="4">
      <x v="40"/>
      <x v="37"/>
      <x v="4"/>
      <x/>
      <x v="6"/>
      <x v="1"/>
      <x v="198"/>
      <x v="184"/>
    </i>
    <i r="4">
      <x v="41"/>
      <x v="195"/>
      <x v="2"/>
      <x/>
      <x v="6"/>
      <x v="1"/>
      <x v="198"/>
      <x v="184"/>
    </i>
    <i r="4">
      <x v="199"/>
      <x v="194"/>
      <x v="6"/>
      <x v="16"/>
      <x v="6"/>
      <x v="1"/>
      <x v="198"/>
      <x v="184"/>
    </i>
    <i r="4">
      <x v="371"/>
      <x v="24"/>
      <x v="8"/>
      <x/>
      <x v="6"/>
      <x v="1"/>
      <x v="198"/>
      <x v="184"/>
    </i>
    <i r="2">
      <x v="18"/>
      <x v="7"/>
    </i>
    <i r="4">
      <x v="36"/>
      <x v="78"/>
      <x v="5"/>
      <x/>
      <x v="6"/>
      <x v="1"/>
      <x v="211"/>
      <x v="195"/>
    </i>
    <i r="4">
      <x v="37"/>
      <x v="38"/>
      <x v="4"/>
      <x/>
      <x v="6"/>
      <x v="1"/>
      <x v="211"/>
      <x v="195"/>
    </i>
    <i r="4">
      <x v="38"/>
      <x v="193"/>
      <x v="2"/>
      <x/>
      <x v="6"/>
      <x v="1"/>
      <x v="211"/>
      <x v="195"/>
    </i>
    <i r="4">
      <x v="198"/>
      <x v="192"/>
      <x v="6"/>
      <x v="16"/>
      <x v="6"/>
      <x v="1"/>
      <x v="211"/>
      <x v="195"/>
    </i>
    <i r="4">
      <x v="370"/>
      <x v="23"/>
      <x v="8"/>
      <x/>
      <x v="6"/>
      <x v="1"/>
      <x v="211"/>
      <x v="195"/>
    </i>
    <i r="2">
      <x v="19"/>
      <x v="56"/>
    </i>
    <i r="4">
      <x v="33"/>
      <x v="76"/>
      <x v="5"/>
      <x/>
      <x v="6"/>
      <x v="1"/>
      <x v="236"/>
      <x v="215"/>
    </i>
    <i r="4">
      <x v="34"/>
      <x v="31"/>
      <x v="2"/>
      <x/>
      <x v="6"/>
      <x v="1"/>
      <x v="236"/>
      <x v="215"/>
    </i>
    <i r="4">
      <x v="369"/>
      <x v="22"/>
      <x v="8"/>
      <x v="16"/>
      <x v="6"/>
      <x v="1"/>
      <x v="236"/>
      <x v="215"/>
    </i>
    <i r="2">
      <x v="20"/>
      <x v="52"/>
    </i>
    <i r="4">
      <x v="22"/>
      <x v="66"/>
      <x v="5"/>
      <x/>
      <x v="6"/>
      <x v="1"/>
      <x v="222"/>
      <x v="229"/>
    </i>
    <i r="4">
      <x v="23"/>
      <x v="30"/>
      <x v="2"/>
      <x/>
      <x v="6"/>
      <x v="1"/>
      <x v="222"/>
      <x v="229"/>
    </i>
    <i r="4">
      <x v="368"/>
      <x v="21"/>
      <x v="8"/>
      <x v="16"/>
      <x v="6"/>
      <x v="1"/>
      <x v="222"/>
      <x v="229"/>
    </i>
    <i r="2">
      <x v="21"/>
      <x v="55"/>
    </i>
    <i r="4">
      <x v="20"/>
      <x v="65"/>
      <x v="5"/>
      <x/>
      <x v="6"/>
      <x v="1"/>
      <x v="234"/>
      <x v="228"/>
    </i>
    <i r="4">
      <x v="21"/>
      <x v="29"/>
      <x v="2"/>
      <x/>
      <x v="6"/>
      <x v="1"/>
      <x v="234"/>
      <x v="228"/>
    </i>
    <i r="4">
      <x v="367"/>
      <x v="20"/>
      <x v="8"/>
      <x/>
      <x v="6"/>
      <x v="1"/>
      <x v="234"/>
      <x v="228"/>
    </i>
    <i r="2">
      <x v="22"/>
      <x v="58"/>
    </i>
    <i r="4">
      <x v="18"/>
      <x v="64"/>
      <x v="5"/>
      <x/>
      <x v="6"/>
      <x v="1"/>
      <x v="241"/>
      <x v="227"/>
    </i>
    <i r="4">
      <x v="19"/>
      <x v="32"/>
      <x v="2"/>
      <x/>
      <x v="6"/>
      <x v="1"/>
      <x v="241"/>
      <x v="227"/>
    </i>
    <i r="4">
      <x v="195"/>
      <x v="191"/>
      <x v="6"/>
      <x v="16"/>
      <x v="6"/>
      <x v="1"/>
      <x v="241"/>
      <x v="227"/>
    </i>
    <i r="4">
      <x v="366"/>
      <x v="19"/>
      <x v="8"/>
      <x/>
      <x v="6"/>
      <x v="1"/>
      <x v="241"/>
      <x v="227"/>
    </i>
    <i r="2">
      <x v="23"/>
      <x v="59"/>
    </i>
    <i r="4">
      <x v="16"/>
      <x v="63"/>
      <x v="5"/>
      <x/>
      <x v="6"/>
      <x v="1"/>
      <x v="244"/>
      <x v="226"/>
    </i>
    <i r="4">
      <x v="17"/>
      <x v="33"/>
      <x v="2"/>
      <x/>
      <x v="6"/>
      <x v="1"/>
      <x v="244"/>
      <x v="226"/>
    </i>
    <i r="4">
      <x v="194"/>
      <x v="190"/>
      <x v="6"/>
      <x v="16"/>
      <x v="6"/>
      <x v="1"/>
      <x v="244"/>
      <x v="226"/>
    </i>
    <i r="4">
      <x v="365"/>
      <x v="18"/>
      <x v="8"/>
      <x/>
      <x v="6"/>
      <x v="1"/>
      <x v="244"/>
      <x v="226"/>
    </i>
    <i r="2">
      <x v="24"/>
      <x v="60"/>
    </i>
    <i r="4">
      <x v="29"/>
      <x v="72"/>
      <x v="1"/>
      <x/>
      <x v="6"/>
      <x v="1"/>
      <x v="201"/>
      <x v="230"/>
    </i>
    <i r="2">
      <x v="25"/>
      <x v="53"/>
    </i>
    <i r="4">
      <x v="30"/>
      <x v="73"/>
      <x v="1"/>
      <x/>
      <x v="6"/>
      <x v="1"/>
      <x v="218"/>
      <x v="231"/>
    </i>
    <i r="2">
      <x v="26"/>
      <x v="54"/>
    </i>
    <i r="4">
      <x v="31"/>
      <x v="74"/>
      <x v="1"/>
      <x/>
      <x v="6"/>
      <x v="1"/>
      <x v="221"/>
      <x v="232"/>
    </i>
    <i r="2">
      <x v="27"/>
      <x v="57"/>
    </i>
    <i r="4">
      <x v="32"/>
      <x v="75"/>
      <x v="1"/>
      <x/>
      <x v="6"/>
      <x v="1"/>
      <x v="225"/>
      <x v="233"/>
    </i>
    <i r="2">
      <x v="28"/>
      <x v="121"/>
    </i>
    <i r="4">
      <x v="35"/>
      <x v="77"/>
      <x v="5"/>
      <x/>
      <x v="6"/>
      <x v="1"/>
      <x v="132"/>
      <x v="130"/>
    </i>
    <i r="2">
      <x v="29"/>
      <x v="62"/>
    </i>
    <i r="4">
      <x v="46"/>
      <x v="83"/>
      <x v="1"/>
      <x/>
      <x v="6"/>
      <x v="1"/>
      <x v="178"/>
      <x v="235"/>
    </i>
    <i r="2">
      <x v="354"/>
      <x v="362"/>
    </i>
    <i r="4">
      <x v="416"/>
      <x v="417"/>
      <x v="1"/>
      <x/>
      <x v="6"/>
      <x v="1"/>
      <x v="180"/>
      <x v="170"/>
    </i>
    <i r="2">
      <x v="404"/>
      <x v="375"/>
    </i>
    <i r="4">
      <x v="480"/>
      <x v="482"/>
      <x v="1"/>
      <x v="16"/>
      <x v="6"/>
      <x v="1"/>
      <x v="162"/>
      <x v="157"/>
    </i>
    <i r="2">
      <x v="497"/>
      <x v="411"/>
    </i>
    <i r="4">
      <x v="574"/>
      <x v="576"/>
      <x v="1"/>
      <x v="16"/>
      <x v="6"/>
      <x v="1"/>
      <x v="141"/>
      <x v="236"/>
    </i>
    <i r="1">
      <x v="11"/>
    </i>
    <i r="2">
      <x v="140"/>
      <x v="245"/>
    </i>
    <i r="4">
      <x v="170"/>
      <x v="168"/>
      <x v="5"/>
      <x/>
      <x v="7"/>
      <x v="1"/>
      <x v="239"/>
      <x v="218"/>
    </i>
    <i r="4">
      <x v="311"/>
      <x v="317"/>
      <x v="7"/>
      <x/>
      <x v="7"/>
      <x v="1"/>
      <x v="239"/>
      <x v="218"/>
    </i>
    <i r="2">
      <x v="141"/>
      <x v="246"/>
    </i>
    <i r="4">
      <x v="171"/>
      <x v="169"/>
      <x v="5"/>
      <x/>
      <x v="7"/>
      <x v="1"/>
      <x v="242"/>
      <x v="220"/>
    </i>
    <i r="4">
      <x v="312"/>
      <x v="318"/>
      <x v="7"/>
      <x/>
      <x v="7"/>
      <x v="1"/>
      <x v="242"/>
      <x v="220"/>
    </i>
    <i r="2">
      <x v="368"/>
      <x v="348"/>
    </i>
    <i r="4">
      <x v="430"/>
      <x v="431"/>
      <x v="1"/>
      <x/>
      <x v="7"/>
      <x v="1"/>
      <x v="240"/>
      <x v="219"/>
    </i>
    <i r="2">
      <x v="369"/>
      <x v="349"/>
    </i>
    <i r="4">
      <x v="431"/>
      <x v="432"/>
      <x v="1"/>
      <x/>
      <x v="7"/>
      <x v="1"/>
      <x v="243"/>
      <x v="221"/>
    </i>
    <i r="1">
      <x v="12"/>
    </i>
    <i r="2">
      <x v="64"/>
      <x v="6"/>
    </i>
    <i r="4">
      <x v="83"/>
      <x v="110"/>
      <x v="5"/>
      <x v="2"/>
      <x v="9"/>
      <x v="1"/>
      <x v="210"/>
      <x v="194"/>
    </i>
    <i r="4">
      <x v="603"/>
      <x v="233"/>
      <x v="7"/>
      <x v="2"/>
      <x v="9"/>
      <x v="1"/>
      <x v="210"/>
      <x v="194"/>
    </i>
    <i r="1">
      <x v="16"/>
    </i>
    <i r="2">
      <x v="541"/>
      <x v="328"/>
    </i>
    <i r="4">
      <x v="640"/>
      <x v="639"/>
      <x v="1"/>
      <x v="16"/>
      <x v="6"/>
      <x v="1"/>
      <x v="116"/>
      <x v="116"/>
    </i>
    <i r="1">
      <x v="18"/>
    </i>
    <i r="2">
      <x v="505"/>
      <x v="419"/>
    </i>
    <i r="4">
      <x v="582"/>
      <x v="583"/>
      <x v="13"/>
      <x v="16"/>
      <x v="7"/>
      <x v="1"/>
      <x v="237"/>
      <x v="216"/>
    </i>
    <i r="4">
      <x v="616"/>
      <x v="615"/>
      <x v="7"/>
      <x v="16"/>
      <x v="7"/>
      <x v="1"/>
      <x v="237"/>
      <x v="216"/>
    </i>
    <i r="4">
      <x v="617"/>
      <x v="616"/>
      <x v="3"/>
      <x v="16"/>
      <x v="7"/>
      <x v="1"/>
      <x v="237"/>
      <x v="216"/>
    </i>
    <i r="2">
      <x v="507"/>
      <x v="421"/>
    </i>
    <i r="4">
      <x v="584"/>
      <x v="585"/>
      <x v="13"/>
      <x v="16"/>
      <x v="11"/>
      <x v="2"/>
      <x v="245"/>
      <x v="222"/>
    </i>
    <i r="4">
      <x v="618"/>
      <x v="617"/>
      <x v="7"/>
      <x v="16"/>
      <x v="11"/>
      <x v="2"/>
      <x v="245"/>
      <x v="222"/>
    </i>
    <i r="2">
      <x v="508"/>
      <x v="422"/>
    </i>
    <i r="4">
      <x v="585"/>
      <x v="586"/>
      <x v="13"/>
      <x v="16"/>
      <x v="11"/>
      <x v="2"/>
      <x v="245"/>
      <x v="222"/>
    </i>
    <i r="4">
      <x v="619"/>
      <x v="618"/>
      <x v="7"/>
      <x v="16"/>
      <x v="11"/>
      <x v="2"/>
      <x v="245"/>
      <x v="222"/>
    </i>
    <i r="2">
      <x v="509"/>
      <x v="423"/>
    </i>
    <i r="4">
      <x v="586"/>
      <x v="587"/>
      <x v="13"/>
      <x v="16"/>
      <x v="11"/>
      <x v="2"/>
      <x v="245"/>
      <x v="222"/>
    </i>
    <i r="4">
      <x v="620"/>
      <x v="619"/>
      <x v="7"/>
      <x v="16"/>
      <x v="11"/>
      <x v="2"/>
      <x v="245"/>
      <x v="222"/>
    </i>
    <i>
      <x v="1"/>
    </i>
    <i r="1">
      <x v="7"/>
    </i>
    <i r="2">
      <x v="288"/>
      <x v="270"/>
    </i>
    <i r="4">
      <x v="337"/>
      <x v="343"/>
      <x v="1"/>
      <x v="3"/>
      <x v="2"/>
      <x v="1"/>
      <x v="197"/>
      <x v="183"/>
    </i>
    <i r="2">
      <x v="289"/>
      <x v="271"/>
    </i>
    <i r="4">
      <x v="338"/>
      <x v="344"/>
      <x v="1"/>
      <x v="2"/>
      <x v="2"/>
      <x v="1"/>
      <x v="216"/>
      <x v="200"/>
    </i>
    <i r="2">
      <x v="290"/>
      <x v="272"/>
    </i>
    <i r="4">
      <x v="339"/>
      <x v="345"/>
      <x v="1"/>
      <x v="1"/>
      <x v="2"/>
      <x v="1"/>
      <x v="228"/>
      <x v="208"/>
    </i>
    <i r="1">
      <x v="8"/>
    </i>
    <i r="2">
      <x v="291"/>
      <x v="273"/>
    </i>
    <i r="4">
      <x v="340"/>
      <x v="346"/>
      <x v="1"/>
      <x v="2"/>
      <x v="2"/>
      <x v="1"/>
      <x v="214"/>
      <x v="198"/>
    </i>
    <i r="2">
      <x v="292"/>
      <x v="274"/>
    </i>
    <i r="4">
      <x v="341"/>
      <x v="347"/>
      <x v="1"/>
      <x v="1"/>
      <x v="2"/>
      <x v="1"/>
      <x v="229"/>
      <x v="209"/>
    </i>
    <i r="1">
      <x v="13"/>
    </i>
    <i r="2">
      <x v="293"/>
      <x v="275"/>
    </i>
    <i r="4">
      <x v="342"/>
      <x v="348"/>
      <x v="1"/>
      <x v="2"/>
      <x v="2"/>
      <x v="1"/>
      <x v="203"/>
      <x v="187"/>
    </i>
    <i r="2">
      <x v="294"/>
      <x v="276"/>
    </i>
    <i r="4">
      <x v="343"/>
      <x v="349"/>
      <x v="1"/>
      <x v="5"/>
      <x v="2"/>
      <x v="1"/>
      <x v="189"/>
      <x v="176"/>
    </i>
    <i r="1">
      <x v="14"/>
    </i>
    <i r="2">
      <x v="510"/>
      <x v="424"/>
    </i>
    <i r="4">
      <x v="587"/>
      <x v="588"/>
      <x v="1"/>
      <x v="16"/>
      <x v="2"/>
      <x v="1"/>
      <x v="224"/>
      <x v="205"/>
    </i>
    <i r="1">
      <x v="15"/>
    </i>
    <i r="2">
      <x v="296"/>
      <x v="278"/>
    </i>
    <i r="4">
      <x v="347"/>
      <x v="353"/>
      <x v="1"/>
      <x v="11"/>
      <x v="2"/>
      <x v="1"/>
      <x v="66"/>
      <x v="66"/>
    </i>
    <i r="2">
      <x v="297"/>
      <x v="279"/>
    </i>
    <i r="4">
      <x v="348"/>
      <x v="354"/>
      <x v="1"/>
      <x v="11"/>
      <x v="2"/>
      <x v="1"/>
      <x v="66"/>
      <x v="66"/>
    </i>
    <i r="2">
      <x v="298"/>
      <x v="280"/>
    </i>
    <i r="4">
      <x v="349"/>
      <x v="355"/>
      <x v="1"/>
      <x v="11"/>
      <x v="2"/>
      <x v="1"/>
      <x v="66"/>
      <x v="66"/>
    </i>
    <i r="2">
      <x v="299"/>
      <x v="281"/>
    </i>
    <i r="4">
      <x v="350"/>
      <x v="356"/>
      <x v="1"/>
      <x v="11"/>
      <x v="2"/>
      <x v="1"/>
      <x v="66"/>
      <x v="66"/>
    </i>
    <i r="2">
      <x v="300"/>
      <x v="282"/>
    </i>
    <i r="4">
      <x v="351"/>
      <x v="357"/>
      <x v="1"/>
      <x v="11"/>
      <x v="2"/>
      <x v="1"/>
      <x v="66"/>
      <x v="66"/>
    </i>
    <i r="2">
      <x v="301"/>
      <x v="283"/>
    </i>
    <i r="4">
      <x v="352"/>
      <x v="358"/>
      <x v="1"/>
      <x v="11"/>
      <x v="2"/>
      <x v="1"/>
      <x v="66"/>
      <x v="66"/>
    </i>
    <i r="2">
      <x v="302"/>
      <x v="284"/>
    </i>
    <i r="4">
      <x v="353"/>
      <x v="359"/>
      <x v="1"/>
      <x v="11"/>
      <x v="2"/>
      <x v="1"/>
      <x v="66"/>
      <x v="66"/>
    </i>
    <i r="2">
      <x v="303"/>
      <x v="285"/>
    </i>
    <i r="4">
      <x v="354"/>
      <x v="360"/>
      <x v="1"/>
      <x v="11"/>
      <x v="2"/>
      <x v="1"/>
      <x v="66"/>
      <x v="66"/>
    </i>
    <i r="2">
      <x v="304"/>
      <x v="286"/>
    </i>
    <i r="4">
      <x v="355"/>
      <x v="361"/>
      <x v="1"/>
      <x v="11"/>
      <x v="2"/>
      <x v="1"/>
      <x v="66"/>
      <x v="66"/>
    </i>
    <i r="2">
      <x v="305"/>
      <x v="287"/>
    </i>
    <i r="4">
      <x v="356"/>
      <x v="362"/>
      <x v="1"/>
      <x v="11"/>
      <x v="2"/>
      <x v="1"/>
      <x v="66"/>
      <x v="66"/>
    </i>
    <i r="2">
      <x v="306"/>
      <x v="288"/>
    </i>
    <i r="4">
      <x v="357"/>
      <x v="363"/>
      <x v="1"/>
      <x v="11"/>
      <x v="2"/>
      <x v="1"/>
      <x v="66"/>
      <x v="66"/>
    </i>
    <i r="2">
      <x v="307"/>
      <x v="289"/>
    </i>
    <i r="4">
      <x v="358"/>
      <x v="364"/>
      <x v="1"/>
      <x v="11"/>
      <x v="2"/>
      <x v="1"/>
      <x v="66"/>
      <x v="66"/>
    </i>
    <i r="2">
      <x v="308"/>
      <x v="290"/>
    </i>
    <i r="4">
      <x v="359"/>
      <x v="365"/>
      <x v="1"/>
      <x v="11"/>
      <x v="2"/>
      <x v="1"/>
      <x v="66"/>
      <x v="66"/>
    </i>
    <i r="2">
      <x v="309"/>
      <x v="291"/>
    </i>
    <i r="4">
      <x v="360"/>
      <x v="366"/>
      <x v="1"/>
      <x v="11"/>
      <x v="2"/>
      <x v="1"/>
      <x v="66"/>
      <x v="66"/>
    </i>
    <i r="2">
      <x v="310"/>
      <x v="292"/>
    </i>
    <i r="4">
      <x v="361"/>
      <x v="367"/>
      <x v="1"/>
      <x v="11"/>
      <x v="2"/>
      <x v="1"/>
      <x v="66"/>
      <x v="66"/>
    </i>
    <i r="2">
      <x v="311"/>
      <x v="293"/>
    </i>
    <i r="4">
      <x v="362"/>
      <x v="368"/>
      <x v="1"/>
      <x v="11"/>
      <x v="2"/>
      <x v="1"/>
      <x v="66"/>
      <x v="66"/>
    </i>
    <i r="2">
      <x v="336"/>
      <x v="320"/>
    </i>
    <i r="4">
      <x v="395"/>
      <x v="396"/>
      <x v="1"/>
      <x v="11"/>
      <x v="2"/>
      <x v="1"/>
      <x v="66"/>
      <x v="66"/>
    </i>
    <i r="2">
      <x v="346"/>
      <x v="330"/>
    </i>
    <i r="4">
      <x v="408"/>
      <x v="409"/>
      <x v="1"/>
      <x v="16"/>
      <x v="2"/>
      <x v="1"/>
      <x v="119"/>
      <x v="119"/>
    </i>
    <i r="2">
      <x v="347"/>
      <x v="331"/>
    </i>
    <i r="4">
      <x v="409"/>
      <x v="410"/>
      <x v="1"/>
      <x v="11"/>
      <x v="2"/>
      <x v="1"/>
      <x v="66"/>
      <x v="66"/>
    </i>
    <i r="2">
      <x v="403"/>
      <x v="374"/>
    </i>
    <i r="4">
      <x v="476"/>
      <x v="479"/>
      <x v="1"/>
      <x v="11"/>
      <x v="2"/>
      <x v="1"/>
      <x v="66"/>
      <x v="66"/>
    </i>
    <i r="1">
      <x v="17"/>
    </i>
    <i r="2">
      <x v="295"/>
      <x v="277"/>
    </i>
    <i r="4">
      <x v="344"/>
      <x v="350"/>
      <x v="5"/>
      <x v="4"/>
      <x v="2"/>
      <x v="1"/>
      <x v="189"/>
      <x v="176"/>
    </i>
    <i r="4">
      <x v="345"/>
      <x v="351"/>
      <x v="3"/>
      <x v="4"/>
      <x v="2"/>
      <x v="1"/>
      <x v="189"/>
      <x v="176"/>
    </i>
    <i r="4">
      <x v="346"/>
      <x v="352"/>
      <x v="7"/>
      <x v="4"/>
      <x v="2"/>
      <x v="1"/>
      <x v="189"/>
      <x v="176"/>
    </i>
    <i r="4">
      <x v="397"/>
      <x v="398"/>
      <x v="4"/>
      <x v="4"/>
      <x v="2"/>
      <x v="1"/>
      <x v="189"/>
      <x v="176"/>
    </i>
    <i r="4">
      <x v="398"/>
      <x v="399"/>
      <x v="9"/>
      <x v="4"/>
      <x v="2"/>
      <x v="1"/>
      <x v="189"/>
      <x v="176"/>
    </i>
    <i r="4">
      <x v="399"/>
      <x v="400"/>
      <x v="2"/>
      <x v="4"/>
      <x v="2"/>
      <x v="1"/>
      <x v="189"/>
      <x v="176"/>
    </i>
    <i r="2">
      <x v="315"/>
      <x v="298"/>
    </i>
    <i r="4">
      <x v="373"/>
      <x v="374"/>
      <x v="1"/>
      <x v="7"/>
      <x v="2"/>
      <x v="1"/>
      <x v="171"/>
      <x v="166"/>
    </i>
    <i r="2">
      <x v="316"/>
      <x v="299"/>
    </i>
    <i r="4">
      <x v="374"/>
      <x v="375"/>
      <x v="1"/>
      <x v="4"/>
      <x v="2"/>
      <x v="1"/>
      <x v="186"/>
      <x v="173"/>
    </i>
    <i r="2">
      <x v="317"/>
      <x v="300"/>
    </i>
    <i r="4">
      <x v="375"/>
      <x v="376"/>
      <x v="1"/>
      <x v="3"/>
      <x v="2"/>
      <x v="1"/>
      <x v="211"/>
      <x v="195"/>
    </i>
    <i r="2">
      <x v="318"/>
      <x v="301"/>
    </i>
    <i r="4">
      <x v="376"/>
      <x v="377"/>
      <x v="1"/>
      <x v="3"/>
      <x v="2"/>
      <x v="1"/>
      <x v="192"/>
      <x v="179"/>
    </i>
    <i r="2">
      <x v="319"/>
      <x v="302"/>
    </i>
    <i r="4">
      <x v="377"/>
      <x v="378"/>
      <x v="1"/>
      <x v="3"/>
      <x v="2"/>
      <x v="1"/>
      <x v="192"/>
      <x v="179"/>
    </i>
    <i r="2">
      <x v="320"/>
      <x v="303"/>
    </i>
    <i r="4">
      <x v="378"/>
      <x v="379"/>
      <x v="1"/>
      <x v="3"/>
      <x v="2"/>
      <x v="1"/>
      <x v="194"/>
      <x v="180"/>
    </i>
    <i r="2">
      <x v="321"/>
      <x v="304"/>
    </i>
    <i r="4">
      <x v="379"/>
      <x v="380"/>
      <x v="1"/>
      <x v="5"/>
      <x v="2"/>
      <x v="1"/>
      <x v="163"/>
      <x v="158"/>
    </i>
    <i r="2">
      <x v="322"/>
      <x v="305"/>
    </i>
    <i r="4">
      <x v="380"/>
      <x v="381"/>
      <x v="1"/>
      <x v="11"/>
      <x v="2"/>
      <x v="1"/>
      <x v="154"/>
      <x v="150"/>
    </i>
    <i r="2">
      <x v="323"/>
      <x v="306"/>
    </i>
    <i r="4">
      <x v="381"/>
      <x v="382"/>
      <x v="1"/>
      <x v="8"/>
      <x v="2"/>
      <x v="1"/>
      <x v="154"/>
      <x v="150"/>
    </i>
    <i r="2">
      <x v="324"/>
      <x v="307"/>
    </i>
    <i r="4">
      <x v="382"/>
      <x v="383"/>
      <x v="1"/>
      <x v="8"/>
      <x v="2"/>
      <x v="1"/>
      <x v="159"/>
      <x v="154"/>
    </i>
    <i r="2">
      <x v="342"/>
      <x v="326"/>
    </i>
    <i r="4">
      <x v="404"/>
      <x v="405"/>
      <x v="1"/>
      <x v="16"/>
      <x v="2"/>
      <x v="1"/>
      <x v="177"/>
      <x v="169"/>
    </i>
    <i r="2">
      <x v="345"/>
      <x v="329"/>
    </i>
    <i r="4">
      <x v="407"/>
      <x v="408"/>
      <x v="1"/>
      <x/>
      <x v="10"/>
      <x/>
      <x v="214"/>
      <x v="198"/>
    </i>
    <i r="2">
      <x v="348"/>
      <x v="332"/>
    </i>
    <i r="4">
      <x v="410"/>
      <x v="411"/>
      <x v="1"/>
      <x v="16"/>
      <x v="9"/>
      <x v="1"/>
      <x v="120"/>
      <x v="120"/>
    </i>
    <i r="2">
      <x v="349"/>
      <x v="333"/>
    </i>
    <i r="4">
      <x v="411"/>
      <x v="412"/>
      <x v="1"/>
      <x v="16"/>
      <x v="9"/>
      <x v="1"/>
      <x v="120"/>
      <x v="120"/>
    </i>
    <i r="2">
      <x v="496"/>
      <x v="454"/>
    </i>
    <i r="4">
      <x v="573"/>
      <x v="575"/>
      <x v="1"/>
      <x v="16"/>
      <x v="2"/>
      <x v="1"/>
      <x v="209"/>
      <x v="193"/>
    </i>
    <i>
      <x v="2"/>
    </i>
    <i r="1">
      <x v="17"/>
    </i>
    <i r="2">
      <x v="2"/>
      <x v="108"/>
    </i>
    <i r="4">
      <x v="2"/>
      <x v="49"/>
      <x v="1"/>
      <x v="12"/>
      <x v="3"/>
      <x v="1"/>
      <x v="151"/>
      <x v="148"/>
    </i>
    <i r="2">
      <x v="3"/>
      <x v="109"/>
    </i>
    <i r="4">
      <x v="3"/>
      <x v="50"/>
      <x v="1"/>
      <x v="12"/>
      <x v="3"/>
      <x v="1"/>
      <x v="164"/>
      <x v="159"/>
    </i>
    <i r="2">
      <x v="54"/>
      <x v="115"/>
    </i>
    <i r="4">
      <x v="84"/>
      <x v="111"/>
      <x v="1"/>
      <x v="8"/>
      <x v="3"/>
      <x v="1"/>
      <x v="194"/>
      <x v="180"/>
    </i>
    <i r="2">
      <x v="59"/>
      <x v="21"/>
    </i>
    <i r="4">
      <x v="154"/>
      <x v="165"/>
      <x v="1"/>
      <x/>
      <x v="3"/>
      <x v="1"/>
      <x v="231"/>
      <x v="211"/>
    </i>
    <i r="2">
      <x v="312"/>
      <x v="294"/>
    </i>
    <i r="4">
      <x v="363"/>
      <x v="369"/>
      <x v="1"/>
      <x v="8"/>
      <x v="3"/>
      <x v="1"/>
      <x v="205"/>
      <x v="189"/>
    </i>
    <i r="2">
      <x v="313"/>
      <x v="116"/>
    </i>
    <i r="4">
      <x v="364"/>
      <x v="371"/>
      <x v="1"/>
      <x v="3"/>
      <x v="3"/>
      <x v="1"/>
      <x v="203"/>
      <x v="187"/>
    </i>
    <i r="2">
      <x v="350"/>
      <x v="334"/>
    </i>
    <i r="4">
      <x v="412"/>
      <x v="413"/>
      <x v="1"/>
      <x v="16"/>
      <x v="3"/>
      <x v="1"/>
      <x v="177"/>
      <x v="169"/>
    </i>
    <i r="2">
      <x v="355"/>
      <x v="335"/>
    </i>
    <i r="4">
      <x v="417"/>
      <x v="418"/>
      <x v="1"/>
      <x v="16"/>
      <x v="3"/>
      <x v="1"/>
      <x v="220"/>
      <x v="203"/>
    </i>
    <i r="2">
      <x v="356"/>
      <x v="336"/>
    </i>
    <i r="4">
      <x v="418"/>
      <x v="419"/>
      <x v="1"/>
      <x v="16"/>
      <x v="3"/>
      <x v="1"/>
      <x v="232"/>
      <x v="212"/>
    </i>
    <i r="2">
      <x v="406"/>
      <x v="376"/>
    </i>
    <i r="4">
      <x v="481"/>
      <x v="483"/>
      <x v="5"/>
      <x v="16"/>
      <x v="3"/>
      <x v="1"/>
      <x v="226"/>
      <x v="206"/>
    </i>
    <i r="4">
      <x v="605"/>
      <x v="604"/>
      <x v="4"/>
      <x v="16"/>
      <x v="3"/>
      <x v="1"/>
      <x v="226"/>
      <x v="206"/>
    </i>
    <i r="4">
      <x v="606"/>
      <x v="605"/>
      <x v="7"/>
      <x v="16"/>
      <x v="3"/>
      <x v="1"/>
      <x v="226"/>
      <x v="206"/>
    </i>
    <i r="4">
      <x v="607"/>
      <x v="606"/>
      <x v="9"/>
      <x v="16"/>
      <x v="3"/>
      <x v="1"/>
      <x v="226"/>
      <x v="206"/>
    </i>
    <i r="4">
      <x v="608"/>
      <x v="607"/>
      <x v="3"/>
      <x v="16"/>
      <x v="3"/>
      <x v="1"/>
      <x v="226"/>
      <x v="206"/>
    </i>
    <i r="4">
      <x v="609"/>
      <x v="608"/>
      <x v="2"/>
      <x v="16"/>
      <x v="3"/>
      <x v="1"/>
      <x v="226"/>
      <x v="206"/>
    </i>
    <i r="2">
      <x v="407"/>
      <x v="377"/>
    </i>
    <i r="4">
      <x v="482"/>
      <x v="484"/>
      <x v="5"/>
      <x v="16"/>
      <x v="3"/>
      <x v="1"/>
      <x v="233"/>
      <x v="213"/>
    </i>
    <i r="4">
      <x v="610"/>
      <x v="609"/>
      <x v="4"/>
      <x v="16"/>
      <x v="3"/>
      <x v="1"/>
      <x v="233"/>
      <x v="213"/>
    </i>
    <i r="4">
      <x v="611"/>
      <x v="610"/>
      <x v="7"/>
      <x v="16"/>
      <x v="3"/>
      <x v="1"/>
      <x v="233"/>
      <x v="213"/>
    </i>
    <i r="4">
      <x v="612"/>
      <x v="611"/>
      <x v="9"/>
      <x v="16"/>
      <x v="3"/>
      <x v="1"/>
      <x v="233"/>
      <x v="213"/>
    </i>
    <i r="4">
      <x v="613"/>
      <x v="612"/>
      <x v="3"/>
      <x v="16"/>
      <x v="3"/>
      <x v="1"/>
      <x v="233"/>
      <x v="213"/>
    </i>
    <i r="4">
      <x v="614"/>
      <x v="613"/>
      <x v="2"/>
      <x v="16"/>
      <x v="3"/>
      <x v="1"/>
      <x v="233"/>
      <x v="213"/>
    </i>
    <i r="2">
      <x v="498"/>
      <x v="412"/>
    </i>
    <i r="4">
      <x v="575"/>
      <x v="577"/>
      <x v="1"/>
      <x v="16"/>
      <x v="3"/>
      <x v="1"/>
      <x v="204"/>
      <x v="188"/>
    </i>
    <i r="2">
      <x v="511"/>
      <x v="425"/>
    </i>
    <i r="4">
      <x v="588"/>
      <x v="589"/>
      <x v="1"/>
      <x v="8"/>
      <x v="3"/>
      <x v="1"/>
      <x v="189"/>
      <x v="176"/>
    </i>
    <i r="2">
      <x v="537"/>
      <x v="451"/>
    </i>
    <i r="4">
      <x v="636"/>
      <x v="635"/>
      <x v="1"/>
      <x v="16"/>
      <x v="3"/>
      <x v="1"/>
      <x v="279"/>
      <x v="279"/>
    </i>
    <i>
      <x v="3"/>
    </i>
    <i r="1">
      <x v="17"/>
    </i>
    <i r="2">
      <x v="66"/>
      <x v="140"/>
    </i>
    <i r="4">
      <x v="87"/>
      <x v="114"/>
      <x v="1"/>
      <x v="8"/>
      <x v="5"/>
      <x v="1"/>
      <x v="254"/>
      <x v="254"/>
    </i>
    <i r="2">
      <x v="67"/>
      <x v="120"/>
    </i>
    <i r="4">
      <x v="88"/>
      <x v="115"/>
      <x v="1"/>
      <x v="3"/>
      <x v="5"/>
      <x v="1"/>
      <x v="255"/>
      <x v="255"/>
    </i>
    <i r="2">
      <x v="147"/>
      <x v="233"/>
    </i>
    <i r="4">
      <x v="177"/>
      <x v="175"/>
      <x v="5"/>
      <x v="1"/>
      <x v="5"/>
      <x v="1"/>
      <x v="256"/>
      <x v="256"/>
    </i>
    <i r="4">
      <x v="178"/>
      <x v="176"/>
      <x v="3"/>
      <x v="1"/>
      <x v="5"/>
      <x v="1"/>
      <x v="256"/>
      <x v="256"/>
    </i>
    <i r="4">
      <x v="179"/>
      <x v="177"/>
      <x v="4"/>
      <x v="1"/>
      <x v="5"/>
      <x v="1"/>
      <x v="256"/>
      <x v="256"/>
    </i>
    <i r="4">
      <x v="297"/>
      <x v="242"/>
      <x v="2"/>
      <x v="1"/>
      <x v="5"/>
      <x v="1"/>
      <x v="256"/>
      <x v="256"/>
    </i>
    <i r="4">
      <x v="436"/>
      <x v="437"/>
      <x v="9"/>
      <x v="1"/>
      <x v="5"/>
      <x v="1"/>
      <x v="256"/>
      <x v="256"/>
    </i>
    <i r="4">
      <x v="615"/>
      <x v="614"/>
      <x v="6"/>
      <x v="16"/>
      <x v="5"/>
      <x v="1"/>
      <x v="256"/>
      <x v="256"/>
    </i>
    <i r="2">
      <x v="247"/>
      <x v="239"/>
    </i>
    <i r="4">
      <x v="293"/>
      <x v="238"/>
      <x v="1"/>
      <x v="16"/>
      <x v="5"/>
      <x v="1"/>
      <x v="253"/>
      <x v="253"/>
    </i>
    <i r="2">
      <x v="329"/>
      <x v="313"/>
    </i>
    <i r="4">
      <x v="388"/>
      <x v="389"/>
      <x v="5"/>
      <x v="16"/>
      <x v="5"/>
      <x v="1"/>
      <x v="246"/>
      <x v="246"/>
    </i>
    <i r="2">
      <x v="330"/>
      <x v="314"/>
    </i>
    <i r="4">
      <x v="389"/>
      <x v="390"/>
      <x v="5"/>
      <x v="16"/>
      <x v="5"/>
      <x v="1"/>
      <x v="247"/>
      <x v="247"/>
    </i>
    <i r="2">
      <x v="337"/>
      <x v="321"/>
    </i>
    <i r="4">
      <x v="396"/>
      <x v="397"/>
      <x v="1"/>
      <x v="16"/>
      <x v="5"/>
      <x v="1"/>
      <x v="257"/>
      <x v="257"/>
    </i>
    <i r="2">
      <x v="343"/>
      <x v="327"/>
    </i>
    <i r="4">
      <x v="405"/>
      <x v="406"/>
      <x v="1"/>
      <x v="3"/>
      <x v="5"/>
      <x v="1"/>
      <x v="189"/>
      <x v="176"/>
    </i>
    <i>
      <x v="4"/>
    </i>
    <i r="1">
      <x v="17"/>
    </i>
    <i r="2">
      <x v="57"/>
      <x v="111"/>
    </i>
    <i r="4">
      <x v="80"/>
      <x v="107"/>
      <x/>
      <x v="8"/>
      <x v="4"/>
      <x v="1"/>
      <x v="198"/>
      <x v="184"/>
    </i>
    <i r="2">
      <x v="58"/>
      <x v="23"/>
    </i>
    <i r="4">
      <x v="77"/>
      <x v="104"/>
      <x/>
      <x v="8"/>
      <x v="4"/>
      <x v="1"/>
      <x v="198"/>
      <x v="184"/>
    </i>
    <i r="2">
      <x v="60"/>
      <x v="135"/>
    </i>
    <i r="4">
      <x v="78"/>
      <x v="105"/>
      <x v="1"/>
      <x/>
      <x v="4"/>
      <x v="1"/>
      <x v="248"/>
      <x v="248"/>
    </i>
    <i r="2">
      <x v="61"/>
      <x v="124"/>
    </i>
    <i r="4">
      <x v="79"/>
      <x v="106"/>
      <x v="1"/>
      <x/>
      <x v="4"/>
      <x v="1"/>
      <x v="249"/>
      <x v="249"/>
    </i>
    <i r="2">
      <x v="62"/>
      <x v="104"/>
    </i>
    <i r="4">
      <x v="81"/>
      <x v="108"/>
      <x v="1"/>
      <x v="16"/>
      <x v="4"/>
      <x v="1"/>
      <x v="175"/>
      <x v="242"/>
    </i>
    <i r="2">
      <x v="214"/>
      <x v="136"/>
    </i>
    <i r="4">
      <x v="259"/>
      <x v="323"/>
      <x/>
      <x v="5"/>
      <x v="4"/>
      <x v="1"/>
      <x v="250"/>
      <x v="250"/>
    </i>
    <i r="4">
      <x v="454"/>
      <x v="455"/>
      <x v="10"/>
      <x v="5"/>
      <x v="4"/>
      <x v="1"/>
      <x v="250"/>
      <x v="250"/>
    </i>
    <i r="4">
      <x v="572"/>
      <x v="574"/>
      <x v="4"/>
      <x v="5"/>
      <x v="4"/>
      <x v="1"/>
      <x v="250"/>
      <x v="250"/>
    </i>
    <i r="2">
      <x v="215"/>
      <x v="119"/>
    </i>
    <i r="4">
      <x v="260"/>
      <x v="232"/>
      <x v="5"/>
      <x v="1"/>
      <x v="4"/>
      <x v="1"/>
      <x v="251"/>
      <x v="251"/>
    </i>
    <i r="4">
      <x v="479"/>
      <x v="193"/>
      <x v="6"/>
      <x v="16"/>
      <x v="4"/>
      <x v="1"/>
      <x v="251"/>
      <x v="251"/>
    </i>
    <i r="4">
      <x v="602"/>
      <x v="602"/>
      <x v="3"/>
      <x v="16"/>
      <x v="4"/>
      <x v="1"/>
      <x v="251"/>
      <x v="251"/>
    </i>
    <i r="2">
      <x v="216"/>
      <x v="118"/>
    </i>
    <i r="4">
      <x v="261"/>
      <x v="254"/>
      <x v="5"/>
      <x v="1"/>
      <x v="4"/>
      <x v="1"/>
      <x v="252"/>
      <x v="252"/>
    </i>
    <i r="4">
      <x v="477"/>
      <x v="480"/>
      <x v="3"/>
      <x v="1"/>
      <x v="4"/>
      <x v="1"/>
      <x v="252"/>
      <x v="252"/>
    </i>
    <i r="4">
      <x v="478"/>
      <x v="481"/>
      <x v="6"/>
      <x v="1"/>
      <x v="4"/>
      <x v="1"/>
      <x v="252"/>
      <x v="252"/>
    </i>
    <i>
      <x v="5"/>
    </i>
    <i r="1">
      <x v="16"/>
    </i>
    <i r="2">
      <x v="12"/>
      <x v="4"/>
    </i>
    <i r="4">
      <x v="12"/>
      <x v="59"/>
      <x v="3"/>
      <x/>
      <x v="9"/>
      <x v="1"/>
      <x v="42"/>
      <x v="42"/>
    </i>
    <i r="2">
      <x v="13"/>
      <x v="5"/>
    </i>
    <i r="4">
      <x v="13"/>
      <x v="60"/>
      <x v="2"/>
      <x/>
      <x v="9"/>
      <x v="1"/>
      <x v="42"/>
      <x v="42"/>
    </i>
    <i r="2">
      <x v="14"/>
      <x v="2"/>
    </i>
    <i r="4">
      <x v="14"/>
      <x v="61"/>
      <x v="4"/>
      <x/>
      <x v="9"/>
      <x v="1"/>
      <x v="42"/>
      <x v="42"/>
    </i>
    <i r="2">
      <x v="15"/>
      <x v="3"/>
    </i>
    <i r="4">
      <x v="15"/>
      <x v="62"/>
      <x v="1"/>
      <x/>
      <x v="9"/>
      <x v="1"/>
      <x v="42"/>
      <x v="42"/>
    </i>
    <i r="2">
      <x v="30"/>
      <x v="18"/>
    </i>
    <i r="4">
      <x v="24"/>
      <x v="67"/>
      <x v="1"/>
      <x/>
      <x v="9"/>
      <x v="1"/>
      <x v="42"/>
      <x v="42"/>
    </i>
    <i r="2">
      <x v="31"/>
      <x v="122"/>
    </i>
    <i r="4">
      <x v="25"/>
      <x v="68"/>
      <x v="1"/>
      <x/>
      <x v="9"/>
      <x v="1"/>
      <x v="55"/>
      <x v="55"/>
    </i>
    <i r="3">
      <x v="159"/>
    </i>
    <i r="4">
      <x v="196"/>
      <x v="250"/>
      <x v="1"/>
      <x v="16"/>
      <x v="9"/>
      <x v="1"/>
      <x v="57"/>
      <x v="57"/>
    </i>
    <i r="2">
      <x v="32"/>
      <x v="106"/>
    </i>
    <i r="4">
      <x v="26"/>
      <x v="69"/>
      <x v="1"/>
      <x/>
      <x v="9"/>
      <x v="1"/>
      <x v="117"/>
      <x v="117"/>
    </i>
    <i r="2">
      <x v="33"/>
      <x v="45"/>
    </i>
    <i r="4">
      <x v="27"/>
      <x v="70"/>
      <x v="1"/>
      <x/>
      <x v="9"/>
      <x v="1"/>
      <x v="134"/>
      <x v="132"/>
    </i>
    <i r="2">
      <x v="34"/>
      <x v="46"/>
    </i>
    <i r="4">
      <x v="28"/>
      <x v="71"/>
      <x v="1"/>
      <x/>
      <x v="9"/>
      <x v="1"/>
      <x v="124"/>
      <x v="124"/>
    </i>
    <i r="2">
      <x v="35"/>
      <x v="107"/>
    </i>
    <i r="4">
      <x v="44"/>
      <x v="81"/>
      <x v="1"/>
      <x/>
      <x v="9"/>
      <x v="1"/>
      <x v="97"/>
      <x v="97"/>
    </i>
    <i r="2">
      <x v="36"/>
      <x v="19"/>
    </i>
    <i r="4">
      <x v="45"/>
      <x v="82"/>
      <x v="1"/>
      <x/>
      <x v="9"/>
      <x v="1"/>
      <x v="150"/>
      <x v="147"/>
    </i>
    <i r="2">
      <x v="37"/>
      <x v="15"/>
    </i>
    <i r="4">
      <x v="47"/>
      <x v="84"/>
      <x v="5"/>
      <x/>
      <x v="9"/>
      <x v="1"/>
      <x v="165"/>
      <x v="160"/>
    </i>
    <i r="4">
      <x v="48"/>
      <x v="25"/>
      <x v="4"/>
      <x v="9"/>
      <x v="9"/>
      <x v="1"/>
      <x v="165"/>
      <x v="160"/>
    </i>
    <i r="4">
      <x v="49"/>
      <x v="34"/>
      <x v="2"/>
      <x v="9"/>
      <x v="9"/>
      <x v="1"/>
      <x v="165"/>
      <x v="160"/>
    </i>
    <i r="2">
      <x v="38"/>
      <x v="12"/>
    </i>
    <i r="4">
      <x v="50"/>
      <x v="85"/>
      <x v="1"/>
      <x/>
      <x v="9"/>
      <x v="1"/>
      <x v="62"/>
      <x v="62"/>
    </i>
    <i r="2">
      <x v="39"/>
      <x v="16"/>
    </i>
    <i r="4">
      <x v="51"/>
      <x v="86"/>
      <x/>
      <x/>
      <x v="9"/>
      <x v="1"/>
      <x v="72"/>
      <x v="72"/>
    </i>
    <i r="3">
      <x v="164"/>
    </i>
    <i r="4">
      <x v="203"/>
      <x v="200"/>
      <x v="2"/>
      <x/>
      <x v="9"/>
      <x v="1"/>
      <x v="72"/>
      <x v="72"/>
    </i>
    <i r="2">
      <x v="40"/>
      <x v="8"/>
    </i>
    <i r="4">
      <x v="52"/>
      <x v="87"/>
      <x v="1"/>
      <x/>
      <x v="9"/>
      <x v="1"/>
      <x v="9"/>
      <x v="9"/>
    </i>
    <i r="2">
      <x v="41"/>
      <x v="22"/>
    </i>
    <i r="4">
      <x v="53"/>
      <x v="88"/>
      <x v="1"/>
      <x/>
      <x v="9"/>
      <x v="1"/>
      <x v="130"/>
      <x v="128"/>
    </i>
    <i r="2">
      <x v="42"/>
      <x v="20"/>
    </i>
    <i r="4">
      <x v="54"/>
      <x v="89"/>
      <x v="1"/>
      <x v="4"/>
      <x v="9"/>
      <x v="1"/>
      <x v="81"/>
      <x v="81"/>
    </i>
    <i r="2">
      <x v="43"/>
      <x v="13"/>
    </i>
    <i r="4">
      <x v="55"/>
      <x v="90"/>
      <x v="5"/>
      <x/>
      <x v="9"/>
      <x v="1"/>
      <x v="163"/>
      <x v="158"/>
    </i>
    <i r="4">
      <x v="56"/>
      <x v="26"/>
      <x v="4"/>
      <x v="16"/>
      <x v="9"/>
      <x v="1"/>
      <x v="163"/>
      <x v="158"/>
    </i>
    <i r="4">
      <x v="57"/>
      <x v="251"/>
      <x v="3"/>
      <x v="16"/>
      <x v="9"/>
      <x v="1"/>
      <x v="163"/>
      <x v="158"/>
    </i>
    <i r="4">
      <x v="58"/>
      <x v="252"/>
      <x v="2"/>
      <x v="16"/>
      <x v="9"/>
      <x v="1"/>
      <x v="163"/>
      <x v="158"/>
    </i>
    <i r="2">
      <x v="44"/>
      <x v="14"/>
    </i>
    <i r="4">
      <x v="59"/>
      <x v="91"/>
      <x v="5"/>
      <x/>
      <x v="9"/>
      <x v="1"/>
      <x v="167"/>
      <x v="162"/>
    </i>
    <i r="4">
      <x v="60"/>
      <x v="27"/>
      <x v="4"/>
      <x v="16"/>
      <x v="9"/>
      <x v="1"/>
      <x v="167"/>
      <x v="162"/>
    </i>
    <i r="4">
      <x v="61"/>
      <x v="253"/>
      <x v="3"/>
      <x v="16"/>
      <x v="9"/>
      <x v="1"/>
      <x v="167"/>
      <x v="162"/>
    </i>
    <i r="2">
      <x v="45"/>
      <x v="123"/>
    </i>
    <i r="4">
      <x v="62"/>
      <x v="92"/>
      <x v="1"/>
      <x/>
      <x v="9"/>
      <x v="1"/>
      <x v="139"/>
      <x v="137"/>
    </i>
    <i r="2">
      <x v="46"/>
      <x v="17"/>
    </i>
    <i r="4">
      <x v="63"/>
      <x v="93"/>
      <x/>
      <x/>
      <x v="9"/>
      <x v="1"/>
      <x v="91"/>
      <x v="91"/>
    </i>
    <i r="4">
      <x v="64"/>
      <x v="36"/>
      <x v="4"/>
      <x/>
      <x v="9"/>
      <x v="1"/>
      <x v="91"/>
      <x v="91"/>
    </i>
    <i r="4">
      <x v="65"/>
      <x v="28"/>
      <x v="3"/>
      <x/>
      <x v="9"/>
      <x v="1"/>
      <x v="91"/>
      <x v="91"/>
    </i>
    <i r="4">
      <x v="66"/>
      <x v="35"/>
      <x v="2"/>
      <x/>
      <x v="9"/>
      <x v="1"/>
      <x v="91"/>
      <x v="91"/>
    </i>
    <i r="2">
      <x v="47"/>
      <x v="103"/>
    </i>
    <i r="4">
      <x v="67"/>
      <x v="94"/>
      <x v="1"/>
      <x/>
      <x v="9"/>
      <x v="1"/>
      <x v="133"/>
      <x v="131"/>
    </i>
    <i r="2">
      <x v="48"/>
      <x v="105"/>
    </i>
    <i r="4">
      <x v="68"/>
      <x v="95"/>
      <x v="1"/>
      <x/>
      <x v="9"/>
      <x v="1"/>
      <x v="163"/>
      <x v="158"/>
    </i>
    <i r="2">
      <x v="53"/>
      <x v="125"/>
    </i>
    <i r="4">
      <x v="72"/>
      <x v="99"/>
      <x v="1"/>
      <x/>
      <x v="9"/>
      <x v="1"/>
      <x v="202"/>
      <x v="186"/>
    </i>
    <i r="2">
      <x v="68"/>
      <x v="128"/>
    </i>
    <i r="4">
      <x v="89"/>
      <x v="116"/>
      <x v="1"/>
      <x v="8"/>
      <x v="9"/>
      <x v="1"/>
      <x v="185"/>
      <x v="172"/>
    </i>
    <i r="2">
      <x v="69"/>
      <x v="129"/>
    </i>
    <i r="4">
      <x v="90"/>
      <x v="117"/>
      <x v="5"/>
      <x/>
      <x v="9"/>
      <x v="1"/>
      <x v="151"/>
      <x v="148"/>
    </i>
    <i r="4">
      <x v="91"/>
      <x v="39"/>
      <x v="4"/>
      <x/>
      <x v="9"/>
      <x v="1"/>
      <x v="151"/>
      <x v="148"/>
    </i>
    <i r="4">
      <x v="92"/>
      <x v="40"/>
      <x v="3"/>
      <x/>
      <x v="9"/>
      <x v="1"/>
      <x v="151"/>
      <x v="148"/>
    </i>
    <i r="4">
      <x v="93"/>
      <x v="41"/>
      <x v="2"/>
      <x/>
      <x v="9"/>
      <x v="1"/>
      <x v="151"/>
      <x v="148"/>
    </i>
    <i r="2">
      <x v="70"/>
      <x v="130"/>
    </i>
    <i r="4">
      <x v="94"/>
      <x v="118"/>
      <x v="5"/>
      <x/>
      <x v="9"/>
      <x v="1"/>
      <x v="168"/>
      <x v="163"/>
    </i>
    <i r="4">
      <x v="95"/>
      <x v="42"/>
      <x v="4"/>
      <x/>
      <x v="9"/>
      <x v="1"/>
      <x v="168"/>
      <x v="163"/>
    </i>
    <i r="4">
      <x v="96"/>
      <x v="43"/>
      <x v="3"/>
      <x/>
      <x v="9"/>
      <x v="1"/>
      <x v="168"/>
      <x v="163"/>
    </i>
    <i r="4">
      <x v="298"/>
      <x v="255"/>
      <x v="2"/>
      <x v="16"/>
      <x v="9"/>
      <x v="1"/>
      <x v="168"/>
      <x v="163"/>
    </i>
    <i r="2">
      <x v="71"/>
      <x v="131"/>
    </i>
    <i r="4">
      <x v="97"/>
      <x v="119"/>
      <x v="5"/>
      <x/>
      <x v="9"/>
      <x v="1"/>
      <x v="185"/>
      <x v="172"/>
    </i>
    <i r="4">
      <x v="98"/>
      <x v="44"/>
      <x v="4"/>
      <x/>
      <x v="9"/>
      <x v="1"/>
      <x v="185"/>
      <x v="172"/>
    </i>
    <i r="4">
      <x v="99"/>
      <x v="45"/>
      <x v="3"/>
      <x/>
      <x v="9"/>
      <x v="1"/>
      <x v="185"/>
      <x v="172"/>
    </i>
    <i r="4">
      <x v="100"/>
      <x v="46"/>
      <x v="2"/>
      <x/>
      <x v="9"/>
      <x v="1"/>
      <x v="185"/>
      <x v="172"/>
    </i>
    <i r="2">
      <x v="142"/>
      <x v="143"/>
    </i>
    <i r="4">
      <x v="172"/>
      <x v="170"/>
      <x v="1"/>
      <x v="11"/>
      <x v="9"/>
      <x v="1"/>
      <x v="72"/>
      <x v="72"/>
    </i>
    <i r="2">
      <x v="143"/>
      <x v="144"/>
    </i>
    <i r="4">
      <x v="173"/>
      <x v="171"/>
      <x v="1"/>
      <x v="8"/>
      <x v="9"/>
      <x v="1"/>
      <x v="98"/>
      <x v="98"/>
    </i>
    <i r="2">
      <x v="144"/>
      <x v="145"/>
    </i>
    <i r="4">
      <x v="174"/>
      <x v="172"/>
      <x v="1"/>
      <x v="4"/>
      <x v="9"/>
      <x v="1"/>
      <x v="170"/>
      <x v="165"/>
    </i>
    <i r="2">
      <x v="145"/>
      <x v="229"/>
    </i>
    <i r="4">
      <x v="175"/>
      <x v="173"/>
      <x v="1"/>
      <x v="16"/>
      <x v="9"/>
      <x v="1"/>
      <x v="114"/>
      <x v="114"/>
    </i>
    <i r="2">
      <x v="162"/>
      <x v="161"/>
    </i>
    <i r="4">
      <x v="200"/>
      <x v="197"/>
      <x/>
      <x/>
      <x v="9"/>
      <x v="1"/>
      <x v="87"/>
      <x v="87"/>
    </i>
    <i r="2">
      <x v="164"/>
      <x v="163"/>
    </i>
    <i r="4">
      <x v="202"/>
      <x v="199"/>
      <x v="1"/>
      <x/>
      <x v="9"/>
      <x v="1"/>
      <x v="15"/>
      <x v="15"/>
    </i>
    <i r="2">
      <x v="167"/>
      <x v="168"/>
    </i>
    <i r="4">
      <x v="207"/>
      <x v="204"/>
      <x v="1"/>
      <x v="7"/>
      <x v="9"/>
      <x v="1"/>
      <x v="151"/>
      <x v="148"/>
    </i>
    <i r="2">
      <x v="175"/>
      <x v="176"/>
    </i>
    <i r="4">
      <x v="215"/>
      <x v="212"/>
      <x v="1"/>
      <x v="10"/>
      <x v="9"/>
      <x v="1"/>
      <x v="135"/>
      <x v="133"/>
    </i>
    <i r="2">
      <x v="184"/>
      <x v="185"/>
    </i>
    <i r="4">
      <x v="224"/>
      <x v="220"/>
      <x v="1"/>
      <x/>
      <x v="9"/>
      <x v="1"/>
      <x v="98"/>
      <x v="98"/>
    </i>
    <i r="2">
      <x v="185"/>
      <x v="186"/>
    </i>
    <i r="4">
      <x v="225"/>
      <x v="221"/>
      <x v="5"/>
      <x/>
      <x v="9"/>
      <x v="1"/>
      <x v="167"/>
      <x v="162"/>
    </i>
    <i r="4">
      <x v="226"/>
      <x v="222"/>
      <x v="4"/>
      <x/>
      <x v="9"/>
      <x v="1"/>
      <x v="167"/>
      <x v="162"/>
    </i>
    <i r="4">
      <x v="227"/>
      <x v="223"/>
      <x v="3"/>
      <x/>
      <x v="9"/>
      <x v="1"/>
      <x v="167"/>
      <x v="162"/>
    </i>
    <i r="4">
      <x v="228"/>
      <x v="224"/>
      <x v="2"/>
      <x/>
      <x v="9"/>
      <x v="1"/>
      <x v="167"/>
      <x v="162"/>
    </i>
    <i r="2">
      <x v="218"/>
      <x v="126"/>
    </i>
    <i r="4">
      <x v="263"/>
      <x v="234"/>
      <x v="1"/>
      <x/>
      <x v="9"/>
      <x v="1"/>
      <x v="212"/>
      <x v="196"/>
    </i>
    <i r="2">
      <x v="246"/>
      <x v="228"/>
    </i>
    <i r="4">
      <x v="292"/>
      <x v="237"/>
      <x v="1"/>
      <x v="16"/>
      <x v="9"/>
      <x v="1"/>
      <x v="163"/>
      <x v="158"/>
    </i>
    <i r="2">
      <x v="252"/>
      <x v="236"/>
    </i>
    <i r="4">
      <x v="300"/>
      <x v="244"/>
      <x v="1"/>
      <x v="7"/>
      <x v="9"/>
      <x v="1"/>
      <x v="143"/>
      <x v="140"/>
    </i>
    <i r="2">
      <x v="253"/>
      <x v="237"/>
    </i>
    <i r="4">
      <x v="301"/>
      <x v="245"/>
      <x v="1"/>
      <x v="7"/>
      <x v="9"/>
      <x v="1"/>
      <x v="158"/>
      <x v="153"/>
    </i>
    <i r="2">
      <x v="254"/>
      <x v="346"/>
    </i>
    <i r="4">
      <x v="302"/>
      <x v="246"/>
      <x v="1"/>
      <x/>
      <x v="9"/>
      <x v="1"/>
      <x v="195"/>
      <x v="181"/>
    </i>
    <i r="2">
      <x v="255"/>
      <x v="347"/>
    </i>
    <i r="4">
      <x v="303"/>
      <x v="247"/>
      <x v="1"/>
      <x/>
      <x v="9"/>
      <x v="1"/>
      <x v="213"/>
      <x v="197"/>
    </i>
    <i r="2">
      <x v="258"/>
      <x v="241"/>
    </i>
    <i r="4">
      <x v="305"/>
      <x v="311"/>
      <x v="1"/>
      <x/>
      <x v="9"/>
      <x v="1"/>
      <x v="230"/>
      <x v="210"/>
    </i>
    <i r="2">
      <x v="259"/>
      <x v="243"/>
    </i>
    <i r="4">
      <x v="306"/>
      <x v="312"/>
      <x v="1"/>
      <x v="5"/>
      <x v="2"/>
      <x v="1"/>
      <x v="200"/>
      <x v="185"/>
    </i>
    <i r="2">
      <x v="260"/>
      <x v="453"/>
    </i>
    <i r="4">
      <x v="307"/>
      <x v="313"/>
      <x/>
      <x v="6"/>
      <x v="2"/>
      <x v="1"/>
      <x v="163"/>
      <x v="158"/>
    </i>
    <i r="4">
      <x v="308"/>
      <x v="314"/>
      <x v="3"/>
      <x v="6"/>
      <x v="2"/>
      <x v="1"/>
      <x v="163"/>
      <x v="158"/>
    </i>
    <i r="2">
      <x v="261"/>
      <x v="244"/>
    </i>
    <i r="4">
      <x v="309"/>
      <x v="315"/>
      <x v="1"/>
      <x v="8"/>
      <x v="9"/>
      <x v="1"/>
      <x v="98"/>
      <x v="98"/>
    </i>
    <i r="2">
      <x v="262"/>
      <x v="247"/>
    </i>
    <i r="4">
      <x v="310"/>
      <x v="316"/>
      <x v="1"/>
      <x v="8"/>
      <x v="9"/>
      <x v="1"/>
      <x v="139"/>
      <x v="137"/>
    </i>
    <i r="2">
      <x v="263"/>
      <x v="248"/>
    </i>
    <i r="4">
      <x v="313"/>
      <x v="319"/>
      <x v="1"/>
      <x/>
      <x v="9"/>
      <x v="1"/>
      <x v="25"/>
      <x v="25"/>
    </i>
    <i r="2">
      <x v="264"/>
      <x v="249"/>
    </i>
    <i r="4">
      <x v="314"/>
      <x v="320"/>
      <x v="1"/>
      <x v="16"/>
      <x v="9"/>
      <x v="1"/>
      <x v="124"/>
      <x v="124"/>
    </i>
    <i r="2">
      <x v="265"/>
      <x v="160"/>
    </i>
    <i r="4">
      <x v="197"/>
      <x v="249"/>
      <x v="2"/>
      <x v="16"/>
      <x v="9"/>
      <x v="1"/>
      <x v="168"/>
      <x v="163"/>
    </i>
    <i r="2">
      <x v="275"/>
      <x v="257"/>
    </i>
    <i r="4">
      <x v="324"/>
      <x v="332"/>
      <x v="1"/>
      <x v="16"/>
      <x v="4"/>
      <x v="1"/>
      <x v="167"/>
      <x v="162"/>
    </i>
    <i r="2">
      <x v="276"/>
      <x v="258"/>
    </i>
    <i r="4">
      <x v="325"/>
      <x v="333"/>
      <x v="10"/>
      <x v="16"/>
      <x v="9"/>
      <x v="1"/>
      <x v="72"/>
      <x v="72"/>
    </i>
    <i r="2">
      <x v="277"/>
      <x v="259"/>
    </i>
    <i r="4">
      <x v="326"/>
      <x v="334"/>
      <x v="11"/>
      <x/>
      <x v="9"/>
      <x v="1"/>
      <x v="120"/>
      <x v="120"/>
    </i>
    <i r="2">
      <x v="314"/>
      <x v="295"/>
    </i>
    <i r="4">
      <x v="372"/>
      <x v="370"/>
      <x v="1"/>
      <x v="3"/>
      <x v="9"/>
      <x v="1"/>
      <x v="191"/>
      <x v="178"/>
    </i>
    <i r="3">
      <x v="410"/>
    </i>
    <i r="4">
      <x v="571"/>
      <x v="573"/>
      <x v="1"/>
      <x v="3"/>
      <x v="9"/>
      <x v="1"/>
      <x v="191"/>
      <x v="178"/>
    </i>
    <i r="2">
      <x v="326"/>
      <x v="309"/>
    </i>
    <i r="4">
      <x v="384"/>
      <x v="385"/>
      <x v="1"/>
      <x v="16"/>
      <x v="9"/>
      <x v="1"/>
      <x v="95"/>
      <x v="95"/>
    </i>
    <i r="2">
      <x v="327"/>
      <x v="310"/>
    </i>
    <i r="4">
      <x v="385"/>
      <x v="386"/>
      <x v="1"/>
      <x v="16"/>
      <x v="9"/>
      <x v="1"/>
      <x v="52"/>
      <x v="52"/>
    </i>
    <i r="2">
      <x v="331"/>
      <x v="315"/>
    </i>
    <i r="4">
      <x v="390"/>
      <x v="391"/>
      <x v="1"/>
      <x v="16"/>
      <x v="9"/>
      <x v="1"/>
      <x v="159"/>
      <x v="154"/>
    </i>
    <i r="2">
      <x v="333"/>
      <x v="317"/>
    </i>
    <i r="4">
      <x v="392"/>
      <x v="393"/>
      <x v="1"/>
      <x v="14"/>
      <x v="9"/>
      <x v="1"/>
      <x v="52"/>
      <x v="52"/>
    </i>
    <i r="2">
      <x v="334"/>
      <x v="318"/>
    </i>
    <i r="4">
      <x v="393"/>
      <x v="394"/>
      <x v="1"/>
      <x v="16"/>
      <x v="9"/>
      <x v="1"/>
      <x v="113"/>
      <x v="113"/>
    </i>
    <i r="2">
      <x v="335"/>
      <x v="319"/>
    </i>
    <i r="4">
      <x v="394"/>
      <x v="395"/>
      <x v="1"/>
      <x v="16"/>
      <x v="9"/>
      <x v="1"/>
      <x v="17"/>
      <x v="17"/>
    </i>
    <i r="2">
      <x v="341"/>
      <x v="325"/>
    </i>
    <i r="4">
      <x v="403"/>
      <x v="404"/>
      <x v="1"/>
      <x v="16"/>
      <x v="10"/>
      <x/>
      <x v="167"/>
      <x v="162"/>
    </i>
    <i r="2">
      <x v="357"/>
      <x v="337"/>
    </i>
    <i r="4">
      <x v="419"/>
      <x v="420"/>
      <x v="1"/>
      <x v="16"/>
      <x v="9"/>
      <x v="1"/>
      <x v="148"/>
      <x v="145"/>
    </i>
    <i r="2">
      <x v="359"/>
      <x v="338"/>
    </i>
    <i r="4">
      <x v="421"/>
      <x v="422"/>
      <x v="1"/>
      <x v="16"/>
      <x v="9"/>
      <x v="1"/>
      <x v="164"/>
      <x v="159"/>
    </i>
    <i r="2">
      <x v="360"/>
      <x v="338"/>
    </i>
    <i r="4">
      <x v="422"/>
      <x v="423"/>
      <x v="1"/>
      <x v="16"/>
      <x v="9"/>
      <x v="1"/>
      <x v="147"/>
      <x v="144"/>
    </i>
    <i r="2">
      <x v="361"/>
      <x v="339"/>
    </i>
    <i r="4">
      <x v="423"/>
      <x v="424"/>
      <x v="1"/>
      <x v="16"/>
      <x v="10"/>
      <x/>
      <x v="235"/>
      <x v="214"/>
    </i>
    <i r="2">
      <x v="362"/>
      <x v="340"/>
    </i>
    <i r="4">
      <x v="424"/>
      <x v="425"/>
      <x v="1"/>
      <x v="16"/>
      <x v="10"/>
      <x/>
      <x v="146"/>
      <x v="143"/>
    </i>
    <i r="2">
      <x v="363"/>
      <x v="341"/>
    </i>
    <i r="4">
      <x v="425"/>
      <x v="426"/>
      <x v="1"/>
      <x v="16"/>
      <x v="10"/>
      <x/>
      <x v="155"/>
      <x v="151"/>
    </i>
    <i r="2">
      <x v="364"/>
      <x v="342"/>
    </i>
    <i r="4">
      <x v="426"/>
      <x v="427"/>
      <x v="1"/>
      <x v="16"/>
      <x v="10"/>
      <x/>
      <x v="59"/>
      <x v="59"/>
    </i>
    <i r="2">
      <x v="365"/>
      <x v="343"/>
    </i>
    <i r="4">
      <x v="427"/>
      <x v="428"/>
      <x v="1"/>
      <x v="16"/>
      <x v="10"/>
      <x/>
      <x v="122"/>
      <x v="122"/>
    </i>
    <i r="2">
      <x v="366"/>
      <x v="344"/>
    </i>
    <i r="4">
      <x v="428"/>
      <x v="429"/>
      <x v="1"/>
      <x v="16"/>
      <x v="10"/>
      <x/>
      <x v="122"/>
      <x v="122"/>
    </i>
    <i r="2">
      <x v="367"/>
      <x v="345"/>
    </i>
    <i r="4">
      <x v="429"/>
      <x v="430"/>
      <x v="1"/>
      <x v="16"/>
      <x v="10"/>
      <x/>
      <x v="238"/>
      <x v="217"/>
    </i>
    <i r="2">
      <x v="370"/>
      <x v="350"/>
    </i>
    <i r="4">
      <x v="432"/>
      <x v="433"/>
      <x v="1"/>
      <x v="16"/>
      <x v="10"/>
      <x/>
      <x v="53"/>
      <x v="53"/>
    </i>
    <i r="2">
      <x v="371"/>
      <x v="351"/>
    </i>
    <i r="4">
      <x v="433"/>
      <x v="434"/>
      <x v="1"/>
      <x v="16"/>
      <x v="10"/>
      <x/>
      <x v="122"/>
      <x v="122"/>
    </i>
    <i r="2">
      <x v="372"/>
      <x v="352"/>
    </i>
    <i r="4">
      <x v="434"/>
      <x v="435"/>
      <x v="1"/>
      <x v="16"/>
      <x v="10"/>
      <x/>
      <x v="145"/>
      <x v="142"/>
    </i>
    <i r="2">
      <x v="374"/>
      <x v="353"/>
    </i>
    <i r="4">
      <x v="435"/>
      <x v="436"/>
      <x v="1"/>
      <x v="7"/>
      <x v="2"/>
      <x v="1"/>
      <x v="169"/>
      <x v="164"/>
    </i>
    <i r="2">
      <x v="375"/>
      <x v="165"/>
    </i>
    <i r="4">
      <x v="204"/>
      <x v="201"/>
      <x v="4"/>
      <x v="16"/>
      <x v="9"/>
      <x v="1"/>
      <x v="72"/>
      <x v="72"/>
    </i>
    <i r="2">
      <x v="390"/>
      <x v="360"/>
    </i>
    <i r="4">
      <x v="451"/>
      <x v="452"/>
      <x v="1"/>
      <x v="16"/>
      <x v="9"/>
      <x v="1"/>
      <x v="37"/>
      <x v="37"/>
    </i>
    <i r="2">
      <x v="401"/>
      <x v="371"/>
    </i>
    <i r="4">
      <x v="590"/>
      <x v="464"/>
      <x v="1"/>
      <x/>
      <x v="9"/>
      <x v="1"/>
      <x v="111"/>
      <x v="111"/>
    </i>
    <i r="2">
      <x v="405"/>
      <x v="414"/>
    </i>
    <i r="4">
      <x v="579"/>
      <x v="581"/>
      <x v="1"/>
      <x v="16"/>
      <x v="9"/>
      <x v="1"/>
      <x v="91"/>
      <x v="91"/>
    </i>
    <i r="2">
      <x v="495"/>
      <x v="409"/>
    </i>
    <i r="4">
      <x v="570"/>
      <x v="572"/>
      <x v="1"/>
      <x/>
      <x v="9"/>
      <x v="1"/>
      <x v="202"/>
      <x v="186"/>
    </i>
    <i r="2">
      <x v="499"/>
      <x v="413"/>
    </i>
    <i r="4">
      <x v="576"/>
      <x v="579"/>
      <x v="1"/>
      <x v="16"/>
      <x v="9"/>
      <x v="1"/>
      <x v="111"/>
      <x v="111"/>
    </i>
    <i r="2">
      <x v="500"/>
      <x v="415"/>
    </i>
    <i r="4">
      <x v="577"/>
      <x v="580"/>
      <x v="1"/>
      <x v="16"/>
      <x v="9"/>
      <x v="1"/>
      <x v="139"/>
      <x v="137"/>
    </i>
    <i r="2">
      <x v="502"/>
      <x v="372"/>
    </i>
    <i r="4">
      <x v="591"/>
      <x v="465"/>
      <x v="1"/>
      <x/>
      <x v="9"/>
      <x v="1"/>
      <x v="120"/>
      <x v="120"/>
    </i>
    <i r="2">
      <x v="515"/>
      <x v="429"/>
    </i>
    <i r="4">
      <x v="594"/>
      <x v="594"/>
      <x v="1"/>
      <x v="16"/>
      <x v="9"/>
      <x v="1"/>
      <x v="139"/>
      <x v="137"/>
    </i>
    <i r="2">
      <x v="522"/>
      <x v="436"/>
    </i>
    <i r="4">
      <x v="621"/>
      <x v="620"/>
      <x v="1"/>
      <x v="16"/>
      <x v="10"/>
      <x/>
      <x v="275"/>
      <x v="275"/>
    </i>
    <i r="2">
      <x v="523"/>
      <x v="437"/>
    </i>
    <i r="4">
      <x v="622"/>
      <x v="621"/>
      <x v="1"/>
      <x v="16"/>
      <x v="10"/>
      <x/>
      <x v="276"/>
      <x v="276"/>
    </i>
    <i r="2">
      <x v="525"/>
      <x v="439"/>
    </i>
    <i r="4">
      <x v="624"/>
      <x v="623"/>
      <x v="1"/>
      <x v="16"/>
      <x v="10"/>
      <x/>
      <x v="276"/>
      <x v="276"/>
    </i>
    <i r="2">
      <x v="538"/>
      <x v="452"/>
    </i>
    <i r="4">
      <x v="637"/>
      <x v="636"/>
      <x v="1"/>
      <x v="16"/>
      <x v="9"/>
      <x v="1"/>
      <x v="111"/>
      <x v="111"/>
    </i>
    <i r="1">
      <x v="17"/>
    </i>
    <i r="2">
      <x v="524"/>
      <x v="438"/>
    </i>
    <i r="4">
      <x v="623"/>
      <x v="622"/>
      <x v="1"/>
      <x v="16"/>
      <x v="10"/>
      <x/>
      <x v="276"/>
      <x v="276"/>
    </i>
    <i r="2">
      <x v="526"/>
      <x v="440"/>
    </i>
    <i r="4">
      <x v="625"/>
      <x v="624"/>
      <x v="1"/>
      <x v="16"/>
      <x v="10"/>
      <x/>
      <x v="276"/>
      <x v="276"/>
    </i>
    <i r="2">
      <x v="527"/>
      <x v="441"/>
    </i>
    <i r="4">
      <x v="626"/>
      <x v="625"/>
      <x v="1"/>
      <x v="16"/>
      <x v="10"/>
      <x/>
      <x v="276"/>
      <x v="276"/>
    </i>
    <i r="2">
      <x v="528"/>
      <x v="442"/>
    </i>
    <i r="4">
      <x v="627"/>
      <x v="626"/>
      <x v="1"/>
      <x v="16"/>
      <x v="10"/>
      <x/>
      <x v="276"/>
      <x v="276"/>
    </i>
    <i r="2">
      <x v="529"/>
      <x v="443"/>
    </i>
    <i r="4">
      <x v="628"/>
      <x v="627"/>
      <x v="1"/>
      <x v="16"/>
      <x v="10"/>
      <x/>
      <x v="277"/>
      <x v="277"/>
    </i>
    <i r="2">
      <x v="530"/>
      <x v="444"/>
    </i>
    <i r="4">
      <x v="629"/>
      <x v="628"/>
      <x v="1"/>
      <x v="16"/>
      <x v="10"/>
      <x/>
      <x v="277"/>
      <x v="277"/>
    </i>
    <i r="2">
      <x v="531"/>
      <x v="445"/>
    </i>
    <i r="4">
      <x v="630"/>
      <x v="629"/>
      <x v="1"/>
      <x v="16"/>
      <x v="10"/>
      <x/>
      <x v="277"/>
      <x v="277"/>
    </i>
    <i r="2">
      <x v="532"/>
      <x v="446"/>
    </i>
    <i r="4">
      <x v="631"/>
      <x v="630"/>
      <x v="1"/>
      <x v="16"/>
      <x v="10"/>
      <x/>
      <x v="277"/>
      <x v="277"/>
    </i>
    <i r="2">
      <x v="533"/>
      <x v="447"/>
    </i>
    <i r="4">
      <x v="632"/>
      <x v="631"/>
      <x v="1"/>
      <x v="16"/>
      <x v="10"/>
      <x/>
      <x v="277"/>
      <x v="277"/>
    </i>
    <i r="2">
      <x v="534"/>
      <x v="448"/>
    </i>
    <i r="4">
      <x v="633"/>
      <x v="632"/>
      <x v="1"/>
      <x v="16"/>
      <x v="10"/>
      <x/>
      <x v="277"/>
      <x v="277"/>
    </i>
    <i r="2">
      <x v="535"/>
      <x v="449"/>
    </i>
    <i r="4">
      <x v="634"/>
      <x v="633"/>
      <x v="1"/>
      <x v="16"/>
      <x v="10"/>
      <x/>
      <x v="277"/>
      <x v="277"/>
    </i>
    <i r="2">
      <x v="536"/>
      <x v="450"/>
    </i>
    <i r="4">
      <x v="635"/>
      <x v="634"/>
      <x v="1"/>
      <x v="16"/>
      <x v="10"/>
      <x/>
      <x v="278"/>
      <x v="278"/>
    </i>
    <i r="2">
      <x v="540"/>
      <x v="456"/>
    </i>
    <i r="4">
      <x v="639"/>
      <x v="638"/>
      <x v="1"/>
      <x v="16"/>
      <x v="10"/>
      <x v="2"/>
      <x v="156"/>
      <x v="241"/>
    </i>
    <i>
      <x v="6"/>
    </i>
    <i r="1">
      <x v="16"/>
    </i>
    <i r="2">
      <x v="72"/>
      <x v="81"/>
    </i>
    <i r="4">
      <x v="101"/>
      <x v="120"/>
      <x v="1"/>
      <x v="10"/>
      <x v="1"/>
      <x v="1"/>
      <x v="281"/>
      <x v="281"/>
    </i>
    <i r="2">
      <x v="73"/>
      <x v="82"/>
    </i>
    <i r="4">
      <x v="102"/>
      <x v="121"/>
      <x v="1"/>
      <x v="10"/>
      <x v="1"/>
      <x v="1"/>
      <x v="282"/>
      <x v="282"/>
    </i>
    <i r="2">
      <x v="74"/>
      <x v="83"/>
    </i>
    <i r="4">
      <x v="103"/>
      <x v="122"/>
      <x v="1"/>
      <x v="10"/>
      <x v="1"/>
      <x v="1"/>
      <x v="282"/>
      <x v="282"/>
    </i>
    <i r="2">
      <x v="75"/>
      <x v="84"/>
    </i>
    <i r="4">
      <x v="104"/>
      <x v="123"/>
      <x v="1"/>
      <x v="10"/>
      <x v="1"/>
      <x v="1"/>
      <x v="283"/>
      <x v="283"/>
    </i>
    <i r="2">
      <x v="76"/>
      <x v="85"/>
    </i>
    <i r="4">
      <x v="105"/>
      <x v="124"/>
      <x v="1"/>
      <x v="10"/>
      <x v="1"/>
      <x v="1"/>
      <x v="283"/>
      <x v="283"/>
    </i>
    <i r="2">
      <x v="77"/>
      <x v="86"/>
    </i>
    <i r="4">
      <x v="106"/>
      <x v="125"/>
      <x v="1"/>
      <x v="10"/>
      <x v="1"/>
      <x v="1"/>
      <x v="284"/>
      <x v="284"/>
    </i>
    <i r="2">
      <x v="78"/>
      <x v="87"/>
    </i>
    <i r="4">
      <x v="107"/>
      <x v="126"/>
      <x v="1"/>
      <x v="10"/>
      <x v="1"/>
      <x v="1"/>
      <x v="284"/>
      <x v="284"/>
    </i>
    <i r="2">
      <x v="79"/>
      <x v="73"/>
    </i>
    <i r="4">
      <x v="108"/>
      <x v="127"/>
      <x v="1"/>
      <x v="10"/>
      <x v="1"/>
      <x v="1"/>
      <x v="283"/>
      <x v="283"/>
    </i>
    <i r="2">
      <x v="80"/>
      <x v="74"/>
    </i>
    <i r="4">
      <x v="109"/>
      <x v="128"/>
      <x v="1"/>
      <x v="10"/>
      <x v="1"/>
      <x v="1"/>
      <x v="284"/>
      <x v="284"/>
    </i>
    <i r="2">
      <x v="81"/>
      <x v="75"/>
    </i>
    <i r="4">
      <x v="110"/>
      <x v="129"/>
      <x v="1"/>
      <x v="10"/>
      <x v="1"/>
      <x v="1"/>
      <x v="284"/>
      <x v="284"/>
    </i>
    <i r="2">
      <x v="82"/>
      <x v="76"/>
    </i>
    <i r="4">
      <x v="111"/>
      <x v="130"/>
      <x v="1"/>
      <x v="10"/>
      <x v="1"/>
      <x v="1"/>
      <x v="285"/>
      <x v="285"/>
    </i>
    <i r="2">
      <x v="83"/>
      <x v="77"/>
    </i>
    <i r="4">
      <x v="112"/>
      <x v="131"/>
      <x v="1"/>
      <x v="10"/>
      <x v="1"/>
      <x v="1"/>
      <x v="285"/>
      <x v="285"/>
    </i>
    <i r="2">
      <x v="84"/>
      <x v="78"/>
    </i>
    <i r="4">
      <x v="113"/>
      <x v="132"/>
      <x v="1"/>
      <x v="10"/>
      <x v="1"/>
      <x v="1"/>
      <x v="285"/>
      <x v="285"/>
    </i>
    <i r="2">
      <x v="85"/>
      <x v="79"/>
    </i>
    <i r="4">
      <x v="114"/>
      <x v="133"/>
      <x v="1"/>
      <x v="10"/>
      <x v="1"/>
      <x v="1"/>
      <x v="285"/>
      <x v="285"/>
    </i>
    <i r="2">
      <x v="86"/>
      <x v="66"/>
    </i>
    <i r="4">
      <x v="115"/>
      <x v="134"/>
      <x v="1"/>
      <x v="10"/>
      <x v="1"/>
      <x v="1"/>
      <x v="283"/>
      <x v="283"/>
    </i>
    <i r="2">
      <x v="87"/>
      <x v="67"/>
    </i>
    <i r="4">
      <x v="116"/>
      <x v="135"/>
      <x v="1"/>
      <x v="10"/>
      <x v="1"/>
      <x v="1"/>
      <x v="284"/>
      <x v="284"/>
    </i>
    <i r="2">
      <x v="88"/>
      <x v="68"/>
    </i>
    <i r="4">
      <x v="117"/>
      <x v="136"/>
      <x v="1"/>
      <x v="10"/>
      <x v="1"/>
      <x v="1"/>
      <x v="284"/>
      <x v="284"/>
    </i>
    <i r="2">
      <x v="89"/>
      <x v="69"/>
    </i>
    <i r="4">
      <x v="118"/>
      <x v="137"/>
      <x v="1"/>
      <x v="10"/>
      <x v="1"/>
      <x v="1"/>
      <x v="285"/>
      <x v="285"/>
    </i>
    <i r="2">
      <x v="90"/>
      <x v="70"/>
    </i>
    <i r="4">
      <x v="119"/>
      <x v="138"/>
      <x v="1"/>
      <x v="10"/>
      <x v="1"/>
      <x v="1"/>
      <x v="285"/>
      <x v="285"/>
    </i>
    <i r="2">
      <x v="91"/>
      <x v="71"/>
    </i>
    <i r="4">
      <x v="120"/>
      <x v="139"/>
      <x v="1"/>
      <x v="10"/>
      <x v="1"/>
      <x v="1"/>
      <x v="285"/>
      <x v="285"/>
    </i>
    <i r="2">
      <x v="92"/>
      <x v="72"/>
    </i>
    <i r="4">
      <x v="121"/>
      <x v="140"/>
      <x v="1"/>
      <x v="10"/>
      <x v="1"/>
      <x v="1"/>
      <x v="285"/>
      <x v="285"/>
    </i>
    <i r="2">
      <x v="93"/>
      <x v="88"/>
    </i>
    <i r="4">
      <x v="122"/>
      <x v="141"/>
      <x v="1"/>
      <x v="10"/>
      <x v="1"/>
      <x v="1"/>
      <x v="286"/>
      <x v="286"/>
    </i>
    <i r="2">
      <x v="94"/>
      <x v="89"/>
    </i>
    <i r="4">
      <x v="123"/>
      <x v="142"/>
      <x v="1"/>
      <x v="10"/>
      <x v="1"/>
      <x v="1"/>
      <x v="285"/>
      <x v="285"/>
    </i>
    <i r="2">
      <x v="95"/>
      <x v="90"/>
    </i>
    <i r="4">
      <x v="124"/>
      <x v="143"/>
      <x v="1"/>
      <x v="10"/>
      <x v="1"/>
      <x v="1"/>
      <x v="285"/>
      <x v="285"/>
    </i>
    <i r="2">
      <x v="96"/>
      <x v="91"/>
    </i>
    <i r="4">
      <x v="125"/>
      <x v="144"/>
      <x v="1"/>
      <x v="10"/>
      <x v="1"/>
      <x v="1"/>
      <x v="287"/>
      <x v="287"/>
    </i>
    <i r="2">
      <x v="97"/>
      <x v="92"/>
    </i>
    <i r="4">
      <x v="126"/>
      <x v="145"/>
      <x v="1"/>
      <x v="10"/>
      <x v="1"/>
      <x v="1"/>
      <x v="287"/>
      <x v="287"/>
    </i>
    <i r="2">
      <x v="98"/>
      <x v="93"/>
    </i>
    <i r="4">
      <x v="127"/>
      <x v="146"/>
      <x v="1"/>
      <x v="10"/>
      <x v="1"/>
      <x v="1"/>
      <x v="288"/>
      <x v="288"/>
    </i>
    <i r="2">
      <x v="99"/>
      <x v="94"/>
    </i>
    <i r="4">
      <x v="128"/>
      <x v="147"/>
      <x v="1"/>
      <x v="10"/>
      <x v="1"/>
      <x v="1"/>
      <x v="288"/>
      <x v="288"/>
    </i>
    <i r="2">
      <x v="100"/>
      <x v="95"/>
    </i>
    <i r="4">
      <x v="129"/>
      <x v="148"/>
      <x v="1"/>
      <x v="10"/>
      <x v="1"/>
      <x v="1"/>
      <x v="283"/>
      <x v="283"/>
    </i>
    <i r="2">
      <x v="101"/>
      <x v="96"/>
    </i>
    <i r="4">
      <x v="130"/>
      <x v="149"/>
      <x v="1"/>
      <x v="10"/>
      <x v="1"/>
      <x v="1"/>
      <x v="289"/>
      <x v="289"/>
    </i>
    <i r="2">
      <x v="102"/>
      <x v="97"/>
    </i>
    <i r="4">
      <x v="131"/>
      <x v="150"/>
      <x v="1"/>
      <x v="10"/>
      <x v="1"/>
      <x v="1"/>
      <x v="286"/>
      <x v="286"/>
    </i>
    <i r="2">
      <x v="103"/>
      <x v="98"/>
    </i>
    <i r="4">
      <x v="132"/>
      <x v="151"/>
      <x v="1"/>
      <x v="10"/>
      <x v="1"/>
      <x v="1"/>
      <x v="285"/>
      <x v="285"/>
    </i>
    <i r="2">
      <x v="104"/>
      <x v="99"/>
    </i>
    <i r="4">
      <x v="133"/>
      <x v="152"/>
      <x v="1"/>
      <x v="10"/>
      <x v="1"/>
      <x v="1"/>
      <x v="283"/>
      <x v="283"/>
    </i>
    <i r="2">
      <x v="105"/>
      <x v="100"/>
    </i>
    <i r="4">
      <x v="134"/>
      <x v="153"/>
      <x v="1"/>
      <x v="10"/>
      <x v="1"/>
      <x v="1"/>
      <x v="284"/>
      <x v="284"/>
    </i>
    <i r="2">
      <x v="106"/>
      <x v="101"/>
    </i>
    <i r="4">
      <x v="135"/>
      <x v="154"/>
      <x v="1"/>
      <x v="10"/>
      <x v="1"/>
      <x v="1"/>
      <x v="286"/>
      <x v="286"/>
    </i>
    <i r="2">
      <x v="107"/>
      <x v="102"/>
    </i>
    <i r="4">
      <x v="136"/>
      <x v="155"/>
      <x v="1"/>
      <x v="10"/>
      <x v="1"/>
      <x v="1"/>
      <x v="285"/>
      <x v="285"/>
    </i>
    <i r="2">
      <x v="108"/>
      <x v="80"/>
    </i>
    <i r="4">
      <x v="137"/>
      <x v="156"/>
      <x v="1"/>
      <x v="16"/>
      <x v="1"/>
      <x v="1"/>
      <x v="290"/>
      <x v="290"/>
    </i>
    <i r="2">
      <x v="109"/>
      <x v="80"/>
    </i>
    <i r="4">
      <x v="138"/>
      <x v="157"/>
      <x v="1"/>
      <x v="16"/>
      <x v="1"/>
      <x v="1"/>
      <x v="291"/>
      <x v="291"/>
    </i>
    <i r="2">
      <x v="110"/>
      <x v="80"/>
    </i>
    <i r="4">
      <x v="139"/>
      <x v="158"/>
      <x v="1"/>
      <x v="16"/>
      <x v="1"/>
      <x v="1"/>
      <x v="291"/>
      <x v="291"/>
    </i>
    <i r="2">
      <x v="111"/>
      <x v="80"/>
    </i>
    <i r="4">
      <x v="140"/>
      <x v="159"/>
      <x v="1"/>
      <x v="16"/>
      <x v="1"/>
      <x v="1"/>
      <x v="292"/>
      <x v="292"/>
    </i>
    <i r="2">
      <x v="112"/>
      <x v="80"/>
    </i>
    <i r="4">
      <x v="141"/>
      <x v="160"/>
      <x v="1"/>
      <x v="16"/>
      <x v="1"/>
      <x v="1"/>
      <x v="293"/>
      <x v="293"/>
    </i>
    <i r="2">
      <x v="113"/>
      <x v="80"/>
    </i>
    <i r="4">
      <x v="142"/>
      <x v="161"/>
      <x v="1"/>
      <x v="16"/>
      <x v="1"/>
      <x v="1"/>
      <x v="294"/>
      <x v="294"/>
    </i>
    <i r="2">
      <x v="114"/>
      <x v="80"/>
    </i>
    <i r="4">
      <x v="143"/>
      <x v="162"/>
      <x v="1"/>
      <x v="16"/>
      <x v="1"/>
      <x v="1"/>
      <x v="291"/>
      <x v="291"/>
    </i>
    <i r="2">
      <x v="115"/>
      <x v="80"/>
    </i>
    <i r="4">
      <x v="144"/>
      <x v="163"/>
      <x v="1"/>
      <x v="16"/>
      <x v="1"/>
      <x v="1"/>
      <x v="292"/>
      <x v="292"/>
    </i>
    <i r="2">
      <x v="116"/>
      <x v="80"/>
    </i>
    <i r="4">
      <x v="145"/>
      <x v="164"/>
      <x v="1"/>
      <x v="16"/>
      <x v="1"/>
      <x v="1"/>
      <x v="292"/>
      <x v="292"/>
    </i>
    <i r="2">
      <x v="138"/>
      <x v="234"/>
    </i>
    <i r="4">
      <x v="168"/>
      <x v="166"/>
      <x v="1"/>
      <x v="16"/>
      <x v="1"/>
      <x v="1"/>
      <x v="293"/>
      <x v="293"/>
    </i>
    <i r="2">
      <x v="266"/>
      <x v="80"/>
    </i>
    <i r="4">
      <x v="316"/>
      <x v="322"/>
      <x v="1"/>
      <x v="16"/>
      <x v="1"/>
      <x v="1"/>
      <x v="296"/>
      <x v="296"/>
    </i>
    <i r="2">
      <x v="267"/>
      <x v="80"/>
    </i>
    <i r="4">
      <x v="315"/>
      <x v="321"/>
      <x v="1"/>
      <x v="16"/>
      <x v="1"/>
      <x v="1"/>
      <x v="295"/>
      <x v="295"/>
    </i>
    <i>
      <x v="7"/>
    </i>
    <i r="1">
      <x v="16"/>
    </i>
    <i r="2">
      <x v="117"/>
      <x v="9"/>
    </i>
    <i r="4">
      <x v="151"/>
      <x v="4"/>
      <x v="1"/>
      <x/>
      <x/>
      <x v="1"/>
      <x v="262"/>
      <x v="262"/>
    </i>
    <i r="2">
      <x v="118"/>
      <x v="10"/>
    </i>
    <i r="4">
      <x v="148"/>
      <x/>
      <x v="1"/>
      <x v="16"/>
      <x/>
      <x v="1"/>
      <x v="260"/>
      <x v="260"/>
    </i>
    <i r="2">
      <x v="119"/>
      <x v="11"/>
    </i>
    <i r="4">
      <x v="149"/>
      <x v="243"/>
      <x v="1"/>
      <x v="16"/>
      <x/>
      <x v="1"/>
      <x v="261"/>
      <x v="261"/>
    </i>
    <i r="2">
      <x v="120"/>
      <x v="50"/>
    </i>
    <i r="4">
      <x v="146"/>
      <x v="1"/>
      <x v="1"/>
      <x v="16"/>
      <x/>
      <x v="1"/>
      <x v="258"/>
      <x v="258"/>
    </i>
    <i r="2">
      <x v="121"/>
      <x v="51"/>
    </i>
    <i r="4">
      <x v="147"/>
      <x v="2"/>
      <x v="1"/>
      <x v="16"/>
      <x/>
      <x v="1"/>
      <x v="259"/>
      <x v="259"/>
    </i>
    <i r="2">
      <x v="122"/>
      <x v="127"/>
    </i>
    <i r="4">
      <x v="150"/>
      <x v="3"/>
      <x v="1"/>
      <x v="16"/>
      <x/>
      <x v="1"/>
      <x v="86"/>
      <x v="86"/>
    </i>
    <i r="2">
      <x v="123"/>
      <x v="31"/>
    </i>
    <i r="4">
      <x v="152"/>
      <x v="5"/>
      <x v="1"/>
      <x v="16"/>
      <x/>
      <x v="1"/>
      <x v="263"/>
      <x v="263"/>
    </i>
    <i r="2">
      <x v="124"/>
      <x v="31"/>
    </i>
    <i r="4">
      <x v="153"/>
      <x v="6"/>
      <x v="1"/>
      <x v="16"/>
      <x/>
      <x v="1"/>
      <x v="264"/>
      <x v="264"/>
    </i>
    <i r="2">
      <x v="125"/>
      <x v="27"/>
    </i>
    <i r="4">
      <x v="155"/>
      <x v="7"/>
      <x v="1"/>
      <x v="16"/>
      <x/>
      <x v="1"/>
      <x v="265"/>
      <x v="265"/>
    </i>
    <i r="2">
      <x v="126"/>
      <x v="25"/>
    </i>
    <i r="4">
      <x v="156"/>
      <x v="8"/>
      <x v="1"/>
      <x v="16"/>
      <x/>
      <x v="1"/>
      <x v="266"/>
      <x v="266"/>
    </i>
    <i r="2">
      <x v="127"/>
      <x v="36"/>
    </i>
    <i r="4">
      <x v="157"/>
      <x v="9"/>
      <x v="1"/>
      <x v="16"/>
      <x/>
      <x v="1"/>
      <x v="266"/>
      <x v="266"/>
    </i>
    <i r="2">
      <x v="128"/>
      <x v="24"/>
    </i>
    <i r="4">
      <x v="158"/>
      <x v="10"/>
      <x v="1"/>
      <x v="16"/>
      <x/>
      <x v="1"/>
      <x v="259"/>
      <x v="259"/>
    </i>
    <i r="2">
      <x v="129"/>
      <x v="26"/>
    </i>
    <i r="4">
      <x v="159"/>
      <x v="11"/>
      <x v="1"/>
      <x v="16"/>
      <x/>
      <x v="1"/>
      <x v="267"/>
      <x v="267"/>
    </i>
    <i r="2">
      <x v="130"/>
      <x v="29"/>
    </i>
    <i r="4">
      <x v="160"/>
      <x v="12"/>
      <x v="1"/>
      <x v="16"/>
      <x/>
      <x v="1"/>
      <x v="268"/>
      <x v="268"/>
    </i>
    <i r="2">
      <x v="131"/>
      <x v="32"/>
    </i>
    <i r="4">
      <x v="161"/>
      <x v="13"/>
      <x v="1"/>
      <x v="16"/>
      <x/>
      <x v="1"/>
      <x v="269"/>
      <x v="269"/>
    </i>
    <i r="2">
      <x v="132"/>
      <x v="30"/>
    </i>
    <i r="4">
      <x v="162"/>
      <x v="257"/>
      <x v="1"/>
      <x v="16"/>
      <x/>
      <x v="1"/>
      <x v="250"/>
      <x v="250"/>
    </i>
    <i r="2">
      <x v="133"/>
      <x v="34"/>
    </i>
    <i r="4">
      <x v="163"/>
      <x v="14"/>
      <x v="1"/>
      <x v="16"/>
      <x/>
      <x v="1"/>
      <x v="270"/>
      <x v="270"/>
    </i>
    <i r="2">
      <x v="134"/>
      <x v="33"/>
    </i>
    <i r="4">
      <x v="164"/>
      <x v="15"/>
      <x v="1"/>
      <x v="16"/>
      <x/>
      <x v="1"/>
      <x v="271"/>
      <x v="271"/>
    </i>
    <i r="2">
      <x v="135"/>
      <x v="35"/>
    </i>
    <i r="4">
      <x v="165"/>
      <x v="16"/>
      <x v="1"/>
      <x v="16"/>
      <x/>
      <x v="1"/>
      <x v="272"/>
      <x v="272"/>
    </i>
    <i r="2">
      <x v="136"/>
      <x v="28"/>
    </i>
    <i r="4">
      <x v="166"/>
      <x v="17"/>
      <x v="1"/>
      <x v="16"/>
      <x/>
      <x v="1"/>
      <x v="254"/>
      <x v="254"/>
    </i>
    <i r="2">
      <x v="137"/>
      <x v="110"/>
    </i>
    <i r="4">
      <x v="167"/>
      <x v="258"/>
      <x v="1"/>
      <x v="16"/>
      <x/>
      <x v="1"/>
      <x v="274"/>
      <x v="274"/>
    </i>
    <i r="2">
      <x v="251"/>
      <x v="235"/>
    </i>
    <i r="4">
      <x v="299"/>
      <x v="256"/>
      <x v="1"/>
      <x v="16"/>
      <x/>
      <x v="1"/>
      <x v="259"/>
      <x v="259"/>
    </i>
    <i r="2">
      <x v="256"/>
      <x v="238"/>
    </i>
    <i r="4">
      <x v="304"/>
      <x v="248"/>
      <x v="1"/>
      <x v="16"/>
      <x/>
      <x v="1"/>
      <x v="273"/>
      <x v="273"/>
    </i>
  </rowItems>
  <colItems count="1">
    <i/>
  </colItems>
  <formats count="56">
    <format dxfId="898">
      <pivotArea field="3" type="button" dataOnly="0" labelOnly="1" outline="0" axis="axisRow" fieldPosition="0"/>
    </format>
    <format dxfId="897">
      <pivotArea field="2" type="button" dataOnly="0" labelOnly="1" outline="0" axis="axisRow" fieldPosition="3"/>
    </format>
    <format dxfId="896">
      <pivotArea field="7" type="button" dataOnly="0" labelOnly="1" outline="0" axis="axisRow" fieldPosition="5"/>
    </format>
    <format dxfId="895">
      <pivotArea field="9" type="button" dataOnly="0" labelOnly="1" outline="0" axis="axisRow" fieldPosition="6"/>
    </format>
    <format dxfId="894">
      <pivotArea dataOnly="0" labelOnly="1" fieldPosition="0">
        <references count="1">
          <reference field="4" count="0"/>
        </references>
      </pivotArea>
    </format>
    <format dxfId="893">
      <pivotArea dataOnly="0" labelOnly="1" fieldPosition="0">
        <references count="1">
          <reference field="4" count="0"/>
        </references>
      </pivotArea>
    </format>
    <format dxfId="892">
      <pivotArea dataOnly="0" labelOnly="1" fieldPosition="0">
        <references count="1">
          <reference field="1" count="0"/>
        </references>
      </pivotArea>
    </format>
    <format dxfId="891">
      <pivotArea dataOnly="0" labelOnly="1" fieldPosition="0">
        <references count="1">
          <reference field="3" count="0"/>
        </references>
      </pivotArea>
    </format>
    <format dxfId="890">
      <pivotArea dataOnly="0" labelOnly="1" fieldPosition="0">
        <references count="1">
          <reference field="3" count="0"/>
        </references>
      </pivotArea>
    </format>
    <format dxfId="889">
      <pivotArea dataOnly="0" labelOnly="1" fieldPosition="0">
        <references count="1">
          <reference field="3" count="0"/>
        </references>
      </pivotArea>
    </format>
    <format dxfId="888">
      <pivotArea field="3" type="button" dataOnly="0" labelOnly="1" outline="0" axis="axisRow" fieldPosition="0"/>
    </format>
    <format dxfId="887">
      <pivotArea field="2" type="button" dataOnly="0" labelOnly="1" outline="0" axis="axisRow" fieldPosition="3"/>
    </format>
    <format dxfId="886">
      <pivotArea field="7" type="button" dataOnly="0" labelOnly="1" outline="0" axis="axisRow" fieldPosition="5"/>
    </format>
    <format dxfId="885">
      <pivotArea field="9" type="button" dataOnly="0" labelOnly="1" outline="0" axis="axisRow" fieldPosition="6"/>
    </format>
    <format dxfId="884">
      <pivotArea dataOnly="0" labelOnly="1" fieldPosition="0">
        <references count="1">
          <reference field="0" count="0"/>
        </references>
      </pivotArea>
    </format>
    <format dxfId="883">
      <pivotArea dataOnly="0" labelOnly="1" fieldPosition="0">
        <references count="1">
          <reference field="7" count="0"/>
        </references>
      </pivotArea>
    </format>
    <format dxfId="882">
      <pivotArea dataOnly="0" labelOnly="1" fieldPosition="0">
        <references count="1">
          <reference field="9" count="0"/>
        </references>
      </pivotArea>
    </format>
    <format dxfId="881">
      <pivotArea dataOnly="0" labelOnly="1" fieldPosition="0">
        <references count="1">
          <reference field="3" count="0"/>
        </references>
      </pivotArea>
    </format>
    <format dxfId="880">
      <pivotArea dataOnly="0" labelOnly="1" fieldPosition="0">
        <references count="1">
          <reference field="16" count="0"/>
        </references>
      </pivotArea>
    </format>
    <format dxfId="879">
      <pivotArea dataOnly="0" labelOnly="1" fieldPosition="0">
        <references count="1">
          <reference field="16" count="0"/>
        </references>
      </pivotArea>
    </format>
    <format dxfId="878">
      <pivotArea field="16" type="button" dataOnly="0" labelOnly="1" outline="0" axis="axisRow" fieldPosition="9"/>
    </format>
    <format dxfId="877">
      <pivotArea dataOnly="0" labelOnly="1" fieldPosition="0">
        <references count="1">
          <reference field="5" count="0"/>
        </references>
      </pivotArea>
    </format>
    <format dxfId="876">
      <pivotArea field="5" type="button" dataOnly="0" labelOnly="1" outline="0" axis="axisRow" fieldPosition="8"/>
    </format>
    <format dxfId="875">
      <pivotArea dataOnly="0" labelOnly="1" fieldPosition="0">
        <references count="1">
          <reference field="16" count="0"/>
        </references>
      </pivotArea>
    </format>
    <format dxfId="874">
      <pivotArea dataOnly="0" labelOnly="1" fieldPosition="0">
        <references count="1">
          <reference field="16" count="0"/>
        </references>
      </pivotArea>
    </format>
    <format dxfId="873">
      <pivotArea field="16" type="button" dataOnly="0" labelOnly="1" outline="0" axis="axisRow" fieldPosition="9"/>
    </format>
    <format dxfId="872">
      <pivotArea collapsedLevelsAreSubtotals="1" fieldPosition="0">
        <references count="1">
          <reference field="3" count="1">
            <x v="0"/>
          </reference>
        </references>
      </pivotArea>
    </format>
    <format dxfId="871">
      <pivotArea collapsedLevelsAreSubtotals="1" fieldPosition="0">
        <references count="2">
          <reference field="3" count="1" selected="0">
            <x v="0"/>
          </reference>
          <reference field="4" count="1">
            <x v="0"/>
          </reference>
        </references>
      </pivotArea>
    </format>
    <format dxfId="870">
      <pivotArea field="5" type="button" dataOnly="0" labelOnly="1" outline="0" axis="axisRow" fieldPosition="8"/>
    </format>
    <format dxfId="869">
      <pivotArea dataOnly="0" labelOnly="1" fieldPosition="0">
        <references count="1">
          <reference field="5" count="0"/>
        </references>
      </pivotArea>
    </format>
    <format dxfId="868">
      <pivotArea collapsedLevelsAreSubtotals="1" fieldPosition="0">
        <references count="1">
          <reference field="3" count="1">
            <x v="0"/>
          </reference>
        </references>
      </pivotArea>
    </format>
    <format dxfId="867">
      <pivotArea collapsedLevelsAreSubtotals="1" fieldPosition="0">
        <references count="2">
          <reference field="3" count="1" selected="0">
            <x v="0"/>
          </reference>
          <reference field="4" count="1">
            <x v="0"/>
          </reference>
        </references>
      </pivotArea>
    </format>
    <format dxfId="866">
      <pivotArea dataOnly="0" labelOnly="1" fieldPosition="0">
        <references count="1">
          <reference field="8" count="0"/>
        </references>
      </pivotArea>
    </format>
    <format dxfId="865">
      <pivotArea field="8" type="button" dataOnly="0" labelOnly="1" outline="0" axis="axisRow" fieldPosition="7"/>
    </format>
    <format dxfId="864">
      <pivotArea dataOnly="0" labelOnly="1" fieldPosition="0">
        <references count="1">
          <reference field="8" count="0"/>
        </references>
      </pivotArea>
    </format>
    <format dxfId="863">
      <pivotArea dataOnly="0" labelOnly="1" fieldPosition="0">
        <references count="1">
          <reference field="8" count="0"/>
        </references>
      </pivotArea>
    </format>
    <format dxfId="862">
      <pivotArea dataOnly="0" labelOnly="1" fieldPosition="0">
        <references count="1">
          <reference field="8" count="0"/>
        </references>
      </pivotArea>
    </format>
    <format dxfId="861">
      <pivotArea field="11" type="button" dataOnly="0" labelOnly="1" outline="0" axis="axisRow" fieldPosition="10"/>
    </format>
    <format dxfId="860">
      <pivotArea field="14" type="button" dataOnly="0" labelOnly="1" outline="0" axis="axisRow" fieldPosition="11"/>
    </format>
    <format dxfId="859">
      <pivotArea field="11" type="button" dataOnly="0" labelOnly="1" outline="0" axis="axisRow" fieldPosition="10"/>
    </format>
    <format dxfId="858">
      <pivotArea field="14" type="button" dataOnly="0" labelOnly="1" outline="0" axis="axisRow" fieldPosition="11"/>
    </format>
    <format dxfId="857">
      <pivotArea field="11" type="button" dataOnly="0" labelOnly="1" outline="0" axis="axisRow" fieldPosition="10"/>
    </format>
    <format dxfId="856">
      <pivotArea field="14" type="button" dataOnly="0" labelOnly="1" outline="0" axis="axisRow" fieldPosition="11"/>
    </format>
    <format dxfId="855">
      <pivotArea field="11" type="button" dataOnly="0" labelOnly="1" outline="0" axis="axisRow" fieldPosition="10"/>
    </format>
    <format dxfId="854">
      <pivotArea field="14" type="button" dataOnly="0" labelOnly="1" outline="0" axis="axisRow" fieldPosition="11"/>
    </format>
    <format dxfId="853">
      <pivotArea field="11" type="button" dataOnly="0" labelOnly="1" outline="0" axis="axisRow" fieldPosition="10"/>
    </format>
    <format dxfId="852">
      <pivotArea field="14" type="button" dataOnly="0" labelOnly="1" outline="0" axis="axisRow" fieldPosition="11"/>
    </format>
    <format dxfId="851">
      <pivotArea field="8" type="button" dataOnly="0" labelOnly="1" outline="0" axis="axisRow" fieldPosition="7"/>
    </format>
    <format dxfId="850">
      <pivotArea dataOnly="0" labelOnly="1" fieldPosition="0">
        <references count="1">
          <reference field="11" count="0"/>
        </references>
      </pivotArea>
    </format>
    <format dxfId="849">
      <pivotArea dataOnly="0" labelOnly="1" fieldPosition="0">
        <references count="1">
          <reference field="11" count="0"/>
        </references>
      </pivotArea>
    </format>
    <format dxfId="848">
      <pivotArea dataOnly="0" labelOnly="1" fieldPosition="0">
        <references count="1">
          <reference field="11" count="0"/>
        </references>
      </pivotArea>
    </format>
    <format dxfId="847">
      <pivotArea dataOnly="0" labelOnly="1" fieldPosition="0">
        <references count="1">
          <reference field="14" count="0"/>
        </references>
      </pivotArea>
    </format>
    <format dxfId="846">
      <pivotArea dataOnly="0" labelOnly="1" fieldPosition="0">
        <references count="1">
          <reference field="14" count="0"/>
        </references>
      </pivotArea>
    </format>
    <format dxfId="845">
      <pivotArea dataOnly="0" labelOnly="1" fieldPosition="0">
        <references count="1">
          <reference field="14" count="0"/>
        </references>
      </pivotArea>
    </format>
    <format dxfId="844">
      <pivotArea dataOnly="0" labelOnly="1" fieldPosition="0">
        <references count="1">
          <reference field="11" count="0"/>
        </references>
      </pivotArea>
    </format>
    <format dxfId="843">
      <pivotArea dataOnly="0" labelOnly="1" fieldPosition="0">
        <references count="1">
          <reference field="14" count="0"/>
        </references>
      </pivotArea>
    </format>
  </formats>
  <pivotTableStyleInfo name="Pricelist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3A5A12-4381-4199-9573-87411EE2939D}" name="PivotTable1" cacheId="83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outline="1" outlineData="1" multipleFieldFilters="0" rowHeaderCaption="Product No">
  <location ref="A17:I812" firstHeaderRow="1" firstDataRow="1" firstDataCol="9"/>
  <pivotFields count="22">
    <pivotField axis="axisRow" outline="0" showAll="0" defaultSubtotal="0">
      <items count="646"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4"/>
        <item x="35"/>
        <item x="38"/>
        <item x="39"/>
        <item x="41"/>
        <item x="42"/>
        <item x="44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3"/>
        <item x="64"/>
        <item x="65"/>
        <item x="68"/>
        <item x="69"/>
        <item x="70"/>
        <item x="71"/>
        <item x="73"/>
        <item x="75"/>
        <item x="76"/>
        <item x="77"/>
        <item x="78"/>
        <item x="94"/>
        <item x="97"/>
        <item x="99"/>
        <item x="100"/>
        <item x="103"/>
        <item x="110"/>
        <item x="111"/>
        <item x="112"/>
        <item x="113"/>
        <item x="114"/>
        <item x="115"/>
        <item x="116"/>
        <item x="120"/>
        <item x="151"/>
        <item x="152"/>
        <item x="153"/>
        <item x="154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2"/>
        <item x="205"/>
        <item x="208"/>
        <item x="239"/>
        <item x="241"/>
        <item x="310"/>
        <item x="311"/>
        <item x="363"/>
        <item x="364"/>
        <item x="365"/>
        <item x="366"/>
        <item x="367"/>
        <item x="368"/>
        <item x="369"/>
        <item x="370"/>
        <item x="372"/>
        <item x="373"/>
        <item x="374"/>
        <item x="375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8"/>
        <item x="569"/>
        <item x="571"/>
        <item x="572"/>
        <item x="573"/>
        <item x="575"/>
        <item x="576"/>
        <item x="578"/>
        <item x="579"/>
        <item x="580"/>
        <item x="581"/>
        <item x="582"/>
        <item x="583"/>
        <item x="587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7"/>
        <item x="618"/>
        <item x="567"/>
        <item x="13"/>
        <item x="79"/>
        <item x="81"/>
        <item x="274"/>
        <item x="275"/>
        <item x="281"/>
        <item x="283"/>
        <item x="183"/>
        <item x="312"/>
        <item x="316"/>
        <item x="313"/>
        <item x="207"/>
        <item x="215"/>
        <item x="216"/>
        <item x="213"/>
        <item x="214"/>
        <item x="217"/>
        <item x="1"/>
        <item x="5"/>
        <item x="6"/>
        <item x="7"/>
        <item x="9"/>
        <item x="10"/>
        <item x="12"/>
        <item x="15"/>
        <item x="32"/>
        <item x="36"/>
        <item x="92"/>
        <item x="72"/>
        <item x="61"/>
        <item x="66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29"/>
        <item x="130"/>
        <item x="132"/>
        <item x="133"/>
        <item x="134"/>
        <item x="135"/>
        <item x="136"/>
        <item x="138"/>
        <item x="139"/>
        <item x="140"/>
        <item x="141"/>
        <item x="142"/>
        <item x="143"/>
        <item x="144"/>
        <item x="145"/>
        <item x="146"/>
        <item x="147"/>
        <item x="149"/>
        <item x="150"/>
        <item x="155"/>
        <item x="156"/>
        <item x="158"/>
        <item x="159"/>
        <item x="160"/>
        <item x="161"/>
        <item x="162"/>
        <item x="163"/>
        <item x="164"/>
        <item x="168"/>
        <item x="169"/>
        <item x="170"/>
        <item x="171"/>
        <item x="172"/>
        <item x="173"/>
        <item x="176"/>
        <item x="181"/>
        <item x="193"/>
        <item x="196"/>
        <item x="199"/>
        <item x="218"/>
        <item x="235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3"/>
        <item x="265"/>
        <item x="266"/>
        <item x="267"/>
        <item x="268"/>
        <item x="269"/>
        <item x="270"/>
        <item x="271"/>
        <item x="272"/>
        <item x="273"/>
        <item x="276"/>
        <item x="277"/>
        <item x="278"/>
        <item x="279"/>
        <item x="280"/>
        <item x="282"/>
        <item x="284"/>
        <item x="285"/>
        <item x="289"/>
        <item x="317"/>
        <item x="371"/>
        <item x="577"/>
        <item x="588"/>
        <item x="589"/>
        <item x="594"/>
        <item x="595"/>
        <item x="616"/>
        <item x="83"/>
        <item x="387"/>
        <item x="388"/>
        <item x="389"/>
        <item x="294"/>
        <item x="297"/>
        <item x="80"/>
        <item x="82"/>
        <item x="45"/>
        <item x="86"/>
        <item x="570"/>
        <item x="574"/>
        <item x="20"/>
        <item x="105"/>
        <item x="286"/>
        <item x="303"/>
        <item x="302"/>
        <item x="619"/>
        <item x="298"/>
        <item x="296"/>
        <item x="131"/>
        <item x="157"/>
        <item x="165"/>
        <item x="295"/>
        <item x="299"/>
        <item x="102"/>
        <item x="620"/>
        <item x="288"/>
        <item x="291"/>
        <item x="292"/>
        <item x="293"/>
        <item x="300"/>
        <item x="376"/>
        <item x="377"/>
        <item x="378"/>
        <item x="383"/>
        <item x="379"/>
        <item x="380"/>
        <item x="381"/>
        <item x="390"/>
        <item x="394"/>
        <item x="392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209"/>
        <item x="210"/>
        <item x="33"/>
        <item x="37"/>
        <item x="40"/>
        <item x="43"/>
        <item x="56"/>
        <item x="62"/>
        <item x="67"/>
        <item x="237"/>
        <item x="384"/>
        <item x="386"/>
        <item x="385"/>
        <item x="244"/>
        <item x="242"/>
        <item x="243"/>
        <item x="245"/>
        <item x="248"/>
        <item x="246"/>
        <item x="247"/>
        <item x="204"/>
        <item x="307"/>
        <item x="308"/>
        <item x="318"/>
        <item x="319"/>
        <item x="84"/>
        <item x="85"/>
        <item x="335"/>
        <item x="330"/>
        <item x="340"/>
        <item x="88"/>
        <item x="342"/>
        <item x="413"/>
        <item x="336"/>
        <item x="391"/>
        <item x="393"/>
        <item x="395"/>
        <item x="184"/>
        <item x="240"/>
        <item x="344"/>
        <item x="601"/>
        <item x="249"/>
        <item x="236"/>
        <item x="602"/>
        <item x="603"/>
        <item x="414"/>
        <item x="415"/>
        <item x="338"/>
        <item x="339"/>
        <item x="211"/>
        <item x="2"/>
        <item x="14"/>
        <item x="24"/>
        <item x="87"/>
        <item x="226"/>
        <item x="227"/>
        <item x="304"/>
        <item x="320"/>
        <item x="331"/>
        <item x="343"/>
        <item x="584"/>
        <item x="585"/>
        <item x="586"/>
        <item x="590"/>
        <item x="591"/>
        <item x="592"/>
        <item x="593"/>
        <item x="596"/>
        <item x="597"/>
        <item x="598"/>
        <item x="599"/>
        <item x="600"/>
        <item x="396"/>
        <item x="315"/>
        <item x="333"/>
        <item x="417"/>
        <item x="418"/>
        <item x="419"/>
        <item x="422"/>
        <item x="425"/>
        <item x="429"/>
        <item x="433"/>
        <item x="436"/>
        <item x="437"/>
        <item x="438"/>
        <item x="439"/>
        <item x="440"/>
        <item x="441"/>
        <item x="332"/>
        <item x="25"/>
        <item x="89"/>
        <item x="195"/>
        <item x="287"/>
        <item x="290"/>
        <item x="301"/>
        <item x="305"/>
        <item x="306"/>
        <item x="309"/>
        <item x="341"/>
        <item x="346"/>
        <item x="421"/>
        <item x="424"/>
        <item x="426"/>
        <item x="428"/>
        <item x="430"/>
        <item x="432"/>
        <item x="435"/>
        <item x="26"/>
        <item x="420"/>
        <item x="423"/>
        <item x="427"/>
        <item x="431"/>
        <item x="434"/>
        <item x="416"/>
        <item x="201"/>
        <item x="200"/>
        <item x="197"/>
        <item x="90"/>
        <item x="220"/>
        <item x="229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347"/>
        <item x="485"/>
        <item x="486"/>
        <item x="487"/>
        <item x="348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79"/>
        <item x="238"/>
        <item x="194"/>
        <item x="604"/>
        <item x="91"/>
        <item x="228"/>
        <item x="354"/>
        <item x="356"/>
        <item x="357"/>
        <item x="353"/>
        <item x="351"/>
        <item x="352"/>
        <item x="321"/>
        <item x="355"/>
        <item x="324"/>
        <item x="326"/>
        <item x="328"/>
        <item x="382"/>
        <item x="212"/>
        <item x="203"/>
        <item x="349"/>
        <item x="350"/>
        <item x="358"/>
        <item x="361"/>
        <item x="74"/>
        <item x="334"/>
        <item x="337"/>
        <item x="345"/>
        <item x="359"/>
        <item x="360"/>
        <item x="362"/>
        <item x="185"/>
        <item x="198"/>
        <item x="206"/>
        <item x="219"/>
        <item x="221"/>
        <item x="222"/>
        <item x="223"/>
        <item x="224"/>
        <item x="225"/>
        <item x="230"/>
        <item x="231"/>
        <item x="232"/>
        <item x="233"/>
        <item x="234"/>
        <item x="314"/>
        <item x="322"/>
        <item x="323"/>
        <item x="325"/>
        <item x="327"/>
        <item x="329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</items>
    </pivotField>
    <pivotField axis="axisRow" outline="0" showAll="0" defaultSubtotal="0">
      <items count="547">
        <item x="0"/>
        <item x="3"/>
        <item x="4"/>
        <item x="8"/>
        <item x="16"/>
        <item x="17"/>
        <item x="18"/>
        <item x="19"/>
        <item x="11"/>
        <item x="21"/>
        <item x="22"/>
        <item x="23"/>
        <item x="27"/>
        <item x="28"/>
        <item x="29"/>
        <item x="30"/>
        <item x="49"/>
        <item x="48"/>
        <item x="47"/>
        <item x="45"/>
        <item x="34"/>
        <item x="33"/>
        <item x="32"/>
        <item x="31"/>
        <item x="41"/>
        <item x="42"/>
        <item x="43"/>
        <item x="44"/>
        <item x="46"/>
        <item x="54"/>
        <item x="36"/>
        <item x="37"/>
        <item x="38"/>
        <item x="39"/>
        <item x="40"/>
        <item x="50"/>
        <item x="52"/>
        <item x="55"/>
        <item x="68"/>
        <item x="71"/>
        <item x="73"/>
        <item x="74"/>
        <item x="77"/>
        <item x="84"/>
        <item x="85"/>
        <item x="89"/>
        <item x="116"/>
        <item x="128"/>
        <item x="129"/>
        <item x="179"/>
        <item x="136"/>
        <item x="137"/>
        <item x="138"/>
        <item x="139"/>
        <item x="158"/>
        <item x="141"/>
        <item x="142"/>
        <item x="148"/>
        <item x="145"/>
        <item x="488"/>
        <item x="146"/>
        <item x="147"/>
        <item x="149"/>
        <item x="153"/>
        <item x="156"/>
        <item x="177"/>
        <item x="248"/>
        <item x="249"/>
        <item x="291"/>
        <item x="292"/>
        <item x="293"/>
        <item x="294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9"/>
        <item x="470"/>
        <item x="472"/>
        <item x="473"/>
        <item x="474"/>
        <item x="482"/>
        <item x="479"/>
        <item x="480"/>
        <item x="476"/>
        <item x="477"/>
        <item x="481"/>
        <item x="483"/>
        <item x="484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8"/>
        <item x="519"/>
        <item x="468"/>
        <item x="13"/>
        <item x="56"/>
        <item x="57"/>
        <item x="212"/>
        <item x="213"/>
        <item x="219"/>
        <item x="221"/>
        <item x="143"/>
        <item x="250"/>
        <item x="157"/>
        <item x="165"/>
        <item x="166"/>
        <item x="163"/>
        <item x="164"/>
        <item x="167"/>
        <item x="1"/>
        <item x="5"/>
        <item x="6"/>
        <item x="7"/>
        <item x="9"/>
        <item x="10"/>
        <item x="12"/>
        <item x="15"/>
        <item x="67"/>
        <item x="69"/>
        <item x="70"/>
        <item x="72"/>
        <item x="75"/>
        <item x="78"/>
        <item x="80"/>
        <item x="81"/>
        <item x="82"/>
        <item x="83"/>
        <item x="86"/>
        <item x="87"/>
        <item x="88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4"/>
        <item x="115"/>
        <item x="117"/>
        <item x="118"/>
        <item x="120"/>
        <item x="121"/>
        <item x="122"/>
        <item x="123"/>
        <item x="124"/>
        <item x="125"/>
        <item x="126"/>
        <item x="130"/>
        <item x="131"/>
        <item x="132"/>
        <item x="133"/>
        <item x="134"/>
        <item x="135"/>
        <item x="150"/>
        <item x="151"/>
        <item x="152"/>
        <item x="168"/>
        <item x="174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3"/>
        <item x="204"/>
        <item x="205"/>
        <item x="206"/>
        <item x="207"/>
        <item x="208"/>
        <item x="209"/>
        <item x="210"/>
        <item x="211"/>
        <item x="214"/>
        <item x="215"/>
        <item x="216"/>
        <item x="217"/>
        <item x="218"/>
        <item x="220"/>
        <item x="222"/>
        <item x="223"/>
        <item x="227"/>
        <item x="478"/>
        <item x="489"/>
        <item x="490"/>
        <item x="495"/>
        <item x="496"/>
        <item x="517"/>
        <item x="202"/>
        <item x="58"/>
        <item x="306"/>
        <item x="307"/>
        <item x="232"/>
        <item x="235"/>
        <item x="35"/>
        <item x="61"/>
        <item x="51"/>
        <item x="475"/>
        <item x="471"/>
        <item x="20"/>
        <item x="79"/>
        <item x="224"/>
        <item x="241"/>
        <item x="240"/>
        <item x="520"/>
        <item x="236"/>
        <item x="234"/>
        <item x="100"/>
        <item x="119"/>
        <item x="127"/>
        <item x="233"/>
        <item x="237"/>
        <item x="76"/>
        <item x="521"/>
        <item x="226"/>
        <item x="229"/>
        <item x="230"/>
        <item x="231"/>
        <item x="238"/>
        <item x="295"/>
        <item x="296"/>
        <item x="297"/>
        <item x="302"/>
        <item x="298"/>
        <item x="299"/>
        <item x="300"/>
        <item x="308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59"/>
        <item x="160"/>
        <item x="176"/>
        <item x="303"/>
        <item x="305"/>
        <item x="304"/>
        <item x="182"/>
        <item x="180"/>
        <item x="181"/>
        <item x="183"/>
        <item x="186"/>
        <item x="184"/>
        <item x="185"/>
        <item x="155"/>
        <item x="245"/>
        <item x="246"/>
        <item x="251"/>
        <item x="59"/>
        <item x="60"/>
        <item x="263"/>
        <item x="258"/>
        <item x="268"/>
        <item x="63"/>
        <item x="270"/>
        <item x="326"/>
        <item x="264"/>
        <item x="144"/>
        <item x="178"/>
        <item x="272"/>
        <item x="502"/>
        <item x="187"/>
        <item x="175"/>
        <item x="503"/>
        <item x="504"/>
        <item x="327"/>
        <item x="328"/>
        <item x="266"/>
        <item x="267"/>
        <item x="161"/>
        <item x="2"/>
        <item x="14"/>
        <item x="24"/>
        <item x="62"/>
        <item x="170"/>
        <item x="171"/>
        <item x="242"/>
        <item x="253"/>
        <item x="259"/>
        <item x="271"/>
        <item x="485"/>
        <item x="486"/>
        <item x="487"/>
        <item x="491"/>
        <item x="492"/>
        <item x="493"/>
        <item x="494"/>
        <item x="497"/>
        <item x="498"/>
        <item x="499"/>
        <item x="500"/>
        <item x="501"/>
        <item x="252"/>
        <item x="309"/>
        <item x="113"/>
        <item x="261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260"/>
        <item x="25"/>
        <item x="64"/>
        <item x="225"/>
        <item x="228"/>
        <item x="239"/>
        <item x="243"/>
        <item x="244"/>
        <item x="247"/>
        <item x="269"/>
        <item x="274"/>
        <item x="277"/>
        <item x="26"/>
        <item x="329"/>
        <item x="65"/>
        <item x="281"/>
        <item x="169"/>
        <item x="173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275"/>
        <item x="386"/>
        <item x="387"/>
        <item x="388"/>
        <item x="276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40"/>
        <item x="505"/>
        <item x="66"/>
        <item x="172"/>
        <item x="282"/>
        <item x="284"/>
        <item x="285"/>
        <item x="278"/>
        <item x="279"/>
        <item x="280"/>
        <item x="254"/>
        <item x="283"/>
        <item x="255"/>
        <item x="256"/>
        <item x="257"/>
        <item x="301"/>
        <item x="162"/>
        <item x="154"/>
        <item x="286"/>
        <item x="289"/>
        <item x="53"/>
        <item x="262"/>
        <item x="265"/>
        <item x="273"/>
        <item x="287"/>
        <item x="288"/>
        <item x="290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</items>
    </pivotField>
    <pivotField axis="axisRow" showAll="0">
      <items count="463">
        <item x="130"/>
        <item x="324"/>
        <item x="26"/>
        <item x="27"/>
        <item x="24"/>
        <item x="25"/>
        <item x="150"/>
        <item x="44"/>
        <item x="71"/>
        <item x="399"/>
        <item x="396"/>
        <item x="397"/>
        <item x="66"/>
        <item x="82"/>
        <item x="83"/>
        <item x="52"/>
        <item x="69"/>
        <item x="110"/>
        <item x="33"/>
        <item x="49"/>
        <item x="75"/>
        <item x="404"/>
        <item x="72"/>
        <item x="139"/>
        <item x="425"/>
        <item x="423"/>
        <item x="426"/>
        <item x="422"/>
        <item x="434"/>
        <item x="427"/>
        <item x="429"/>
        <item x="400"/>
        <item x="428"/>
        <item x="431"/>
        <item x="430"/>
        <item x="432"/>
        <item x="424"/>
        <item x="21"/>
        <item x="10"/>
        <item x="16"/>
        <item x="17"/>
        <item x="20"/>
        <item x="15"/>
        <item x="19"/>
        <item x="14"/>
        <item x="36"/>
        <item x="37"/>
        <item x="159"/>
        <item x="160"/>
        <item x="325"/>
        <item x="393"/>
        <item x="394"/>
        <item x="31"/>
        <item x="39"/>
        <item x="40"/>
        <item x="30"/>
        <item x="42"/>
        <item x="41"/>
        <item x="29"/>
        <item x="28"/>
        <item x="38"/>
        <item x="45"/>
        <item x="51"/>
        <item x="46"/>
        <item x="2"/>
        <item x="172"/>
        <item x="369"/>
        <item x="370"/>
        <item x="371"/>
        <item x="372"/>
        <item x="373"/>
        <item x="374"/>
        <item x="375"/>
        <item x="362"/>
        <item x="363"/>
        <item x="364"/>
        <item x="365"/>
        <item x="366"/>
        <item x="367"/>
        <item x="368"/>
        <item x="391"/>
        <item x="355"/>
        <item x="356"/>
        <item x="357"/>
        <item x="358"/>
        <item x="359"/>
        <item x="360"/>
        <item x="361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122"/>
        <item x="143"/>
        <item x="123"/>
        <item x="35"/>
        <item x="47"/>
        <item x="3"/>
        <item x="7"/>
        <item x="435"/>
        <item x="142"/>
        <item x="174"/>
        <item x="323"/>
        <item x="320"/>
        <item x="152"/>
        <item x="154"/>
        <item x="314"/>
        <item x="146"/>
        <item x="145"/>
        <item x="234"/>
        <item x="43"/>
        <item x="34"/>
        <item x="87"/>
        <item x="141"/>
        <item x="133"/>
        <item x="168"/>
        <item x="398"/>
        <item x="274"/>
        <item x="275"/>
        <item x="276"/>
        <item x="277"/>
        <item x="147"/>
        <item x="161"/>
        <item x="131"/>
        <item x="140"/>
        <item x="144"/>
        <item x="321"/>
        <item x="322"/>
        <item x="132"/>
        <item x="233"/>
        <item x="313"/>
        <item x="12"/>
        <item x="201"/>
        <item x="202"/>
        <item x="208"/>
        <item x="137"/>
        <item x="0"/>
        <item x="151"/>
        <item x="157"/>
        <item x="158"/>
        <item x="1"/>
        <item x="4"/>
        <item x="5"/>
        <item x="6"/>
        <item x="8"/>
        <item x="9"/>
        <item x="11"/>
        <item x="13"/>
        <item x="64"/>
        <item x="48"/>
        <item x="65"/>
        <item x="67"/>
        <item x="68"/>
        <item x="101"/>
        <item x="107"/>
        <item x="70"/>
        <item x="73"/>
        <item x="76"/>
        <item x="78"/>
        <item x="79"/>
        <item x="80"/>
        <item x="81"/>
        <item x="84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9"/>
        <item x="102"/>
        <item x="104"/>
        <item x="105"/>
        <item x="106"/>
        <item x="108"/>
        <item x="109"/>
        <item x="111"/>
        <item x="112"/>
        <item x="114"/>
        <item x="115"/>
        <item x="117"/>
        <item x="118"/>
        <item x="119"/>
        <item x="120"/>
        <item x="124"/>
        <item x="125"/>
        <item x="126"/>
        <item x="127"/>
        <item x="128"/>
        <item x="129"/>
        <item x="162"/>
        <item x="183"/>
        <item x="184"/>
        <item x="185"/>
        <item x="188"/>
        <item x="189"/>
        <item x="191"/>
        <item x="190"/>
        <item x="192"/>
        <item x="193"/>
        <item x="194"/>
        <item x="195"/>
        <item x="196"/>
        <item x="197"/>
        <item x="198"/>
        <item x="199"/>
        <item x="200"/>
        <item x="203"/>
        <item x="204"/>
        <item x="205"/>
        <item x="206"/>
        <item x="207"/>
        <item x="210"/>
        <item x="211"/>
        <item x="212"/>
        <item x="216"/>
        <item x="235"/>
        <item x="392"/>
        <item x="395"/>
        <item x="405"/>
        <item x="406"/>
        <item x="433"/>
        <item x="209"/>
        <item x="136"/>
        <item x="55"/>
        <item x="135"/>
        <item x="289"/>
        <item x="219"/>
        <item x="53"/>
        <item x="54"/>
        <item x="222"/>
        <item x="32"/>
        <item x="58"/>
        <item x="18"/>
        <item x="77"/>
        <item x="213"/>
        <item x="217"/>
        <item x="226"/>
        <item x="436"/>
        <item x="223"/>
        <item x="221"/>
        <item x="98"/>
        <item x="113"/>
        <item x="121"/>
        <item x="220"/>
        <item x="224"/>
        <item x="74"/>
        <item x="437"/>
        <item x="187"/>
        <item x="100"/>
        <item x="103"/>
        <item x="186"/>
        <item x="116"/>
        <item x="278"/>
        <item x="279"/>
        <item x="280"/>
        <item x="285"/>
        <item x="281"/>
        <item x="282"/>
        <item x="283"/>
        <item x="29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153"/>
        <item x="170"/>
        <item x="215"/>
        <item x="218"/>
        <item x="286"/>
        <item x="288"/>
        <item x="287"/>
        <item x="177"/>
        <item x="175"/>
        <item x="176"/>
        <item x="178"/>
        <item x="181"/>
        <item x="179"/>
        <item x="180"/>
        <item x="149"/>
        <item x="230"/>
        <item x="231"/>
        <item x="236"/>
        <item x="237"/>
        <item x="56"/>
        <item x="57"/>
        <item x="247"/>
        <item x="242"/>
        <item x="252"/>
        <item x="60"/>
        <item x="254"/>
        <item x="309"/>
        <item x="248"/>
        <item x="138"/>
        <item x="173"/>
        <item x="255"/>
        <item x="418"/>
        <item x="182"/>
        <item x="169"/>
        <item x="419"/>
        <item x="420"/>
        <item x="310"/>
        <item x="311"/>
        <item x="250"/>
        <item x="251"/>
        <item x="155"/>
        <item x="164"/>
        <item x="165"/>
        <item x="227"/>
        <item x="243"/>
        <item x="401"/>
        <item x="402"/>
        <item x="403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292"/>
        <item x="245"/>
        <item x="315"/>
        <item x="316"/>
        <item x="317"/>
        <item x="318"/>
        <item x="319"/>
        <item x="244"/>
        <item x="22"/>
        <item x="59"/>
        <item x="61"/>
        <item x="214"/>
        <item x="225"/>
        <item x="228"/>
        <item x="229"/>
        <item x="232"/>
        <item x="253"/>
        <item x="257"/>
        <item x="260"/>
        <item x="261"/>
        <item x="23"/>
        <item x="312"/>
        <item x="62"/>
        <item x="163"/>
        <item x="167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258"/>
        <item x="343"/>
        <item x="259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134"/>
        <item x="171"/>
        <item x="63"/>
        <item x="166"/>
        <item x="265"/>
        <item x="264"/>
        <item x="267"/>
        <item x="268"/>
        <item x="262"/>
        <item x="263"/>
        <item x="238"/>
        <item x="266"/>
        <item x="239"/>
        <item x="240"/>
        <item x="241"/>
        <item x="284"/>
        <item x="156"/>
        <item x="148"/>
        <item x="269"/>
        <item x="272"/>
        <item x="50"/>
        <item x="246"/>
        <item x="249"/>
        <item x="256"/>
        <item x="270"/>
        <item x="271"/>
        <item x="273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290"/>
        <item x="421"/>
        <item x="455"/>
        <item x="456"/>
        <item x="457"/>
        <item x="458"/>
        <item x="459"/>
        <item x="460"/>
        <item x="461"/>
        <item t="default"/>
      </items>
    </pivotField>
    <pivotField axis="axisRow" showAll="0">
      <items count="10">
        <item x="0"/>
        <item x="6"/>
        <item x="1"/>
        <item x="4"/>
        <item x="5"/>
        <item x="3"/>
        <item x="7"/>
        <item x="8"/>
        <item h="1" x="2"/>
        <item t="default"/>
      </items>
    </pivotField>
    <pivotField axis="axisRow" showAll="0">
      <items count="20">
        <item x="1"/>
        <item x="6"/>
        <item x="12"/>
        <item x="7"/>
        <item x="11"/>
        <item x="18"/>
        <item x="9"/>
        <item x="8"/>
        <item x="14"/>
        <item x="0"/>
        <item x="4"/>
        <item x="5"/>
        <item x="10"/>
        <item x="15"/>
        <item x="16"/>
        <item x="17"/>
        <item x="3"/>
        <item x="2"/>
        <item x="13"/>
        <item t="default"/>
      </items>
    </pivotField>
    <pivotField axis="axisRow" outline="0" showAll="0" defaultSubtotal="0">
      <items count="12">
        <item x="10"/>
        <item x="9"/>
        <item x="6"/>
        <item x="2"/>
        <item x="5"/>
        <item x="4"/>
        <item x="1"/>
        <item x="3"/>
        <item x="8"/>
        <item x="0"/>
        <item x="11"/>
        <item x="7"/>
      </items>
    </pivotField>
    <pivotField showAll="0"/>
    <pivotField axis="axisRow" outline="0" showAll="0" defaultSubtotal="0">
      <items count="645">
        <item x="577"/>
        <item x="574"/>
        <item x="575"/>
        <item x="579"/>
        <item x="580"/>
        <item x="581"/>
        <item x="582"/>
        <item x="604"/>
        <item x="605"/>
        <item x="606"/>
        <item x="607"/>
        <item x="608"/>
        <item x="609"/>
        <item x="610"/>
        <item x="612"/>
        <item x="613"/>
        <item x="614"/>
        <item x="616"/>
        <item x="33"/>
        <item x="37"/>
        <item x="40"/>
        <item x="43"/>
        <item x="56"/>
        <item x="62"/>
        <item x="67"/>
        <item x="77"/>
        <item x="111"/>
        <item x="115"/>
        <item x="153"/>
        <item x="41"/>
        <item x="44"/>
        <item x="57"/>
        <item x="38"/>
        <item x="34"/>
        <item x="78"/>
        <item x="154"/>
        <item x="152"/>
        <item x="65"/>
        <item x="60"/>
        <item x="364"/>
        <item x="365"/>
        <item x="366"/>
        <item x="368"/>
        <item x="369"/>
        <item x="372"/>
        <item x="373"/>
        <item x="374"/>
        <item x="0"/>
        <item x="3"/>
        <item x="4"/>
        <item x="8"/>
        <item x="11"/>
        <item x="16"/>
        <item x="17"/>
        <item x="18"/>
        <item x="19"/>
        <item x="21"/>
        <item x="22"/>
        <item x="23"/>
        <item x="27"/>
        <item x="28"/>
        <item x="29"/>
        <item x="30"/>
        <item x="31"/>
        <item x="35"/>
        <item x="39"/>
        <item x="42"/>
        <item x="46"/>
        <item x="47"/>
        <item x="48"/>
        <item x="49"/>
        <item x="50"/>
        <item x="51"/>
        <item x="52"/>
        <item x="53"/>
        <item x="54"/>
        <item x="55"/>
        <item x="58"/>
        <item x="59"/>
        <item x="64"/>
        <item x="69"/>
        <item x="71"/>
        <item x="73"/>
        <item x="75"/>
        <item x="76"/>
        <item x="94"/>
        <item x="97"/>
        <item x="99"/>
        <item x="100"/>
        <item x="103"/>
        <item x="110"/>
        <item x="114"/>
        <item x="120"/>
        <item x="151"/>
        <item x="166"/>
        <item x="167"/>
        <item x="174"/>
        <item x="175"/>
        <item x="177"/>
        <item x="178"/>
        <item x="180"/>
        <item x="182"/>
        <item x="186"/>
        <item x="187"/>
        <item x="188"/>
        <item x="189"/>
        <item x="190"/>
        <item x="191"/>
        <item x="192"/>
        <item x="201"/>
        <item x="204"/>
        <item x="207"/>
        <item x="238"/>
        <item x="240"/>
        <item x="309"/>
        <item x="310"/>
        <item x="362"/>
        <item x="363"/>
        <item x="367"/>
        <item x="371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7"/>
        <item x="568"/>
        <item x="570"/>
        <item x="571"/>
        <item x="572"/>
        <item x="586"/>
        <item x="566"/>
        <item x="13"/>
        <item x="79"/>
        <item x="81"/>
        <item x="273"/>
        <item x="274"/>
        <item x="280"/>
        <item x="282"/>
        <item x="183"/>
        <item x="311"/>
        <item x="315"/>
        <item x="312"/>
        <item x="206"/>
        <item x="214"/>
        <item x="215"/>
        <item x="212"/>
        <item x="213"/>
        <item x="216"/>
        <item x="1"/>
        <item x="5"/>
        <item x="6"/>
        <item x="7"/>
        <item x="9"/>
        <item x="15"/>
        <item x="32"/>
        <item x="36"/>
        <item x="61"/>
        <item x="63"/>
        <item x="66"/>
        <item x="68"/>
        <item x="70"/>
        <item x="93"/>
        <item x="95"/>
        <item x="96"/>
        <item x="137"/>
        <item x="148"/>
        <item x="98"/>
        <item x="101"/>
        <item x="104"/>
        <item x="106"/>
        <item x="107"/>
        <item x="108"/>
        <item x="109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30"/>
        <item x="132"/>
        <item x="133"/>
        <item x="134"/>
        <item x="135"/>
        <item x="143"/>
        <item x="146"/>
        <item x="159"/>
        <item x="161"/>
        <item x="162"/>
        <item x="176"/>
        <item x="181"/>
        <item x="196"/>
        <item x="205"/>
        <item x="234"/>
        <item x="249"/>
        <item x="272"/>
        <item x="279"/>
        <item x="281"/>
        <item x="283"/>
        <item x="284"/>
        <item x="288"/>
        <item x="316"/>
        <item x="578"/>
        <item x="587"/>
        <item x="588"/>
        <item x="593"/>
        <item x="594"/>
        <item x="615"/>
        <item x="72"/>
        <item x="92"/>
        <item x="112"/>
        <item x="113"/>
        <item x="116"/>
        <item x="198"/>
        <item x="370"/>
        <item x="576"/>
        <item x="611"/>
        <item x="617"/>
        <item x="10"/>
        <item x="12"/>
        <item x="129"/>
        <item x="136"/>
        <item x="138"/>
        <item x="139"/>
        <item x="140"/>
        <item x="141"/>
        <item x="142"/>
        <item x="144"/>
        <item x="145"/>
        <item x="147"/>
        <item x="149"/>
        <item x="150"/>
        <item x="155"/>
        <item x="156"/>
        <item x="158"/>
        <item x="160"/>
        <item x="163"/>
        <item x="164"/>
        <item x="168"/>
        <item x="169"/>
        <item x="170"/>
        <item x="171"/>
        <item x="172"/>
        <item x="173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5"/>
        <item x="276"/>
        <item x="277"/>
        <item x="278"/>
        <item x="83"/>
        <item x="386"/>
        <item x="387"/>
        <item x="388"/>
        <item x="293"/>
        <item x="296"/>
        <item x="80"/>
        <item x="82"/>
        <item x="45"/>
        <item x="86"/>
        <item x="569"/>
        <item x="573"/>
        <item x="193"/>
        <item x="217"/>
        <item x="20"/>
        <item x="105"/>
        <item x="285"/>
        <item x="302"/>
        <item x="301"/>
        <item x="618"/>
        <item x="297"/>
        <item x="295"/>
        <item x="131"/>
        <item x="157"/>
        <item x="165"/>
        <item x="298"/>
        <item x="619"/>
        <item x="287"/>
        <item x="290"/>
        <item x="291"/>
        <item x="292"/>
        <item x="299"/>
        <item x="375"/>
        <item x="376"/>
        <item x="377"/>
        <item x="382"/>
        <item x="378"/>
        <item x="379"/>
        <item x="380"/>
        <item x="389"/>
        <item x="393"/>
        <item x="391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208"/>
        <item x="236"/>
        <item x="209"/>
        <item x="102"/>
        <item x="294"/>
        <item x="383"/>
        <item x="385"/>
        <item x="384"/>
        <item x="243"/>
        <item x="241"/>
        <item x="242"/>
        <item x="244"/>
        <item x="247"/>
        <item x="245"/>
        <item x="246"/>
        <item x="203"/>
        <item x="306"/>
        <item x="307"/>
        <item x="317"/>
        <item x="318"/>
        <item x="84"/>
        <item x="85"/>
        <item x="334"/>
        <item x="329"/>
        <item x="339"/>
        <item x="88"/>
        <item x="341"/>
        <item x="412"/>
        <item x="335"/>
        <item x="390"/>
        <item x="392"/>
        <item x="394"/>
        <item x="184"/>
        <item x="239"/>
        <item x="343"/>
        <item x="600"/>
        <item x="248"/>
        <item x="235"/>
        <item x="601"/>
        <item x="602"/>
        <item x="413"/>
        <item x="414"/>
        <item x="337"/>
        <item x="338"/>
        <item x="210"/>
        <item x="2"/>
        <item x="14"/>
        <item x="24"/>
        <item x="87"/>
        <item x="225"/>
        <item x="226"/>
        <item x="303"/>
        <item x="319"/>
        <item x="330"/>
        <item x="342"/>
        <item x="583"/>
        <item x="584"/>
        <item x="585"/>
        <item x="589"/>
        <item x="590"/>
        <item x="591"/>
        <item x="592"/>
        <item x="595"/>
        <item x="596"/>
        <item x="597"/>
        <item x="598"/>
        <item x="599"/>
        <item x="395"/>
        <item x="314"/>
        <item x="332"/>
        <item x="416"/>
        <item x="417"/>
        <item x="418"/>
        <item x="421"/>
        <item x="424"/>
        <item x="428"/>
        <item x="432"/>
        <item x="435"/>
        <item x="436"/>
        <item x="437"/>
        <item x="438"/>
        <item x="439"/>
        <item x="440"/>
        <item x="331"/>
        <item x="25"/>
        <item x="89"/>
        <item x="195"/>
        <item x="286"/>
        <item x="289"/>
        <item x="300"/>
        <item x="304"/>
        <item x="305"/>
        <item x="308"/>
        <item x="340"/>
        <item x="345"/>
        <item x="348"/>
        <item x="349"/>
        <item x="420"/>
        <item x="423"/>
        <item x="425"/>
        <item x="427"/>
        <item x="429"/>
        <item x="431"/>
        <item x="434"/>
        <item x="26"/>
        <item x="419"/>
        <item x="422"/>
        <item x="426"/>
        <item x="430"/>
        <item x="433"/>
        <item x="415"/>
        <item x="200"/>
        <item x="199"/>
        <item x="90"/>
        <item x="219"/>
        <item x="228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346"/>
        <item x="484"/>
        <item x="485"/>
        <item x="486"/>
        <item x="34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179"/>
        <item x="237"/>
        <item x="194"/>
        <item x="603"/>
        <item x="91"/>
        <item x="227"/>
        <item x="350"/>
        <item x="353"/>
        <item x="355"/>
        <item x="352"/>
        <item x="351"/>
        <item x="320"/>
        <item x="354"/>
        <item x="323"/>
        <item x="325"/>
        <item x="327"/>
        <item x="381"/>
        <item x="211"/>
        <item x="356"/>
        <item x="202"/>
        <item x="357"/>
        <item x="360"/>
        <item x="74"/>
        <item x="333"/>
        <item x="336"/>
        <item x="344"/>
        <item x="358"/>
        <item x="359"/>
        <item x="361"/>
        <item x="185"/>
        <item x="197"/>
        <item x="218"/>
        <item x="220"/>
        <item x="221"/>
        <item x="222"/>
        <item x="223"/>
        <item x="224"/>
        <item x="229"/>
        <item x="230"/>
        <item x="231"/>
        <item x="232"/>
        <item x="233"/>
        <item x="313"/>
        <item x="321"/>
        <item x="322"/>
        <item x="324"/>
        <item x="326"/>
        <item x="328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</items>
    </pivotField>
    <pivotField axis="axisRow" outline="0" showAll="0" defaultSubtotal="0">
      <items count="17">
        <item x="5"/>
        <item x="12"/>
        <item x="11"/>
        <item x="13"/>
        <item x="7"/>
        <item x="10"/>
        <item x="16"/>
        <item x="8"/>
        <item x="1"/>
        <item x="6"/>
        <item x="9"/>
        <item x="4"/>
        <item x="2"/>
        <item x="14"/>
        <item x="15"/>
        <item x="0"/>
        <item x="3"/>
      </items>
    </pivotField>
    <pivotField axis="axisRow" outline="0" showAll="0" defaultSubtotal="0">
      <items count="16">
        <item x="8"/>
        <item x="0"/>
        <item x="2"/>
        <item x="1"/>
        <item x="3"/>
        <item x="4"/>
        <item x="5"/>
        <item x="7"/>
        <item x="6"/>
        <item x="11"/>
        <item x="9"/>
        <item x="10"/>
        <item x="15"/>
        <item x="12"/>
        <item x="13"/>
        <item x="14"/>
      </items>
    </pivotField>
    <pivotField showAll="0"/>
    <pivotField showAll="0"/>
    <pivotField axis="axisRow" outline="0" showAll="0" defaultSubtotal="0">
      <items count="246">
        <item x="156"/>
        <item x="184"/>
        <item x="170"/>
        <item x="149"/>
        <item x="168"/>
        <item x="70"/>
        <item x="177"/>
        <item x="152"/>
        <item x="131"/>
        <item x="119"/>
        <item x="163"/>
        <item x="171"/>
        <item x="198"/>
        <item x="55"/>
        <item x="126"/>
        <item x="197"/>
        <item x="151"/>
        <item x="56"/>
        <item x="159"/>
        <item x="5"/>
        <item x="161"/>
        <item x="72"/>
        <item x="130"/>
        <item x="179"/>
        <item x="150"/>
        <item x="10"/>
        <item x="27"/>
        <item x="158"/>
        <item x="185"/>
        <item x="52"/>
        <item x="165"/>
        <item x="186"/>
        <item x="192"/>
        <item x="22"/>
        <item x="157"/>
        <item x="189"/>
        <item x="28"/>
        <item x="195"/>
        <item x="190"/>
        <item x="62"/>
        <item x="125"/>
        <item x="164"/>
        <item x="153"/>
        <item x="29"/>
        <item x="0"/>
        <item x="155"/>
        <item x="154"/>
        <item x="54"/>
        <item x="111"/>
        <item x="173"/>
        <item x="193"/>
        <item x="167"/>
        <item x="9"/>
        <item x="194"/>
        <item x="115"/>
        <item x="172"/>
        <item x="196"/>
        <item x="21"/>
        <item x="191"/>
        <item x="183"/>
        <item x="112"/>
        <item x="7"/>
        <item x="116"/>
        <item x="61"/>
        <item x="181"/>
        <item x="17"/>
        <item x="2"/>
        <item x="180"/>
        <item x="1"/>
        <item x="187"/>
        <item x="113"/>
        <item x="160"/>
        <item x="106"/>
        <item x="188"/>
        <item x="129"/>
        <item x="199"/>
        <item x="162"/>
        <item x="68"/>
        <item x="12"/>
        <item x="176"/>
        <item x="108"/>
        <item x="6"/>
        <item x="169"/>
        <item x="94"/>
        <item x="30"/>
        <item x="166"/>
        <item x="69"/>
        <item x="66"/>
        <item x="174"/>
        <item x="50"/>
        <item x="67"/>
        <item x="127"/>
        <item x="31"/>
        <item x="57"/>
        <item x="14"/>
        <item x="59"/>
        <item x="13"/>
        <item x="11"/>
        <item x="128"/>
        <item x="93"/>
        <item x="37"/>
        <item x="182"/>
        <item x="42"/>
        <item x="175"/>
        <item x="15"/>
        <item x="71"/>
        <item x="65"/>
        <item x="109"/>
        <item x="3"/>
        <item x="18"/>
        <item x="4"/>
        <item x="178"/>
        <item x="87"/>
        <item x="103"/>
        <item x="16"/>
        <item x="114"/>
        <item x="105"/>
        <item x="107"/>
        <item x="140"/>
        <item x="8"/>
        <item x="60"/>
        <item x="41"/>
        <item x="53"/>
        <item x="19"/>
        <item x="44"/>
        <item x="110"/>
        <item x="58"/>
        <item x="148"/>
        <item x="142"/>
        <item x="229"/>
        <item x="73"/>
        <item x="80"/>
        <item x="102"/>
        <item x="51"/>
        <item x="20"/>
        <item x="43"/>
        <item x="117"/>
        <item x="92"/>
        <item x="63"/>
        <item x="135"/>
        <item x="74"/>
        <item x="64"/>
        <item x="141"/>
        <item x="101"/>
        <item x="104"/>
        <item x="89"/>
        <item x="40"/>
        <item x="230"/>
        <item x="81"/>
        <item x="39"/>
        <item x="143"/>
        <item x="217"/>
        <item x="139"/>
        <item x="216"/>
        <item x="75"/>
        <item x="134"/>
        <item x="32"/>
        <item x="76"/>
        <item x="91"/>
        <item x="82"/>
        <item x="90"/>
        <item x="98"/>
        <item x="77"/>
        <item x="144"/>
        <item x="231"/>
        <item x="78"/>
        <item x="88"/>
        <item x="100"/>
        <item x="138"/>
        <item x="226"/>
        <item x="137"/>
        <item x="120"/>
        <item x="118"/>
        <item x="38"/>
        <item x="79"/>
        <item x="145"/>
        <item x="96"/>
        <item x="33"/>
        <item x="146"/>
        <item x="34"/>
        <item x="136"/>
        <item x="26"/>
        <item x="95"/>
        <item x="147"/>
        <item x="132"/>
        <item x="35"/>
        <item x="133"/>
        <item x="47"/>
        <item x="97"/>
        <item x="224"/>
        <item x="99"/>
        <item x="223"/>
        <item x="123"/>
        <item x="25"/>
        <item x="36"/>
        <item x="225"/>
        <item x="45"/>
        <item x="227"/>
        <item x="46"/>
        <item x="24"/>
        <item x="228"/>
        <item x="23"/>
        <item x="124"/>
        <item x="48"/>
        <item x="49"/>
        <item x="83"/>
        <item x="84"/>
        <item x="85"/>
        <item x="86"/>
        <item x="121"/>
        <item x="122"/>
        <item x="215"/>
        <item x="218"/>
        <item x="219"/>
        <item x="220"/>
        <item x="221"/>
        <item x="222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</items>
    </pivotField>
    <pivotField showAll="0"/>
    <pivotField showAll="0"/>
    <pivotField axis="axisRow" outline="0" showAll="0" defaultSubtotal="0">
      <items count="244">
        <item x="156"/>
        <item x="184"/>
        <item x="170"/>
        <item x="149"/>
        <item x="168"/>
        <item x="70"/>
        <item x="177"/>
        <item x="152"/>
        <item x="131"/>
        <item x="119"/>
        <item x="163"/>
        <item x="171"/>
        <item x="198"/>
        <item x="55"/>
        <item x="126"/>
        <item x="197"/>
        <item x="151"/>
        <item x="56"/>
        <item x="159"/>
        <item x="5"/>
        <item x="161"/>
        <item x="72"/>
        <item x="130"/>
        <item x="179"/>
        <item x="150"/>
        <item x="10"/>
        <item x="27"/>
        <item x="158"/>
        <item x="185"/>
        <item x="52"/>
        <item x="165"/>
        <item x="186"/>
        <item x="192"/>
        <item x="22"/>
        <item x="157"/>
        <item x="189"/>
        <item x="28"/>
        <item x="195"/>
        <item x="190"/>
        <item x="62"/>
        <item x="125"/>
        <item x="164"/>
        <item x="153"/>
        <item x="29"/>
        <item x="0"/>
        <item x="155"/>
        <item x="154"/>
        <item x="54"/>
        <item x="111"/>
        <item x="173"/>
        <item x="193"/>
        <item x="167"/>
        <item x="9"/>
        <item x="194"/>
        <item x="115"/>
        <item x="172"/>
        <item x="196"/>
        <item x="21"/>
        <item x="191"/>
        <item x="183"/>
        <item x="112"/>
        <item x="7"/>
        <item x="116"/>
        <item x="61"/>
        <item x="181"/>
        <item x="17"/>
        <item x="2"/>
        <item x="180"/>
        <item x="1"/>
        <item x="187"/>
        <item x="113"/>
        <item x="160"/>
        <item x="106"/>
        <item x="188"/>
        <item x="129"/>
        <item x="199"/>
        <item x="162"/>
        <item x="68"/>
        <item x="12"/>
        <item x="176"/>
        <item x="108"/>
        <item x="6"/>
        <item x="169"/>
        <item x="94"/>
        <item x="30"/>
        <item x="166"/>
        <item x="69"/>
        <item x="66"/>
        <item x="174"/>
        <item x="50"/>
        <item x="67"/>
        <item x="127"/>
        <item x="31"/>
        <item x="57"/>
        <item x="14"/>
        <item x="59"/>
        <item x="13"/>
        <item x="11"/>
        <item x="128"/>
        <item x="93"/>
        <item x="37"/>
        <item x="182"/>
        <item x="42"/>
        <item x="175"/>
        <item x="15"/>
        <item x="71"/>
        <item x="65"/>
        <item x="109"/>
        <item x="18"/>
        <item x="4"/>
        <item x="178"/>
        <item x="87"/>
        <item x="16"/>
        <item x="114"/>
        <item x="105"/>
        <item x="107"/>
        <item x="140"/>
        <item x="8"/>
        <item x="60"/>
        <item x="41"/>
        <item x="53"/>
        <item x="19"/>
        <item x="44"/>
        <item x="110"/>
        <item x="58"/>
        <item x="142"/>
        <item x="73"/>
        <item x="51"/>
        <item x="20"/>
        <item x="43"/>
        <item x="117"/>
        <item x="92"/>
        <item x="63"/>
        <item x="135"/>
        <item x="74"/>
        <item x="64"/>
        <item x="141"/>
        <item x="101"/>
        <item x="104"/>
        <item x="89"/>
        <item x="228"/>
        <item x="81"/>
        <item x="217"/>
        <item x="139"/>
        <item x="216"/>
        <item x="75"/>
        <item x="134"/>
        <item x="76"/>
        <item x="91"/>
        <item x="82"/>
        <item x="90"/>
        <item x="98"/>
        <item x="77"/>
        <item x="144"/>
        <item x="229"/>
        <item x="88"/>
        <item x="100"/>
        <item x="138"/>
        <item x="225"/>
        <item x="137"/>
        <item x="120"/>
        <item x="118"/>
        <item x="79"/>
        <item x="145"/>
        <item x="96"/>
        <item x="146"/>
        <item x="136"/>
        <item x="95"/>
        <item x="147"/>
        <item x="132"/>
        <item x="133"/>
        <item x="47"/>
        <item x="97"/>
        <item x="224"/>
        <item x="99"/>
        <item x="123"/>
        <item x="25"/>
        <item x="45"/>
        <item x="226"/>
        <item x="46"/>
        <item x="227"/>
        <item x="124"/>
        <item x="223"/>
        <item x="3"/>
        <item x="23"/>
        <item x="24"/>
        <item x="26"/>
        <item x="32"/>
        <item x="33"/>
        <item x="34"/>
        <item x="35"/>
        <item x="36"/>
        <item x="38"/>
        <item x="39"/>
        <item x="40"/>
        <item x="78"/>
        <item x="80"/>
        <item x="102"/>
        <item x="103"/>
        <item x="143"/>
        <item x="148"/>
        <item x="48"/>
        <item x="49"/>
        <item x="83"/>
        <item x="84"/>
        <item x="85"/>
        <item x="86"/>
        <item x="121"/>
        <item x="122"/>
        <item x="215"/>
        <item x="218"/>
        <item x="219"/>
        <item x="220"/>
        <item x="221"/>
        <item x="222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</items>
    </pivotField>
    <pivotField axis="axisRow" numFmtId="9" outline="0" showAll="0" defaultSubtotal="0">
      <items count="3">
        <item x="2"/>
        <item x="0"/>
        <item x="1"/>
      </items>
    </pivotField>
    <pivotField showAll="0"/>
    <pivotField numFmtId="4" showAll="0"/>
    <pivotField numFmtId="4" showAll="0"/>
    <pivotField showAll="0"/>
    <pivotField showAll="0"/>
  </pivotFields>
  <rowFields count="12">
    <field x="3"/>
    <field x="4"/>
    <field x="1"/>
    <field x="2"/>
    <field x="0"/>
    <field x="7"/>
    <field x="9"/>
    <field x="8"/>
    <field x="5"/>
    <field x="16"/>
    <field x="12"/>
    <field x="15"/>
  </rowFields>
  <rowItems count="795">
    <i>
      <x/>
    </i>
    <i r="1">
      <x/>
    </i>
    <i r="2">
      <x v="1"/>
      <x v="64"/>
    </i>
    <i r="4">
      <x v="1"/>
      <x v="48"/>
      <x v="1"/>
      <x v="8"/>
      <x v="6"/>
      <x v="1"/>
      <x v="108"/>
      <x v="183"/>
    </i>
    <i r="2">
      <x v="49"/>
      <x v="112"/>
    </i>
    <i r="4">
      <x v="86"/>
      <x v="113"/>
      <x v="1"/>
      <x v="11"/>
      <x v="6"/>
      <x v="1"/>
      <x v="113"/>
      <x v="198"/>
    </i>
    <i r="2">
      <x v="50"/>
      <x/>
    </i>
    <i r="4">
      <x v="69"/>
      <x v="96"/>
      <x v="1"/>
      <x v="8"/>
      <x v="6"/>
      <x v="1"/>
      <x v="120"/>
      <x v="118"/>
    </i>
    <i r="2">
      <x v="65"/>
      <x v="65"/>
    </i>
    <i r="4">
      <x v="85"/>
      <x v="112"/>
      <x v="1"/>
      <x v="8"/>
      <x v="6"/>
      <x v="1"/>
      <x v="132"/>
      <x v="197"/>
    </i>
    <i r="2">
      <x v="339"/>
      <x v="323"/>
    </i>
    <i r="4">
      <x v="401"/>
      <x v="402"/>
      <x v="1"/>
      <x v="8"/>
      <x v="6"/>
      <x v="1"/>
      <x v="137"/>
      <x v="131"/>
    </i>
    <i r="2">
      <x v="340"/>
      <x v="324"/>
    </i>
    <i r="4">
      <x v="402"/>
      <x v="403"/>
      <x v="14"/>
      <x v="16"/>
      <x v="6"/>
      <x v="1"/>
      <x v="97"/>
      <x v="97"/>
    </i>
    <i r="2">
      <x v="344"/>
      <x v="328"/>
    </i>
    <i r="4">
      <x v="406"/>
      <x v="407"/>
      <x v="1"/>
      <x/>
      <x v="6"/>
      <x v="1"/>
      <x v="147"/>
      <x v="140"/>
    </i>
    <i r="1">
      <x v="1"/>
    </i>
    <i r="2">
      <x v="51"/>
      <x v="134"/>
    </i>
    <i r="4">
      <x v="70"/>
      <x v="97"/>
      <x v="5"/>
      <x v="5"/>
      <x v="6"/>
      <x v="1"/>
      <x v="130"/>
      <x v="126"/>
    </i>
    <i r="4">
      <x v="75"/>
      <x v="102"/>
      <x v="3"/>
      <x v="7"/>
      <x v="6"/>
      <x v="1"/>
      <x v="131"/>
      <x v="196"/>
    </i>
    <i r="4">
      <x v="257"/>
      <x v="230"/>
      <x v="6"/>
      <x v="5"/>
      <x v="6"/>
      <x v="1"/>
      <x v="130"/>
      <x v="126"/>
    </i>
    <i r="2">
      <x v="52"/>
      <x v="139"/>
    </i>
    <i r="4">
      <x v="71"/>
      <x v="98"/>
      <x v="1"/>
      <x v="8"/>
      <x v="6"/>
      <x v="1"/>
      <x v="140"/>
      <x v="134"/>
    </i>
    <i r="2">
      <x v="384"/>
      <x v="114"/>
    </i>
    <i r="4">
      <x v="445"/>
      <x v="446"/>
      <x v="1"/>
      <x v="11"/>
      <x v="6"/>
      <x v="1"/>
      <x v="127"/>
      <x v="200"/>
    </i>
    <i r="2">
      <x v="385"/>
      <x v="137"/>
    </i>
    <i r="4">
      <x v="446"/>
      <x v="447"/>
      <x v="1"/>
      <x v="8"/>
      <x v="6"/>
      <x v="1"/>
      <x v="145"/>
      <x v="139"/>
    </i>
    <i r="2">
      <x v="386"/>
      <x v="138"/>
    </i>
    <i r="4">
      <x v="447"/>
      <x v="448"/>
      <x v="1"/>
      <x v="11"/>
      <x v="6"/>
      <x v="1"/>
      <x v="117"/>
      <x v="115"/>
    </i>
    <i r="1">
      <x v="2"/>
    </i>
    <i r="2">
      <x v="151"/>
      <x v="149"/>
    </i>
    <i r="4">
      <x v="183"/>
      <x v="181"/>
      <x v="1"/>
      <x v="8"/>
      <x v="9"/>
      <x v="1"/>
      <x v="86"/>
      <x v="86"/>
    </i>
    <i r="2">
      <x v="152"/>
      <x v="150"/>
    </i>
    <i r="4">
      <x v="184"/>
      <x v="182"/>
      <x v="1"/>
      <x v="8"/>
      <x v="9"/>
      <x v="1"/>
      <x v="99"/>
      <x v="99"/>
    </i>
    <i r="1">
      <x v="3"/>
    </i>
    <i r="2">
      <x v="55"/>
      <x v="242"/>
    </i>
    <i r="4">
      <x v="73"/>
      <x v="100"/>
      <x v="5"/>
      <x v="2"/>
      <x v="9"/>
      <x v="1"/>
      <x v="157"/>
      <x v="147"/>
    </i>
    <i r="4">
      <x v="76"/>
      <x v="103"/>
      <x v="3"/>
      <x v="16"/>
      <x v="9"/>
      <x v="1"/>
      <x v="154"/>
      <x v="145"/>
    </i>
    <i r="4">
      <x v="258"/>
      <x v="231"/>
      <x v="6"/>
      <x v="2"/>
      <x v="9"/>
      <x v="1"/>
      <x v="157"/>
      <x v="147"/>
    </i>
    <i r="2">
      <x v="56"/>
      <x v="240"/>
    </i>
    <i r="4">
      <x v="74"/>
      <x v="101"/>
      <x v="5"/>
      <x v="2"/>
      <x v="9"/>
      <x v="1"/>
      <x v="162"/>
      <x v="152"/>
    </i>
    <i r="2">
      <x v="217"/>
      <x v="207"/>
    </i>
    <i r="4">
      <x v="262"/>
      <x v="324"/>
      <x v="5"/>
      <x v="2"/>
      <x v="9"/>
      <x v="1"/>
      <x v="157"/>
      <x v="147"/>
    </i>
    <i r="4">
      <x v="604"/>
      <x v="603"/>
      <x v="7"/>
      <x v="16"/>
      <x v="9"/>
      <x v="1"/>
      <x v="157"/>
      <x v="147"/>
    </i>
    <i r="2">
      <x v="338"/>
      <x v="322"/>
    </i>
    <i r="4">
      <x v="400"/>
      <x v="401"/>
      <x v="5"/>
      <x v="2"/>
      <x v="9"/>
      <x v="1"/>
      <x v="174"/>
      <x v="162"/>
    </i>
    <i r="4">
      <x v="601"/>
      <x v="601"/>
      <x v="7"/>
      <x v="2"/>
      <x v="9"/>
      <x v="1"/>
      <x v="174"/>
      <x v="162"/>
    </i>
    <i r="1">
      <x v="4"/>
    </i>
    <i r="2">
      <x v="148"/>
      <x v="148"/>
    </i>
    <i r="4">
      <x v="180"/>
      <x v="178"/>
      <x v="1"/>
      <x v="8"/>
      <x v="9"/>
      <x v="1"/>
      <x v="66"/>
      <x v="66"/>
    </i>
    <i r="2">
      <x v="149"/>
      <x v="47"/>
    </i>
    <i r="4">
      <x v="181"/>
      <x v="179"/>
      <x v="1"/>
      <x v="8"/>
      <x v="9"/>
      <x v="1"/>
      <x v="97"/>
      <x v="97"/>
    </i>
    <i r="2">
      <x v="150"/>
      <x v="48"/>
    </i>
    <i r="4">
      <x v="182"/>
      <x v="180"/>
      <x v="1"/>
      <x v="8"/>
      <x v="9"/>
      <x v="1"/>
      <x v="83"/>
      <x v="83"/>
    </i>
    <i r="1">
      <x v="5"/>
    </i>
    <i r="2">
      <x v="387"/>
      <x v="113"/>
    </i>
    <i r="4">
      <x v="448"/>
      <x v="449"/>
      <x v="1"/>
      <x v="8"/>
      <x v="6"/>
      <x v="1"/>
      <x v="131"/>
      <x v="196"/>
    </i>
    <i r="2">
      <x v="388"/>
      <x v="1"/>
    </i>
    <i r="4">
      <x v="449"/>
      <x v="450"/>
      <x v="1"/>
      <x v="8"/>
      <x v="6"/>
      <x v="1"/>
      <x v="142"/>
      <x v="136"/>
    </i>
    <i r="1">
      <x v="6"/>
    </i>
    <i r="2">
      <x v="63"/>
      <x v="132"/>
    </i>
    <i r="4">
      <x v="82"/>
      <x v="109"/>
      <x v="1"/>
      <x v="5"/>
      <x v="6"/>
      <x v="1"/>
      <x v="148"/>
      <x v="141"/>
    </i>
    <i r="2">
      <x v="153"/>
      <x v="133"/>
    </i>
    <i r="4">
      <x v="185"/>
      <x v="183"/>
      <x v="5"/>
      <x v="7"/>
      <x v="9"/>
      <x v="1"/>
      <x v="99"/>
      <x v="99"/>
    </i>
    <i r="2">
      <x v="325"/>
      <x v="308"/>
    </i>
    <i r="4">
      <x v="383"/>
      <x v="384"/>
      <x v="1"/>
      <x v="11"/>
      <x v="9"/>
      <x v="1"/>
      <x v="96"/>
      <x v="96"/>
    </i>
    <i r="2">
      <x v="328"/>
      <x v="311"/>
    </i>
    <i r="4">
      <x v="386"/>
      <x v="387"/>
      <x v="1"/>
      <x v="13"/>
      <x v="9"/>
      <x v="1"/>
      <x v="96"/>
      <x v="96"/>
    </i>
    <i r="2">
      <x v="332"/>
      <x v="316"/>
    </i>
    <i r="4">
      <x v="391"/>
      <x v="392"/>
      <x v="1"/>
      <x v="8"/>
      <x v="6"/>
      <x v="1"/>
      <x v="110"/>
      <x v="109"/>
    </i>
    <i r="2">
      <x v="358"/>
      <x v="312"/>
    </i>
    <i r="4">
      <x v="420"/>
      <x v="421"/>
      <x v="1"/>
      <x v="11"/>
      <x v="9"/>
      <x v="1"/>
      <x v="107"/>
      <x v="107"/>
    </i>
    <i r="2">
      <x v="373"/>
      <x v="312"/>
    </i>
    <i r="4">
      <x v="387"/>
      <x v="388"/>
      <x v="1"/>
      <x v="11"/>
      <x v="9"/>
      <x v="1"/>
      <x v="107"/>
      <x v="107"/>
    </i>
    <i r="2">
      <x v="389"/>
      <x v="49"/>
    </i>
    <i r="4">
      <x v="450"/>
      <x v="451"/>
      <x v="1"/>
      <x v="11"/>
      <x v="6"/>
      <x v="1"/>
      <x v="135"/>
      <x v="129"/>
    </i>
    <i r="2">
      <x v="512"/>
      <x v="426"/>
    </i>
    <i r="4">
      <x v="589"/>
      <x v="591"/>
      <x v="1"/>
      <x v="8"/>
      <x v="6"/>
      <x v="1"/>
      <x v="112"/>
      <x v="111"/>
    </i>
    <i r="1">
      <x v="7"/>
    </i>
    <i r="2">
      <x v="146"/>
      <x v="146"/>
    </i>
    <i r="4">
      <x v="176"/>
      <x v="174"/>
      <x v="1"/>
      <x v="16"/>
      <x v="6"/>
      <x v="1"/>
      <x v="165"/>
      <x v="195"/>
    </i>
    <i r="2">
      <x v="377"/>
      <x v="141"/>
    </i>
    <i r="4">
      <x v="438"/>
      <x v="439"/>
      <x v="1"/>
      <x v="8"/>
      <x v="6"/>
      <x v="1"/>
      <x v="138"/>
      <x v="132"/>
    </i>
    <i r="2">
      <x v="378"/>
      <x v="117"/>
    </i>
    <i r="4">
      <x v="439"/>
      <x v="440"/>
      <x v="1"/>
      <x v="3"/>
      <x v="6"/>
      <x v="1"/>
      <x v="150"/>
      <x v="199"/>
    </i>
    <i r="2">
      <x v="379"/>
      <x v="355"/>
    </i>
    <i r="4">
      <x v="440"/>
      <x v="441"/>
      <x v="5"/>
      <x v="2"/>
      <x v="8"/>
      <x v="1"/>
      <x v="158"/>
      <x v="148"/>
    </i>
    <i r="4">
      <x v="463"/>
      <x v="466"/>
      <x v="10"/>
      <x v="2"/>
      <x v="8"/>
      <x v="1"/>
      <x v="158"/>
      <x v="148"/>
    </i>
    <i r="4">
      <x v="471"/>
      <x v="474"/>
      <x v="7"/>
      <x v="2"/>
      <x v="8"/>
      <x v="1"/>
      <x v="158"/>
      <x v="148"/>
    </i>
    <i r="2">
      <x v="380"/>
      <x v="356"/>
    </i>
    <i r="4">
      <x v="441"/>
      <x v="442"/>
      <x v="5"/>
      <x v="2"/>
      <x v="8"/>
      <x v="1"/>
      <x v="163"/>
      <x v="153"/>
    </i>
    <i r="4">
      <x v="464"/>
      <x v="467"/>
      <x v="10"/>
      <x v="2"/>
      <x v="8"/>
      <x v="1"/>
      <x v="163"/>
      <x v="153"/>
    </i>
    <i r="4">
      <x v="472"/>
      <x v="475"/>
      <x v="7"/>
      <x v="2"/>
      <x v="8"/>
      <x v="1"/>
      <x v="163"/>
      <x v="153"/>
    </i>
    <i r="2">
      <x v="381"/>
      <x v="357"/>
    </i>
    <i r="4">
      <x v="442"/>
      <x v="443"/>
      <x v="5"/>
      <x v="2"/>
      <x v="8"/>
      <x v="1"/>
      <x v="175"/>
      <x v="163"/>
    </i>
    <i r="4">
      <x v="465"/>
      <x v="468"/>
      <x v="12"/>
      <x v="2"/>
      <x v="8"/>
      <x v="1"/>
      <x v="175"/>
      <x v="163"/>
    </i>
    <i r="4">
      <x v="466"/>
      <x v="469"/>
      <x v="10"/>
      <x v="2"/>
      <x v="8"/>
      <x v="1"/>
      <x v="175"/>
      <x v="163"/>
    </i>
    <i r="4">
      <x v="473"/>
      <x v="476"/>
      <x v="6"/>
      <x v="2"/>
      <x v="8"/>
      <x v="1"/>
      <x v="175"/>
      <x v="163"/>
    </i>
    <i r="2">
      <x v="382"/>
      <x v="358"/>
    </i>
    <i r="4">
      <x v="443"/>
      <x v="444"/>
      <x v="5"/>
      <x v="2"/>
      <x v="8"/>
      <x v="1"/>
      <x v="178"/>
      <x v="165"/>
    </i>
    <i r="4">
      <x v="467"/>
      <x v="470"/>
      <x v="12"/>
      <x v="2"/>
      <x v="8"/>
      <x v="1"/>
      <x v="178"/>
      <x v="165"/>
    </i>
    <i r="4">
      <x v="468"/>
      <x v="471"/>
      <x v="10"/>
      <x v="2"/>
      <x v="8"/>
      <x v="1"/>
      <x v="178"/>
      <x v="165"/>
    </i>
    <i r="4">
      <x v="474"/>
      <x v="477"/>
      <x v="6"/>
      <x v="2"/>
      <x v="8"/>
      <x v="1"/>
      <x v="178"/>
      <x v="165"/>
    </i>
    <i r="2">
      <x v="383"/>
      <x v="359"/>
    </i>
    <i r="4">
      <x v="444"/>
      <x v="445"/>
      <x v="5"/>
      <x v="1"/>
      <x v="8"/>
      <x v="1"/>
      <x v="183"/>
      <x v="168"/>
    </i>
    <i r="4">
      <x v="469"/>
      <x v="472"/>
      <x v="10"/>
      <x v="1"/>
      <x v="8"/>
      <x v="1"/>
      <x v="183"/>
      <x v="168"/>
    </i>
    <i r="4">
      <x v="475"/>
      <x v="478"/>
      <x v="7"/>
      <x v="1"/>
      <x v="8"/>
      <x v="1"/>
      <x v="183"/>
      <x v="168"/>
    </i>
    <i r="1">
      <x v="9"/>
    </i>
    <i r="2">
      <x/>
      <x v="147"/>
    </i>
    <i r="4">
      <x/>
      <x v="47"/>
      <x v="1"/>
      <x v="15"/>
      <x v="9"/>
      <x v="1"/>
      <x v="44"/>
      <x v="44"/>
    </i>
    <i r="2">
      <x v="4"/>
      <x v="44"/>
    </i>
    <i r="4">
      <x v="5"/>
      <x v="52"/>
      <x v="1"/>
      <x v="11"/>
      <x v="6"/>
      <x v="1"/>
      <x v="81"/>
      <x v="81"/>
    </i>
    <i r="2">
      <x v="5"/>
      <x v="42"/>
    </i>
    <i r="4">
      <x v="6"/>
      <x v="53"/>
      <x v="1"/>
      <x v="11"/>
      <x v="6"/>
      <x v="1"/>
      <x v="94"/>
      <x v="94"/>
    </i>
    <i r="2">
      <x v="6"/>
      <x v="39"/>
    </i>
    <i r="4">
      <x v="7"/>
      <x v="54"/>
      <x v="1"/>
      <x v="8"/>
      <x v="6"/>
      <x v="1"/>
      <x v="104"/>
      <x v="104"/>
    </i>
    <i r="2">
      <x v="7"/>
      <x v="40"/>
    </i>
    <i r="4">
      <x v="8"/>
      <x v="55"/>
      <x v="1"/>
      <x v="8"/>
      <x v="6"/>
      <x v="1"/>
      <x v="114"/>
      <x v="112"/>
    </i>
    <i r="2">
      <x v="8"/>
      <x v="38"/>
    </i>
    <i r="4">
      <x v="4"/>
      <x v="51"/>
      <x v="1"/>
      <x v="11"/>
      <x v="6"/>
      <x v="1"/>
      <x v="97"/>
      <x v="97"/>
    </i>
    <i r="2">
      <x v="9"/>
      <x v="43"/>
    </i>
    <i r="4">
      <x v="9"/>
      <x v="56"/>
      <x v="1"/>
      <x v="8"/>
      <x v="6"/>
      <x v="1"/>
      <x v="109"/>
      <x v="108"/>
    </i>
    <i r="2">
      <x v="10"/>
      <x v="41"/>
    </i>
    <i r="4">
      <x v="10"/>
      <x v="57"/>
      <x v="1"/>
      <x v="8"/>
      <x v="6"/>
      <x v="1"/>
      <x v="123"/>
      <x v="121"/>
    </i>
    <i r="2">
      <x v="11"/>
      <x v="37"/>
    </i>
    <i r="4">
      <x v="11"/>
      <x v="58"/>
      <x v="1"/>
      <x v="8"/>
      <x v="6"/>
      <x v="1"/>
      <x v="134"/>
      <x v="128"/>
    </i>
    <i r="2">
      <x v="139"/>
      <x v="142"/>
    </i>
    <i r="4">
      <x v="169"/>
      <x v="167"/>
      <x v="1"/>
      <x v="8"/>
      <x v="6"/>
      <x v="1"/>
      <x v="96"/>
      <x v="96"/>
    </i>
    <i r="2">
      <x v="154"/>
      <x v="151"/>
    </i>
    <i r="4">
      <x v="186"/>
      <x v="184"/>
      <x v="1"/>
      <x v="15"/>
      <x v="6"/>
      <x v="1"/>
      <x v="68"/>
      <x v="68"/>
    </i>
    <i r="2">
      <x v="351"/>
      <x v="151"/>
    </i>
    <i r="4">
      <x v="413"/>
      <x v="414"/>
      <x v="1"/>
      <x v="15"/>
      <x v="6"/>
      <x v="1"/>
      <x v="66"/>
      <x v="66"/>
    </i>
    <i r="2">
      <x v="352"/>
      <x v="142"/>
    </i>
    <i r="4">
      <x v="414"/>
      <x v="415"/>
      <x v="1"/>
      <x v="8"/>
      <x v="6"/>
      <x v="1"/>
      <x v="96"/>
      <x v="96"/>
    </i>
    <i r="2">
      <x v="353"/>
      <x v="37"/>
    </i>
    <i r="4">
      <x v="415"/>
      <x v="416"/>
      <x v="1"/>
      <x v="8"/>
      <x v="6"/>
      <x v="1"/>
      <x v="134"/>
      <x v="128"/>
    </i>
    <i r="1">
      <x v="10"/>
    </i>
    <i r="2">
      <x v="16"/>
      <x v="63"/>
    </i>
    <i r="4">
      <x v="42"/>
      <x v="80"/>
      <x v="1"/>
      <x/>
      <x v="6"/>
      <x v="1"/>
      <x v="146"/>
      <x v="194"/>
    </i>
    <i r="4">
      <x v="43"/>
      <x v="196"/>
      <x v="2"/>
      <x/>
      <x v="6"/>
      <x v="1"/>
      <x v="146"/>
      <x v="194"/>
    </i>
    <i r="2">
      <x v="17"/>
      <x v="61"/>
    </i>
    <i r="4">
      <x v="39"/>
      <x v="79"/>
      <x v="5"/>
      <x/>
      <x v="6"/>
      <x v="1"/>
      <x v="149"/>
      <x v="193"/>
    </i>
    <i r="4">
      <x v="40"/>
      <x v="37"/>
      <x v="4"/>
      <x/>
      <x v="6"/>
      <x v="1"/>
      <x v="149"/>
      <x v="193"/>
    </i>
    <i r="4">
      <x v="41"/>
      <x v="195"/>
      <x v="2"/>
      <x/>
      <x v="6"/>
      <x v="1"/>
      <x v="149"/>
      <x v="193"/>
    </i>
    <i r="4">
      <x v="199"/>
      <x v="194"/>
      <x v="6"/>
      <x v="16"/>
      <x v="6"/>
      <x v="1"/>
      <x v="149"/>
      <x v="193"/>
    </i>
    <i r="4">
      <x v="371"/>
      <x v="24"/>
      <x v="8"/>
      <x/>
      <x v="6"/>
      <x v="1"/>
      <x v="149"/>
      <x v="193"/>
    </i>
    <i r="2">
      <x v="18"/>
      <x v="7"/>
    </i>
    <i r="4">
      <x v="36"/>
      <x v="78"/>
      <x v="5"/>
      <x/>
      <x v="6"/>
      <x v="1"/>
      <x v="173"/>
      <x v="192"/>
    </i>
    <i r="4">
      <x v="37"/>
      <x v="38"/>
      <x v="4"/>
      <x/>
      <x v="6"/>
      <x v="1"/>
      <x v="173"/>
      <x v="192"/>
    </i>
    <i r="4">
      <x v="38"/>
      <x v="193"/>
      <x v="2"/>
      <x/>
      <x v="6"/>
      <x v="1"/>
      <x v="173"/>
      <x v="192"/>
    </i>
    <i r="4">
      <x v="198"/>
      <x v="192"/>
      <x v="6"/>
      <x v="16"/>
      <x v="6"/>
      <x v="1"/>
      <x v="173"/>
      <x v="192"/>
    </i>
    <i r="4">
      <x v="370"/>
      <x v="23"/>
      <x v="8"/>
      <x/>
      <x v="6"/>
      <x v="1"/>
      <x v="173"/>
      <x v="192"/>
    </i>
    <i r="2">
      <x v="19"/>
      <x v="56"/>
    </i>
    <i r="4">
      <x v="33"/>
      <x v="76"/>
      <x v="5"/>
      <x/>
      <x v="6"/>
      <x v="1"/>
      <x v="194"/>
      <x v="191"/>
    </i>
    <i r="4">
      <x v="34"/>
      <x v="31"/>
      <x v="2"/>
      <x/>
      <x v="6"/>
      <x v="1"/>
      <x v="194"/>
      <x v="191"/>
    </i>
    <i r="4">
      <x v="369"/>
      <x v="22"/>
      <x v="8"/>
      <x v="16"/>
      <x v="6"/>
      <x v="1"/>
      <x v="194"/>
      <x v="191"/>
    </i>
    <i r="2">
      <x v="20"/>
      <x v="52"/>
    </i>
    <i r="4">
      <x v="22"/>
      <x v="66"/>
      <x v="5"/>
      <x/>
      <x v="6"/>
      <x v="1"/>
      <x v="181"/>
      <x v="186"/>
    </i>
    <i r="4">
      <x v="23"/>
      <x v="30"/>
      <x v="2"/>
      <x/>
      <x v="6"/>
      <x v="1"/>
      <x v="181"/>
      <x v="186"/>
    </i>
    <i r="4">
      <x v="368"/>
      <x v="21"/>
      <x v="8"/>
      <x v="16"/>
      <x v="6"/>
      <x v="1"/>
      <x v="181"/>
      <x v="186"/>
    </i>
    <i r="2">
      <x v="21"/>
      <x v="55"/>
    </i>
    <i r="4">
      <x v="20"/>
      <x v="65"/>
      <x v="5"/>
      <x/>
      <x v="6"/>
      <x v="1"/>
      <x v="193"/>
      <x v="176"/>
    </i>
    <i r="4">
      <x v="21"/>
      <x v="29"/>
      <x v="2"/>
      <x/>
      <x v="6"/>
      <x v="1"/>
      <x v="193"/>
      <x v="176"/>
    </i>
    <i r="4">
      <x v="367"/>
      <x v="20"/>
      <x v="8"/>
      <x/>
      <x v="6"/>
      <x v="1"/>
      <x v="193"/>
      <x v="176"/>
    </i>
    <i r="2">
      <x v="22"/>
      <x v="58"/>
    </i>
    <i r="4">
      <x v="18"/>
      <x v="64"/>
      <x v="5"/>
      <x/>
      <x v="6"/>
      <x v="1"/>
      <x v="199"/>
      <x v="185"/>
    </i>
    <i r="4">
      <x v="19"/>
      <x v="32"/>
      <x v="2"/>
      <x/>
      <x v="6"/>
      <x v="1"/>
      <x v="199"/>
      <x v="185"/>
    </i>
    <i r="4">
      <x v="195"/>
      <x v="191"/>
      <x v="6"/>
      <x v="16"/>
      <x v="6"/>
      <x v="1"/>
      <x v="199"/>
      <x v="185"/>
    </i>
    <i r="4">
      <x v="366"/>
      <x v="19"/>
      <x v="8"/>
      <x/>
      <x v="6"/>
      <x v="1"/>
      <x v="199"/>
      <x v="185"/>
    </i>
    <i r="2">
      <x v="23"/>
      <x v="59"/>
    </i>
    <i r="4">
      <x v="16"/>
      <x v="63"/>
      <x v="5"/>
      <x/>
      <x v="6"/>
      <x v="1"/>
      <x v="201"/>
      <x v="184"/>
    </i>
    <i r="4">
      <x v="17"/>
      <x v="33"/>
      <x v="2"/>
      <x/>
      <x v="6"/>
      <x v="1"/>
      <x v="201"/>
      <x v="184"/>
    </i>
    <i r="4">
      <x v="194"/>
      <x v="190"/>
      <x v="6"/>
      <x v="16"/>
      <x v="6"/>
      <x v="1"/>
      <x v="201"/>
      <x v="184"/>
    </i>
    <i r="4">
      <x v="365"/>
      <x v="18"/>
      <x v="8"/>
      <x/>
      <x v="6"/>
      <x v="1"/>
      <x v="201"/>
      <x v="184"/>
    </i>
    <i r="2">
      <x v="24"/>
      <x v="60"/>
    </i>
    <i r="4">
      <x v="29"/>
      <x v="72"/>
      <x v="1"/>
      <x/>
      <x v="6"/>
      <x v="1"/>
      <x v="156"/>
      <x v="187"/>
    </i>
    <i r="2">
      <x v="25"/>
      <x v="53"/>
    </i>
    <i r="4">
      <x v="30"/>
      <x v="73"/>
      <x v="1"/>
      <x/>
      <x v="6"/>
      <x v="1"/>
      <x v="177"/>
      <x v="188"/>
    </i>
    <i r="2">
      <x v="26"/>
      <x v="54"/>
    </i>
    <i r="4">
      <x v="31"/>
      <x v="74"/>
      <x v="1"/>
      <x/>
      <x v="6"/>
      <x v="1"/>
      <x v="179"/>
      <x v="189"/>
    </i>
    <i r="2">
      <x v="27"/>
      <x v="57"/>
    </i>
    <i r="4">
      <x v="32"/>
      <x v="75"/>
      <x v="1"/>
      <x/>
      <x v="6"/>
      <x v="1"/>
      <x v="185"/>
      <x v="190"/>
    </i>
    <i r="2">
      <x v="28"/>
      <x v="121"/>
    </i>
    <i r="4">
      <x v="35"/>
      <x v="77"/>
      <x v="5"/>
      <x/>
      <x v="6"/>
      <x v="1"/>
      <x v="100"/>
      <x v="100"/>
    </i>
    <i r="2">
      <x v="29"/>
      <x v="62"/>
    </i>
    <i r="4">
      <x v="46"/>
      <x v="83"/>
      <x v="1"/>
      <x/>
      <x v="6"/>
      <x v="1"/>
      <x v="135"/>
      <x v="129"/>
    </i>
    <i r="2">
      <x v="354"/>
      <x v="362"/>
    </i>
    <i r="4">
      <x v="416"/>
      <x v="417"/>
      <x v="1"/>
      <x/>
      <x v="6"/>
      <x v="1"/>
      <x v="133"/>
      <x v="127"/>
    </i>
    <i r="2">
      <x v="404"/>
      <x v="375"/>
    </i>
    <i r="4">
      <x v="480"/>
      <x v="482"/>
      <x v="1"/>
      <x v="16"/>
      <x v="6"/>
      <x v="1"/>
      <x v="122"/>
      <x v="120"/>
    </i>
    <i r="2">
      <x v="497"/>
      <x v="411"/>
    </i>
    <i r="4">
      <x v="574"/>
      <x v="576"/>
      <x v="1"/>
      <x v="16"/>
      <x v="6"/>
      <x v="1"/>
      <x v="102"/>
      <x v="102"/>
    </i>
    <i r="1">
      <x v="11"/>
    </i>
    <i r="2">
      <x v="140"/>
      <x v="245"/>
    </i>
    <i r="4">
      <x v="170"/>
      <x v="168"/>
      <x v="5"/>
      <x/>
      <x v="7"/>
      <x v="1"/>
      <x v="196"/>
      <x v="177"/>
    </i>
    <i r="4">
      <x v="311"/>
      <x v="317"/>
      <x v="7"/>
      <x/>
      <x v="7"/>
      <x v="1"/>
      <x v="196"/>
      <x v="177"/>
    </i>
    <i r="2">
      <x v="141"/>
      <x v="246"/>
    </i>
    <i r="4">
      <x v="171"/>
      <x v="169"/>
      <x v="5"/>
      <x/>
      <x v="7"/>
      <x v="1"/>
      <x v="198"/>
      <x v="179"/>
    </i>
    <i r="4">
      <x v="312"/>
      <x v="318"/>
      <x v="7"/>
      <x/>
      <x v="7"/>
      <x v="1"/>
      <x v="198"/>
      <x v="179"/>
    </i>
    <i r="2">
      <x v="368"/>
      <x v="348"/>
    </i>
    <i r="4">
      <x v="430"/>
      <x v="431"/>
      <x v="1"/>
      <x/>
      <x v="7"/>
      <x v="1"/>
      <x v="197"/>
      <x v="178"/>
    </i>
    <i r="2">
      <x v="369"/>
      <x v="349"/>
    </i>
    <i r="4">
      <x v="431"/>
      <x v="432"/>
      <x v="1"/>
      <x/>
      <x v="7"/>
      <x v="1"/>
      <x v="200"/>
      <x v="180"/>
    </i>
    <i r="1">
      <x v="12"/>
    </i>
    <i r="2">
      <x v="64"/>
      <x v="6"/>
    </i>
    <i r="4">
      <x v="83"/>
      <x v="110"/>
      <x v="5"/>
      <x v="2"/>
      <x v="9"/>
      <x v="1"/>
      <x v="166"/>
      <x v="155"/>
    </i>
    <i r="4">
      <x v="603"/>
      <x v="233"/>
      <x v="7"/>
      <x v="2"/>
      <x v="9"/>
      <x v="1"/>
      <x v="166"/>
      <x v="155"/>
    </i>
    <i r="1">
      <x v="16"/>
    </i>
    <i r="2">
      <x v="541"/>
      <x v="328"/>
    </i>
    <i r="4">
      <x v="640"/>
      <x v="639"/>
      <x v="1"/>
      <x v="16"/>
      <x v="6"/>
      <x v="1"/>
      <x v="142"/>
      <x v="136"/>
    </i>
    <i r="1">
      <x v="18"/>
    </i>
    <i r="2">
      <x v="505"/>
      <x v="419"/>
    </i>
    <i r="4">
      <x v="582"/>
      <x v="583"/>
      <x v="13"/>
      <x v="16"/>
      <x v="7"/>
      <x v="1"/>
      <x v="192"/>
      <x v="175"/>
    </i>
    <i r="4">
      <x v="616"/>
      <x v="615"/>
      <x v="7"/>
      <x v="16"/>
      <x v="7"/>
      <x v="1"/>
      <x v="192"/>
      <x v="175"/>
    </i>
    <i r="4">
      <x v="617"/>
      <x v="616"/>
      <x v="3"/>
      <x v="16"/>
      <x v="7"/>
      <x v="1"/>
      <x v="192"/>
      <x v="175"/>
    </i>
    <i r="2">
      <x v="507"/>
      <x v="421"/>
    </i>
    <i r="4">
      <x v="584"/>
      <x v="585"/>
      <x v="13"/>
      <x v="16"/>
      <x v="11"/>
      <x v="2"/>
      <x v="202"/>
      <x v="181"/>
    </i>
    <i r="4">
      <x v="618"/>
      <x v="617"/>
      <x v="7"/>
      <x v="16"/>
      <x v="11"/>
      <x v="2"/>
      <x v="202"/>
      <x v="181"/>
    </i>
    <i r="2">
      <x v="508"/>
      <x v="422"/>
    </i>
    <i r="4">
      <x v="585"/>
      <x v="586"/>
      <x v="13"/>
      <x v="16"/>
      <x v="11"/>
      <x v="2"/>
      <x v="202"/>
      <x v="181"/>
    </i>
    <i r="4">
      <x v="619"/>
      <x v="618"/>
      <x v="7"/>
      <x v="16"/>
      <x v="11"/>
      <x v="2"/>
      <x v="202"/>
      <x v="181"/>
    </i>
    <i r="2">
      <x v="509"/>
      <x v="423"/>
    </i>
    <i r="4">
      <x v="586"/>
      <x v="587"/>
      <x v="13"/>
      <x v="16"/>
      <x v="11"/>
      <x v="2"/>
      <x v="202"/>
      <x v="181"/>
    </i>
    <i r="4">
      <x v="620"/>
      <x v="619"/>
      <x v="7"/>
      <x v="16"/>
      <x v="11"/>
      <x v="2"/>
      <x v="202"/>
      <x v="181"/>
    </i>
    <i>
      <x v="1"/>
    </i>
    <i r="1">
      <x v="7"/>
    </i>
    <i r="2">
      <x v="288"/>
      <x v="270"/>
    </i>
    <i r="4">
      <x v="337"/>
      <x v="343"/>
      <x v="1"/>
      <x v="3"/>
      <x v="2"/>
      <x v="1"/>
      <x v="145"/>
      <x v="139"/>
    </i>
    <i r="2">
      <x v="289"/>
      <x v="271"/>
    </i>
    <i r="4">
      <x v="338"/>
      <x v="344"/>
      <x v="1"/>
      <x v="2"/>
      <x v="2"/>
      <x v="1"/>
      <x v="171"/>
      <x v="160"/>
    </i>
    <i r="2">
      <x v="290"/>
      <x v="272"/>
    </i>
    <i r="4">
      <x v="339"/>
      <x v="345"/>
      <x v="1"/>
      <x v="1"/>
      <x v="2"/>
      <x v="1"/>
      <x v="184"/>
      <x v="169"/>
    </i>
    <i r="1">
      <x v="8"/>
    </i>
    <i r="2">
      <x v="291"/>
      <x v="273"/>
    </i>
    <i r="4">
      <x v="340"/>
      <x v="346"/>
      <x v="1"/>
      <x v="2"/>
      <x v="2"/>
      <x v="1"/>
      <x v="170"/>
      <x v="159"/>
    </i>
    <i r="2">
      <x v="292"/>
      <x v="274"/>
    </i>
    <i r="4">
      <x v="341"/>
      <x v="347"/>
      <x v="1"/>
      <x v="1"/>
      <x v="2"/>
      <x v="1"/>
      <x v="186"/>
      <x v="170"/>
    </i>
    <i r="1">
      <x v="13"/>
    </i>
    <i r="2">
      <x v="293"/>
      <x v="275"/>
    </i>
    <i r="4">
      <x v="342"/>
      <x v="348"/>
      <x v="1"/>
      <x v="2"/>
      <x v="2"/>
      <x v="1"/>
      <x v="155"/>
      <x v="146"/>
    </i>
    <i r="2">
      <x v="294"/>
      <x v="276"/>
    </i>
    <i r="4">
      <x v="343"/>
      <x v="349"/>
      <x v="1"/>
      <x v="5"/>
      <x v="2"/>
      <x v="1"/>
      <x v="139"/>
      <x v="133"/>
    </i>
    <i r="1">
      <x v="14"/>
    </i>
    <i r="2">
      <x v="510"/>
      <x v="424"/>
    </i>
    <i r="4">
      <x v="587"/>
      <x v="588"/>
      <x v="1"/>
      <x v="16"/>
      <x v="2"/>
      <x v="1"/>
      <x v="180"/>
      <x v="166"/>
    </i>
    <i r="1">
      <x v="15"/>
    </i>
    <i r="2">
      <x v="296"/>
      <x v="278"/>
    </i>
    <i r="4">
      <x v="347"/>
      <x v="353"/>
      <x v="1"/>
      <x v="11"/>
      <x v="2"/>
      <x v="1"/>
      <x v="52"/>
      <x v="52"/>
    </i>
    <i r="2">
      <x v="297"/>
      <x v="279"/>
    </i>
    <i r="4">
      <x v="348"/>
      <x v="354"/>
      <x v="1"/>
      <x v="11"/>
      <x v="2"/>
      <x v="1"/>
      <x v="52"/>
      <x v="52"/>
    </i>
    <i r="2">
      <x v="298"/>
      <x v="280"/>
    </i>
    <i r="4">
      <x v="349"/>
      <x v="355"/>
      <x v="1"/>
      <x v="11"/>
      <x v="2"/>
      <x v="1"/>
      <x v="52"/>
      <x v="52"/>
    </i>
    <i r="2">
      <x v="299"/>
      <x v="281"/>
    </i>
    <i r="4">
      <x v="350"/>
      <x v="356"/>
      <x v="1"/>
      <x v="11"/>
      <x v="2"/>
      <x v="1"/>
      <x v="52"/>
      <x v="52"/>
    </i>
    <i r="2">
      <x v="300"/>
      <x v="282"/>
    </i>
    <i r="4">
      <x v="351"/>
      <x v="357"/>
      <x v="1"/>
      <x v="11"/>
      <x v="2"/>
      <x v="1"/>
      <x v="52"/>
      <x v="52"/>
    </i>
    <i r="2">
      <x v="301"/>
      <x v="283"/>
    </i>
    <i r="4">
      <x v="352"/>
      <x v="358"/>
      <x v="1"/>
      <x v="11"/>
      <x v="2"/>
      <x v="1"/>
      <x v="52"/>
      <x v="52"/>
    </i>
    <i r="2">
      <x v="302"/>
      <x v="284"/>
    </i>
    <i r="4">
      <x v="353"/>
      <x v="359"/>
      <x v="1"/>
      <x v="11"/>
      <x v="2"/>
      <x v="1"/>
      <x v="52"/>
      <x v="52"/>
    </i>
    <i r="2">
      <x v="303"/>
      <x v="285"/>
    </i>
    <i r="4">
      <x v="354"/>
      <x v="360"/>
      <x v="1"/>
      <x v="11"/>
      <x v="2"/>
      <x v="1"/>
      <x v="52"/>
      <x v="52"/>
    </i>
    <i r="2">
      <x v="304"/>
      <x v="286"/>
    </i>
    <i r="4">
      <x v="355"/>
      <x v="361"/>
      <x v="1"/>
      <x v="11"/>
      <x v="2"/>
      <x v="1"/>
      <x v="52"/>
      <x v="52"/>
    </i>
    <i r="2">
      <x v="305"/>
      <x v="287"/>
    </i>
    <i r="4">
      <x v="356"/>
      <x v="362"/>
      <x v="1"/>
      <x v="11"/>
      <x v="2"/>
      <x v="1"/>
      <x v="52"/>
      <x v="52"/>
    </i>
    <i r="2">
      <x v="306"/>
      <x v="288"/>
    </i>
    <i r="4">
      <x v="357"/>
      <x v="363"/>
      <x v="1"/>
      <x v="11"/>
      <x v="2"/>
      <x v="1"/>
      <x v="52"/>
      <x v="52"/>
    </i>
    <i r="2">
      <x v="307"/>
      <x v="289"/>
    </i>
    <i r="4">
      <x v="358"/>
      <x v="364"/>
      <x v="1"/>
      <x v="11"/>
      <x v="2"/>
      <x v="1"/>
      <x v="52"/>
      <x v="52"/>
    </i>
    <i r="2">
      <x v="308"/>
      <x v="290"/>
    </i>
    <i r="4">
      <x v="359"/>
      <x v="365"/>
      <x v="1"/>
      <x v="11"/>
      <x v="2"/>
      <x v="1"/>
      <x v="52"/>
      <x v="52"/>
    </i>
    <i r="2">
      <x v="309"/>
      <x v="291"/>
    </i>
    <i r="4">
      <x v="360"/>
      <x v="366"/>
      <x v="1"/>
      <x v="11"/>
      <x v="2"/>
      <x v="1"/>
      <x v="52"/>
      <x v="52"/>
    </i>
    <i r="2">
      <x v="310"/>
      <x v="292"/>
    </i>
    <i r="4">
      <x v="361"/>
      <x v="367"/>
      <x v="1"/>
      <x v="11"/>
      <x v="2"/>
      <x v="1"/>
      <x v="52"/>
      <x v="52"/>
    </i>
    <i r="2">
      <x v="311"/>
      <x v="293"/>
    </i>
    <i r="4">
      <x v="362"/>
      <x v="368"/>
      <x v="1"/>
      <x v="11"/>
      <x v="2"/>
      <x v="1"/>
      <x v="52"/>
      <x v="52"/>
    </i>
    <i r="2">
      <x v="336"/>
      <x v="320"/>
    </i>
    <i r="4">
      <x v="395"/>
      <x v="396"/>
      <x v="1"/>
      <x v="11"/>
      <x v="2"/>
      <x v="1"/>
      <x v="52"/>
      <x v="52"/>
    </i>
    <i r="2">
      <x v="346"/>
      <x v="330"/>
    </i>
    <i r="4">
      <x v="408"/>
      <x v="409"/>
      <x v="1"/>
      <x v="16"/>
      <x v="2"/>
      <x v="1"/>
      <x v="86"/>
      <x v="86"/>
    </i>
    <i r="2">
      <x v="347"/>
      <x v="331"/>
    </i>
    <i r="4">
      <x v="409"/>
      <x v="410"/>
      <x v="1"/>
      <x v="11"/>
      <x v="2"/>
      <x v="1"/>
      <x v="52"/>
      <x v="52"/>
    </i>
    <i r="2">
      <x v="403"/>
      <x v="374"/>
    </i>
    <i r="4">
      <x v="476"/>
      <x v="479"/>
      <x v="1"/>
      <x v="11"/>
      <x v="2"/>
      <x v="1"/>
      <x v="52"/>
      <x v="52"/>
    </i>
    <i r="1">
      <x v="17"/>
    </i>
    <i r="2">
      <x v="295"/>
      <x v="277"/>
    </i>
    <i r="4">
      <x v="344"/>
      <x v="350"/>
      <x v="5"/>
      <x v="4"/>
      <x v="2"/>
      <x v="1"/>
      <x v="142"/>
      <x v="136"/>
    </i>
    <i r="4">
      <x v="345"/>
      <x v="351"/>
      <x v="3"/>
      <x v="4"/>
      <x v="2"/>
      <x v="1"/>
      <x v="142"/>
      <x v="136"/>
    </i>
    <i r="4">
      <x v="346"/>
      <x v="352"/>
      <x v="7"/>
      <x v="4"/>
      <x v="2"/>
      <x v="1"/>
      <x v="142"/>
      <x v="136"/>
    </i>
    <i r="4">
      <x v="397"/>
      <x v="398"/>
      <x v="4"/>
      <x v="4"/>
      <x v="2"/>
      <x v="1"/>
      <x v="142"/>
      <x v="136"/>
    </i>
    <i r="4">
      <x v="398"/>
      <x v="399"/>
      <x v="9"/>
      <x v="4"/>
      <x v="2"/>
      <x v="1"/>
      <x v="142"/>
      <x v="136"/>
    </i>
    <i r="4">
      <x v="399"/>
      <x v="400"/>
      <x v="2"/>
      <x v="4"/>
      <x v="2"/>
      <x v="1"/>
      <x v="142"/>
      <x v="136"/>
    </i>
    <i r="2">
      <x v="315"/>
      <x v="298"/>
    </i>
    <i r="4">
      <x v="373"/>
      <x v="374"/>
      <x v="1"/>
      <x v="7"/>
      <x v="2"/>
      <x v="1"/>
      <x v="123"/>
      <x v="121"/>
    </i>
    <i r="2">
      <x v="316"/>
      <x v="299"/>
    </i>
    <i r="4">
      <x v="374"/>
      <x v="375"/>
      <x v="1"/>
      <x v="4"/>
      <x v="2"/>
      <x v="1"/>
      <x v="137"/>
      <x v="131"/>
    </i>
    <i r="2">
      <x v="317"/>
      <x v="300"/>
    </i>
    <i r="4">
      <x v="375"/>
      <x v="376"/>
      <x v="1"/>
      <x v="3"/>
      <x v="2"/>
      <x v="1"/>
      <x v="168"/>
      <x v="157"/>
    </i>
    <i r="2">
      <x v="318"/>
      <x v="301"/>
    </i>
    <i r="4">
      <x v="376"/>
      <x v="377"/>
      <x v="1"/>
      <x v="3"/>
      <x v="2"/>
      <x v="1"/>
      <x v="143"/>
      <x v="137"/>
    </i>
    <i r="2">
      <x v="319"/>
      <x v="302"/>
    </i>
    <i r="4">
      <x v="377"/>
      <x v="378"/>
      <x v="1"/>
      <x v="3"/>
      <x v="2"/>
      <x v="1"/>
      <x v="143"/>
      <x v="137"/>
    </i>
    <i r="2">
      <x v="320"/>
      <x v="303"/>
    </i>
    <i r="4">
      <x v="378"/>
      <x v="379"/>
      <x v="1"/>
      <x v="3"/>
      <x v="2"/>
      <x v="1"/>
      <x v="144"/>
      <x v="138"/>
    </i>
    <i r="2">
      <x v="321"/>
      <x v="304"/>
    </i>
    <i r="4">
      <x v="379"/>
      <x v="380"/>
      <x v="1"/>
      <x v="5"/>
      <x v="2"/>
      <x v="1"/>
      <x v="121"/>
      <x v="119"/>
    </i>
    <i r="2">
      <x v="322"/>
      <x v="305"/>
    </i>
    <i r="4">
      <x v="380"/>
      <x v="381"/>
      <x v="1"/>
      <x v="11"/>
      <x v="2"/>
      <x v="1"/>
      <x v="112"/>
      <x v="111"/>
    </i>
    <i r="2">
      <x v="323"/>
      <x v="306"/>
    </i>
    <i r="4">
      <x v="381"/>
      <x v="382"/>
      <x v="1"/>
      <x v="8"/>
      <x v="2"/>
      <x v="1"/>
      <x v="112"/>
      <x v="111"/>
    </i>
    <i r="2">
      <x v="324"/>
      <x v="307"/>
    </i>
    <i r="4">
      <x v="382"/>
      <x v="383"/>
      <x v="1"/>
      <x v="8"/>
      <x v="2"/>
      <x v="1"/>
      <x v="116"/>
      <x v="114"/>
    </i>
    <i r="2">
      <x v="342"/>
      <x v="326"/>
    </i>
    <i r="4">
      <x v="404"/>
      <x v="405"/>
      <x v="1"/>
      <x v="16"/>
      <x v="2"/>
      <x v="1"/>
      <x v="134"/>
      <x v="128"/>
    </i>
    <i r="2">
      <x v="345"/>
      <x v="329"/>
    </i>
    <i r="4">
      <x v="407"/>
      <x v="408"/>
      <x v="1"/>
      <x/>
      <x v="10"/>
      <x/>
      <x v="170"/>
      <x v="159"/>
    </i>
    <i r="2">
      <x v="348"/>
      <x v="332"/>
    </i>
    <i r="4">
      <x v="410"/>
      <x v="411"/>
      <x v="1"/>
      <x v="16"/>
      <x v="9"/>
      <x v="1"/>
      <x v="86"/>
      <x v="86"/>
    </i>
    <i r="2">
      <x v="349"/>
      <x v="333"/>
    </i>
    <i r="4">
      <x v="411"/>
      <x v="412"/>
      <x v="1"/>
      <x v="16"/>
      <x v="9"/>
      <x v="1"/>
      <x v="86"/>
      <x v="86"/>
    </i>
    <i r="2">
      <x v="496"/>
      <x v="454"/>
    </i>
    <i r="4">
      <x v="573"/>
      <x v="575"/>
      <x v="1"/>
      <x v="16"/>
      <x v="2"/>
      <x v="1"/>
      <x v="164"/>
      <x v="154"/>
    </i>
    <i>
      <x v="2"/>
    </i>
    <i r="1">
      <x v="17"/>
    </i>
    <i r="2">
      <x v="2"/>
      <x v="108"/>
    </i>
    <i r="4">
      <x v="2"/>
      <x v="49"/>
      <x v="1"/>
      <x v="12"/>
      <x v="3"/>
      <x v="1"/>
      <x v="110"/>
      <x v="109"/>
    </i>
    <i r="2">
      <x v="3"/>
      <x v="109"/>
    </i>
    <i r="4">
      <x v="3"/>
      <x v="50"/>
      <x v="1"/>
      <x v="12"/>
      <x v="3"/>
      <x v="1"/>
      <x v="119"/>
      <x v="117"/>
    </i>
    <i r="2">
      <x v="54"/>
      <x v="115"/>
    </i>
    <i r="4">
      <x v="84"/>
      <x v="111"/>
      <x v="1"/>
      <x v="8"/>
      <x v="3"/>
      <x v="1"/>
      <x v="145"/>
      <x v="139"/>
    </i>
    <i r="2">
      <x v="59"/>
      <x v="21"/>
    </i>
    <i r="4">
      <x v="154"/>
      <x v="165"/>
      <x v="1"/>
      <x/>
      <x v="3"/>
      <x v="1"/>
      <x v="189"/>
      <x v="173"/>
    </i>
    <i r="2">
      <x v="312"/>
      <x v="294"/>
    </i>
    <i r="4">
      <x v="363"/>
      <x v="369"/>
      <x v="1"/>
      <x v="8"/>
      <x v="3"/>
      <x v="1"/>
      <x v="160"/>
      <x v="150"/>
    </i>
    <i r="2">
      <x v="313"/>
      <x v="116"/>
    </i>
    <i r="4">
      <x v="364"/>
      <x v="371"/>
      <x v="1"/>
      <x v="3"/>
      <x v="3"/>
      <x v="1"/>
      <x v="158"/>
      <x v="148"/>
    </i>
    <i r="2">
      <x v="350"/>
      <x v="334"/>
    </i>
    <i r="4">
      <x v="412"/>
      <x v="413"/>
      <x v="1"/>
      <x v="16"/>
      <x v="3"/>
      <x v="1"/>
      <x v="130"/>
      <x v="126"/>
    </i>
    <i r="2">
      <x v="355"/>
      <x v="335"/>
    </i>
    <i r="4">
      <x v="417"/>
      <x v="418"/>
      <x v="1"/>
      <x v="16"/>
      <x v="3"/>
      <x v="1"/>
      <x v="176"/>
      <x v="164"/>
    </i>
    <i r="2">
      <x v="356"/>
      <x v="336"/>
    </i>
    <i r="4">
      <x v="418"/>
      <x v="419"/>
      <x v="1"/>
      <x v="16"/>
      <x v="3"/>
      <x v="1"/>
      <x v="188"/>
      <x v="172"/>
    </i>
    <i r="2">
      <x v="406"/>
      <x v="376"/>
    </i>
    <i r="4">
      <x v="481"/>
      <x v="483"/>
      <x v="5"/>
      <x v="16"/>
      <x v="3"/>
      <x v="1"/>
      <x v="182"/>
      <x v="167"/>
    </i>
    <i r="4">
      <x v="605"/>
      <x v="604"/>
      <x v="4"/>
      <x v="16"/>
      <x v="3"/>
      <x v="1"/>
      <x v="182"/>
      <x v="167"/>
    </i>
    <i r="4">
      <x v="606"/>
      <x v="605"/>
      <x v="7"/>
      <x v="16"/>
      <x v="3"/>
      <x v="1"/>
      <x v="182"/>
      <x v="167"/>
    </i>
    <i r="4">
      <x v="607"/>
      <x v="606"/>
      <x v="9"/>
      <x v="16"/>
      <x v="3"/>
      <x v="1"/>
      <x v="182"/>
      <x v="167"/>
    </i>
    <i r="4">
      <x v="608"/>
      <x v="607"/>
      <x v="3"/>
      <x v="16"/>
      <x v="3"/>
      <x v="1"/>
      <x v="182"/>
      <x v="167"/>
    </i>
    <i r="4">
      <x v="609"/>
      <x v="608"/>
      <x v="2"/>
      <x v="16"/>
      <x v="3"/>
      <x v="1"/>
      <x v="182"/>
      <x v="167"/>
    </i>
    <i r="2">
      <x v="407"/>
      <x v="377"/>
    </i>
    <i r="4">
      <x v="482"/>
      <x v="484"/>
      <x v="5"/>
      <x v="16"/>
      <x v="3"/>
      <x v="1"/>
      <x v="190"/>
      <x v="174"/>
    </i>
    <i r="4">
      <x v="610"/>
      <x v="609"/>
      <x v="4"/>
      <x v="16"/>
      <x v="3"/>
      <x v="1"/>
      <x v="190"/>
      <x v="174"/>
    </i>
    <i r="4">
      <x v="611"/>
      <x v="610"/>
      <x v="7"/>
      <x v="16"/>
      <x v="3"/>
      <x v="1"/>
      <x v="190"/>
      <x v="174"/>
    </i>
    <i r="4">
      <x v="612"/>
      <x v="611"/>
      <x v="9"/>
      <x v="16"/>
      <x v="3"/>
      <x v="1"/>
      <x v="190"/>
      <x v="174"/>
    </i>
    <i r="4">
      <x v="613"/>
      <x v="612"/>
      <x v="3"/>
      <x v="16"/>
      <x v="3"/>
      <x v="1"/>
      <x v="190"/>
      <x v="174"/>
    </i>
    <i r="4">
      <x v="614"/>
      <x v="613"/>
      <x v="2"/>
      <x v="16"/>
      <x v="3"/>
      <x v="1"/>
      <x v="190"/>
      <x v="174"/>
    </i>
    <i r="2">
      <x v="498"/>
      <x v="412"/>
    </i>
    <i r="4">
      <x v="575"/>
      <x v="577"/>
      <x v="1"/>
      <x v="16"/>
      <x v="3"/>
      <x v="1"/>
      <x v="161"/>
      <x v="151"/>
    </i>
    <i r="2">
      <x v="511"/>
      <x v="425"/>
    </i>
    <i r="4">
      <x v="588"/>
      <x v="589"/>
      <x v="1"/>
      <x v="8"/>
      <x v="3"/>
      <x v="1"/>
      <x v="137"/>
      <x v="131"/>
    </i>
    <i r="2">
      <x v="537"/>
      <x v="451"/>
    </i>
    <i r="4">
      <x v="636"/>
      <x v="635"/>
      <x v="1"/>
      <x v="16"/>
      <x v="3"/>
      <x v="1"/>
      <x v="228"/>
      <x v="226"/>
    </i>
    <i>
      <x v="3"/>
    </i>
    <i r="1">
      <x v="17"/>
    </i>
    <i r="2">
      <x v="66"/>
      <x v="140"/>
    </i>
    <i r="4">
      <x v="87"/>
      <x v="114"/>
      <x v="1"/>
      <x v="8"/>
      <x v="5"/>
      <x v="1"/>
      <x v="171"/>
      <x v="160"/>
    </i>
    <i r="2">
      <x v="67"/>
      <x v="120"/>
    </i>
    <i r="4">
      <x v="88"/>
      <x v="115"/>
      <x v="1"/>
      <x v="3"/>
      <x v="5"/>
      <x v="1"/>
      <x v="209"/>
      <x v="207"/>
    </i>
    <i r="2">
      <x v="147"/>
      <x v="233"/>
    </i>
    <i r="4">
      <x v="177"/>
      <x v="175"/>
      <x v="5"/>
      <x v="1"/>
      <x v="5"/>
      <x v="1"/>
      <x v="210"/>
      <x v="208"/>
    </i>
    <i r="4">
      <x v="178"/>
      <x v="176"/>
      <x v="3"/>
      <x v="1"/>
      <x v="5"/>
      <x v="1"/>
      <x v="210"/>
      <x v="208"/>
    </i>
    <i r="4">
      <x v="179"/>
      <x v="177"/>
      <x v="4"/>
      <x v="1"/>
      <x v="5"/>
      <x v="1"/>
      <x v="210"/>
      <x v="208"/>
    </i>
    <i r="4">
      <x v="297"/>
      <x v="242"/>
      <x v="2"/>
      <x v="1"/>
      <x v="5"/>
      <x v="1"/>
      <x v="210"/>
      <x v="208"/>
    </i>
    <i r="4">
      <x v="436"/>
      <x v="437"/>
      <x v="9"/>
      <x v="1"/>
      <x v="5"/>
      <x v="1"/>
      <x v="210"/>
      <x v="208"/>
    </i>
    <i r="4">
      <x v="615"/>
      <x v="614"/>
      <x v="6"/>
      <x v="16"/>
      <x v="5"/>
      <x v="1"/>
      <x v="210"/>
      <x v="208"/>
    </i>
    <i r="2">
      <x v="247"/>
      <x v="239"/>
    </i>
    <i r="4">
      <x v="293"/>
      <x v="238"/>
      <x v="1"/>
      <x v="16"/>
      <x v="5"/>
      <x v="1"/>
      <x v="84"/>
      <x v="84"/>
    </i>
    <i r="2">
      <x v="329"/>
      <x v="313"/>
    </i>
    <i r="4">
      <x v="388"/>
      <x v="389"/>
      <x v="5"/>
      <x v="16"/>
      <x v="5"/>
      <x v="1"/>
      <x v="203"/>
      <x v="201"/>
    </i>
    <i r="2">
      <x v="330"/>
      <x v="314"/>
    </i>
    <i r="4">
      <x v="389"/>
      <x v="390"/>
      <x v="5"/>
      <x v="16"/>
      <x v="5"/>
      <x v="1"/>
      <x v="204"/>
      <x v="202"/>
    </i>
    <i r="2">
      <x v="337"/>
      <x v="321"/>
    </i>
    <i r="4">
      <x v="396"/>
      <x v="397"/>
      <x v="1"/>
      <x v="16"/>
      <x v="5"/>
      <x v="1"/>
      <x v="124"/>
      <x v="122"/>
    </i>
    <i r="2">
      <x v="343"/>
      <x v="327"/>
    </i>
    <i r="4">
      <x v="405"/>
      <x v="406"/>
      <x v="1"/>
      <x v="3"/>
      <x v="5"/>
      <x v="1"/>
      <x v="134"/>
      <x v="128"/>
    </i>
    <i>
      <x v="4"/>
    </i>
    <i r="1">
      <x v="17"/>
    </i>
    <i r="2">
      <x v="57"/>
      <x v="111"/>
    </i>
    <i r="4">
      <x v="80"/>
      <x v="107"/>
      <x/>
      <x v="8"/>
      <x v="4"/>
      <x v="1"/>
      <x v="148"/>
      <x v="141"/>
    </i>
    <i r="2">
      <x v="58"/>
      <x v="23"/>
    </i>
    <i r="4">
      <x v="77"/>
      <x v="104"/>
      <x/>
      <x v="8"/>
      <x v="4"/>
      <x v="1"/>
      <x v="148"/>
      <x v="141"/>
    </i>
    <i r="2">
      <x v="60"/>
      <x v="135"/>
    </i>
    <i r="4">
      <x v="78"/>
      <x v="105"/>
      <x v="1"/>
      <x/>
      <x v="4"/>
      <x v="1"/>
      <x v="159"/>
      <x v="149"/>
    </i>
    <i r="2">
      <x v="61"/>
      <x v="124"/>
    </i>
    <i r="4">
      <x v="79"/>
      <x v="106"/>
      <x v="1"/>
      <x/>
      <x v="4"/>
      <x v="1"/>
      <x v="108"/>
      <x v="183"/>
    </i>
    <i r="2">
      <x v="62"/>
      <x v="104"/>
    </i>
    <i r="4">
      <x v="81"/>
      <x v="108"/>
      <x v="1"/>
      <x v="16"/>
      <x v="4"/>
      <x v="1"/>
      <x v="205"/>
      <x v="203"/>
    </i>
    <i r="2">
      <x v="214"/>
      <x v="136"/>
    </i>
    <i r="4">
      <x v="259"/>
      <x v="323"/>
      <x/>
      <x v="5"/>
      <x v="4"/>
      <x v="1"/>
      <x v="206"/>
      <x v="204"/>
    </i>
    <i r="4">
      <x v="454"/>
      <x v="455"/>
      <x v="10"/>
      <x v="5"/>
      <x v="4"/>
      <x v="1"/>
      <x v="206"/>
      <x v="204"/>
    </i>
    <i r="4">
      <x v="572"/>
      <x v="574"/>
      <x v="4"/>
      <x v="5"/>
      <x v="4"/>
      <x v="1"/>
      <x v="206"/>
      <x v="204"/>
    </i>
    <i r="2">
      <x v="215"/>
      <x v="119"/>
    </i>
    <i r="4">
      <x v="260"/>
      <x v="232"/>
      <x v="5"/>
      <x v="1"/>
      <x v="4"/>
      <x v="1"/>
      <x v="207"/>
      <x v="205"/>
    </i>
    <i r="4">
      <x v="479"/>
      <x v="193"/>
      <x v="6"/>
      <x v="16"/>
      <x v="4"/>
      <x v="1"/>
      <x v="207"/>
      <x v="205"/>
    </i>
    <i r="4">
      <x v="602"/>
      <x v="602"/>
      <x v="3"/>
      <x v="16"/>
      <x v="4"/>
      <x v="1"/>
      <x v="207"/>
      <x v="205"/>
    </i>
    <i r="2">
      <x v="216"/>
      <x v="118"/>
    </i>
    <i r="4">
      <x v="261"/>
      <x v="254"/>
      <x v="5"/>
      <x v="1"/>
      <x v="4"/>
      <x v="1"/>
      <x v="208"/>
      <x v="206"/>
    </i>
    <i r="4">
      <x v="477"/>
      <x v="480"/>
      <x v="3"/>
      <x v="1"/>
      <x v="4"/>
      <x v="1"/>
      <x v="208"/>
      <x v="206"/>
    </i>
    <i r="4">
      <x v="478"/>
      <x v="481"/>
      <x v="6"/>
      <x v="1"/>
      <x v="4"/>
      <x v="1"/>
      <x v="208"/>
      <x v="206"/>
    </i>
    <i>
      <x v="5"/>
    </i>
    <i r="1">
      <x v="16"/>
    </i>
    <i r="2">
      <x v="12"/>
      <x v="4"/>
    </i>
    <i r="4">
      <x v="12"/>
      <x v="59"/>
      <x v="3"/>
      <x/>
      <x v="9"/>
      <x v="1"/>
      <x v="33"/>
      <x v="33"/>
    </i>
    <i r="2">
      <x v="13"/>
      <x v="5"/>
    </i>
    <i r="4">
      <x v="13"/>
      <x v="60"/>
      <x v="2"/>
      <x/>
      <x v="9"/>
      <x v="1"/>
      <x v="33"/>
      <x v="33"/>
    </i>
    <i r="2">
      <x v="14"/>
      <x v="2"/>
    </i>
    <i r="4">
      <x v="14"/>
      <x v="61"/>
      <x v="4"/>
      <x/>
      <x v="9"/>
      <x v="1"/>
      <x v="33"/>
      <x v="33"/>
    </i>
    <i r="2">
      <x v="15"/>
      <x v="3"/>
    </i>
    <i r="4">
      <x v="15"/>
      <x v="62"/>
      <x v="1"/>
      <x/>
      <x v="9"/>
      <x v="1"/>
      <x v="33"/>
      <x v="33"/>
    </i>
    <i r="2">
      <x v="30"/>
      <x v="18"/>
    </i>
    <i r="4">
      <x v="24"/>
      <x v="67"/>
      <x v="1"/>
      <x/>
      <x v="9"/>
      <x v="1"/>
      <x v="36"/>
      <x v="36"/>
    </i>
    <i r="2">
      <x v="31"/>
      <x v="122"/>
    </i>
    <i r="4">
      <x v="25"/>
      <x v="68"/>
      <x v="1"/>
      <x/>
      <x v="9"/>
      <x v="1"/>
      <x v="43"/>
      <x v="43"/>
    </i>
    <i r="3">
      <x v="159"/>
    </i>
    <i r="4">
      <x v="196"/>
      <x v="250"/>
      <x v="1"/>
      <x v="16"/>
      <x v="9"/>
      <x v="1"/>
      <x v="43"/>
      <x v="43"/>
    </i>
    <i r="2">
      <x v="32"/>
      <x v="106"/>
    </i>
    <i r="4">
      <x v="26"/>
      <x v="69"/>
      <x v="1"/>
      <x/>
      <x v="9"/>
      <x v="1"/>
      <x v="84"/>
      <x v="84"/>
    </i>
    <i r="2">
      <x v="33"/>
      <x v="45"/>
    </i>
    <i r="4">
      <x v="27"/>
      <x v="70"/>
      <x v="1"/>
      <x/>
      <x v="9"/>
      <x v="1"/>
      <x v="97"/>
      <x v="97"/>
    </i>
    <i r="2">
      <x v="34"/>
      <x v="46"/>
    </i>
    <i r="4">
      <x v="28"/>
      <x v="71"/>
      <x v="1"/>
      <x/>
      <x v="9"/>
      <x v="1"/>
      <x v="92"/>
      <x v="92"/>
    </i>
    <i r="2">
      <x v="35"/>
      <x v="107"/>
    </i>
    <i r="4">
      <x v="44"/>
      <x v="81"/>
      <x v="1"/>
      <x/>
      <x v="9"/>
      <x v="1"/>
      <x v="68"/>
      <x v="68"/>
    </i>
    <i r="2">
      <x v="36"/>
      <x v="19"/>
    </i>
    <i r="4">
      <x v="45"/>
      <x v="82"/>
      <x v="1"/>
      <x/>
      <x v="9"/>
      <x v="1"/>
      <x v="109"/>
      <x v="108"/>
    </i>
    <i r="2">
      <x v="37"/>
      <x v="15"/>
    </i>
    <i r="4">
      <x v="47"/>
      <x v="84"/>
      <x v="5"/>
      <x/>
      <x v="9"/>
      <x v="1"/>
      <x v="124"/>
      <x v="122"/>
    </i>
    <i r="4">
      <x v="48"/>
      <x v="25"/>
      <x v="4"/>
      <x v="9"/>
      <x v="9"/>
      <x v="1"/>
      <x v="124"/>
      <x v="122"/>
    </i>
    <i r="4">
      <x v="49"/>
      <x v="34"/>
      <x v="2"/>
      <x v="9"/>
      <x v="9"/>
      <x v="1"/>
      <x v="124"/>
      <x v="122"/>
    </i>
    <i r="2">
      <x v="38"/>
      <x v="12"/>
    </i>
    <i r="4">
      <x v="50"/>
      <x v="85"/>
      <x v="1"/>
      <x/>
      <x v="9"/>
      <x v="1"/>
      <x v="47"/>
      <x v="47"/>
    </i>
    <i r="2">
      <x v="39"/>
      <x v="16"/>
    </i>
    <i r="4">
      <x v="51"/>
      <x v="86"/>
      <x/>
      <x/>
      <x v="9"/>
      <x v="1"/>
      <x v="52"/>
      <x v="52"/>
    </i>
    <i r="3">
      <x v="164"/>
    </i>
    <i r="4">
      <x v="203"/>
      <x v="200"/>
      <x v="2"/>
      <x/>
      <x v="9"/>
      <x v="1"/>
      <x v="52"/>
      <x v="52"/>
    </i>
    <i r="2">
      <x v="40"/>
      <x v="8"/>
    </i>
    <i r="4">
      <x v="52"/>
      <x v="87"/>
      <x v="1"/>
      <x/>
      <x v="9"/>
      <x v="1"/>
      <x v="13"/>
      <x v="13"/>
    </i>
    <i r="2">
      <x v="41"/>
      <x v="22"/>
    </i>
    <i r="4">
      <x v="53"/>
      <x v="88"/>
      <x v="1"/>
      <x/>
      <x v="9"/>
      <x v="1"/>
      <x v="94"/>
      <x v="94"/>
    </i>
    <i r="2">
      <x v="42"/>
      <x v="20"/>
    </i>
    <i r="4">
      <x v="54"/>
      <x v="89"/>
      <x v="1"/>
      <x v="4"/>
      <x v="9"/>
      <x v="1"/>
      <x v="61"/>
      <x v="61"/>
    </i>
    <i r="2">
      <x v="43"/>
      <x v="13"/>
    </i>
    <i r="4">
      <x v="55"/>
      <x v="90"/>
      <x v="5"/>
      <x/>
      <x v="9"/>
      <x v="1"/>
      <x v="120"/>
      <x v="118"/>
    </i>
    <i r="4">
      <x v="56"/>
      <x v="26"/>
      <x v="4"/>
      <x v="16"/>
      <x v="9"/>
      <x v="1"/>
      <x v="120"/>
      <x v="118"/>
    </i>
    <i r="4">
      <x v="57"/>
      <x v="251"/>
      <x v="3"/>
      <x v="16"/>
      <x v="9"/>
      <x v="1"/>
      <x v="120"/>
      <x v="118"/>
    </i>
    <i r="4">
      <x v="58"/>
      <x v="252"/>
      <x v="2"/>
      <x v="16"/>
      <x v="9"/>
      <x v="1"/>
      <x v="120"/>
      <x v="118"/>
    </i>
    <i r="2">
      <x v="44"/>
      <x v="14"/>
    </i>
    <i r="4">
      <x v="59"/>
      <x v="91"/>
      <x v="5"/>
      <x/>
      <x v="9"/>
      <x v="1"/>
      <x v="126"/>
      <x v="124"/>
    </i>
    <i r="4">
      <x v="60"/>
      <x v="27"/>
      <x v="4"/>
      <x v="16"/>
      <x v="9"/>
      <x v="1"/>
      <x v="126"/>
      <x v="124"/>
    </i>
    <i r="4">
      <x v="61"/>
      <x v="253"/>
      <x v="3"/>
      <x v="16"/>
      <x v="9"/>
      <x v="1"/>
      <x v="126"/>
      <x v="124"/>
    </i>
    <i r="2">
      <x v="45"/>
      <x v="123"/>
    </i>
    <i r="4">
      <x v="62"/>
      <x v="92"/>
      <x v="1"/>
      <x/>
      <x v="9"/>
      <x v="1"/>
      <x v="100"/>
      <x v="100"/>
    </i>
    <i r="2">
      <x v="46"/>
      <x v="17"/>
    </i>
    <i r="4">
      <x v="63"/>
      <x v="93"/>
      <x/>
      <x/>
      <x v="9"/>
      <x v="1"/>
      <x v="65"/>
      <x v="65"/>
    </i>
    <i r="4">
      <x v="64"/>
      <x v="36"/>
      <x v="4"/>
      <x/>
      <x v="9"/>
      <x v="1"/>
      <x v="65"/>
      <x v="65"/>
    </i>
    <i r="4">
      <x v="65"/>
      <x v="28"/>
      <x v="3"/>
      <x/>
      <x v="9"/>
      <x v="1"/>
      <x v="65"/>
      <x v="65"/>
    </i>
    <i r="4">
      <x v="66"/>
      <x v="35"/>
      <x v="2"/>
      <x/>
      <x v="9"/>
      <x v="1"/>
      <x v="65"/>
      <x v="65"/>
    </i>
    <i r="2">
      <x v="47"/>
      <x v="103"/>
    </i>
    <i r="4">
      <x v="67"/>
      <x v="94"/>
      <x v="1"/>
      <x/>
      <x v="9"/>
      <x v="1"/>
      <x v="97"/>
      <x v="97"/>
    </i>
    <i r="2">
      <x v="48"/>
      <x v="105"/>
    </i>
    <i r="4">
      <x v="68"/>
      <x v="95"/>
      <x v="1"/>
      <x/>
      <x v="9"/>
      <x v="1"/>
      <x v="120"/>
      <x v="118"/>
    </i>
    <i r="2">
      <x v="53"/>
      <x v="125"/>
    </i>
    <i r="4">
      <x v="72"/>
      <x v="99"/>
      <x v="1"/>
      <x/>
      <x v="9"/>
      <x v="1"/>
      <x v="154"/>
      <x v="145"/>
    </i>
    <i r="2">
      <x v="68"/>
      <x v="128"/>
    </i>
    <i r="4">
      <x v="89"/>
      <x v="116"/>
      <x v="1"/>
      <x v="8"/>
      <x v="9"/>
      <x v="1"/>
      <x v="135"/>
      <x v="129"/>
    </i>
    <i r="2">
      <x v="69"/>
      <x v="129"/>
    </i>
    <i r="4">
      <x v="90"/>
      <x v="117"/>
      <x v="5"/>
      <x/>
      <x v="9"/>
      <x v="1"/>
      <x v="109"/>
      <x v="108"/>
    </i>
    <i r="4">
      <x v="91"/>
      <x v="39"/>
      <x v="4"/>
      <x/>
      <x v="9"/>
      <x v="1"/>
      <x v="109"/>
      <x v="108"/>
    </i>
    <i r="4">
      <x v="92"/>
      <x v="40"/>
      <x v="3"/>
      <x/>
      <x v="9"/>
      <x v="1"/>
      <x v="109"/>
      <x v="108"/>
    </i>
    <i r="4">
      <x v="93"/>
      <x v="41"/>
      <x v="2"/>
      <x/>
      <x v="9"/>
      <x v="1"/>
      <x v="110"/>
      <x v="109"/>
    </i>
    <i r="2">
      <x v="70"/>
      <x v="130"/>
    </i>
    <i r="4">
      <x v="94"/>
      <x v="118"/>
      <x v="5"/>
      <x/>
      <x v="9"/>
      <x v="1"/>
      <x v="119"/>
      <x v="117"/>
    </i>
    <i r="4">
      <x v="95"/>
      <x v="42"/>
      <x v="4"/>
      <x/>
      <x v="9"/>
      <x v="1"/>
      <x v="119"/>
      <x v="117"/>
    </i>
    <i r="4">
      <x v="96"/>
      <x v="43"/>
      <x v="3"/>
      <x/>
      <x v="9"/>
      <x v="1"/>
      <x v="119"/>
      <x v="117"/>
    </i>
    <i r="4">
      <x v="298"/>
      <x v="255"/>
      <x v="2"/>
      <x v="16"/>
      <x v="9"/>
      <x v="1"/>
      <x v="119"/>
      <x v="117"/>
    </i>
    <i r="2">
      <x v="71"/>
      <x v="131"/>
    </i>
    <i r="4">
      <x v="97"/>
      <x v="119"/>
      <x v="5"/>
      <x/>
      <x v="9"/>
      <x v="1"/>
      <x v="134"/>
      <x v="128"/>
    </i>
    <i r="4">
      <x v="98"/>
      <x v="44"/>
      <x v="4"/>
      <x/>
      <x v="9"/>
      <x v="1"/>
      <x v="134"/>
      <x v="128"/>
    </i>
    <i r="4">
      <x v="99"/>
      <x v="45"/>
      <x v="3"/>
      <x/>
      <x v="9"/>
      <x v="1"/>
      <x v="134"/>
      <x v="128"/>
    </i>
    <i r="4">
      <x v="100"/>
      <x v="46"/>
      <x v="2"/>
      <x/>
      <x v="9"/>
      <x v="1"/>
      <x v="135"/>
      <x v="129"/>
    </i>
    <i r="2">
      <x v="142"/>
      <x v="143"/>
    </i>
    <i r="4">
      <x v="172"/>
      <x v="170"/>
      <x v="1"/>
      <x v="11"/>
      <x v="9"/>
      <x v="1"/>
      <x v="52"/>
      <x v="52"/>
    </i>
    <i r="2">
      <x v="143"/>
      <x v="144"/>
    </i>
    <i r="4">
      <x v="173"/>
      <x v="171"/>
      <x v="1"/>
      <x v="8"/>
      <x v="9"/>
      <x v="1"/>
      <x v="68"/>
      <x v="68"/>
    </i>
    <i r="2">
      <x v="144"/>
      <x v="145"/>
    </i>
    <i r="4">
      <x v="174"/>
      <x v="172"/>
      <x v="1"/>
      <x v="4"/>
      <x v="9"/>
      <x v="1"/>
      <x v="125"/>
      <x v="123"/>
    </i>
    <i r="2">
      <x v="145"/>
      <x v="229"/>
    </i>
    <i r="4">
      <x v="175"/>
      <x v="173"/>
      <x v="1"/>
      <x v="16"/>
      <x v="9"/>
      <x v="1"/>
      <x v="81"/>
      <x v="81"/>
    </i>
    <i r="2">
      <x v="162"/>
      <x v="161"/>
    </i>
    <i r="4">
      <x v="200"/>
      <x v="197"/>
      <x/>
      <x/>
      <x v="9"/>
      <x v="1"/>
      <x v="65"/>
      <x v="65"/>
    </i>
    <i r="2">
      <x v="164"/>
      <x v="163"/>
    </i>
    <i r="4">
      <x v="202"/>
      <x v="199"/>
      <x v="1"/>
      <x/>
      <x v="9"/>
      <x v="1"/>
      <x v="13"/>
      <x v="13"/>
    </i>
    <i r="2">
      <x v="167"/>
      <x v="168"/>
    </i>
    <i r="4">
      <x v="207"/>
      <x v="204"/>
      <x v="1"/>
      <x v="7"/>
      <x v="9"/>
      <x v="1"/>
      <x v="109"/>
      <x v="108"/>
    </i>
    <i r="2">
      <x v="175"/>
      <x v="176"/>
    </i>
    <i r="4">
      <x v="215"/>
      <x v="212"/>
      <x v="1"/>
      <x v="10"/>
      <x v="9"/>
      <x v="1"/>
      <x v="97"/>
      <x v="97"/>
    </i>
    <i r="2">
      <x v="184"/>
      <x v="185"/>
    </i>
    <i r="4">
      <x v="224"/>
      <x v="220"/>
      <x v="1"/>
      <x/>
      <x v="9"/>
      <x v="1"/>
      <x v="68"/>
      <x v="68"/>
    </i>
    <i r="2">
      <x v="185"/>
      <x v="186"/>
    </i>
    <i r="4">
      <x v="225"/>
      <x v="221"/>
      <x v="5"/>
      <x/>
      <x v="9"/>
      <x v="1"/>
      <x v="124"/>
      <x v="122"/>
    </i>
    <i r="4">
      <x v="226"/>
      <x v="222"/>
      <x v="4"/>
      <x/>
      <x v="9"/>
      <x v="1"/>
      <x v="124"/>
      <x v="122"/>
    </i>
    <i r="4">
      <x v="227"/>
      <x v="223"/>
      <x v="3"/>
      <x/>
      <x v="9"/>
      <x v="1"/>
      <x v="124"/>
      <x v="122"/>
    </i>
    <i r="4">
      <x v="228"/>
      <x v="224"/>
      <x v="2"/>
      <x/>
      <x v="9"/>
      <x v="1"/>
      <x v="124"/>
      <x v="122"/>
    </i>
    <i r="2">
      <x v="218"/>
      <x v="126"/>
    </i>
    <i r="4">
      <x v="263"/>
      <x v="234"/>
      <x v="1"/>
      <x/>
      <x v="9"/>
      <x v="1"/>
      <x v="167"/>
      <x v="156"/>
    </i>
    <i r="2">
      <x v="246"/>
      <x v="228"/>
    </i>
    <i r="4">
      <x v="292"/>
      <x v="237"/>
      <x v="1"/>
      <x v="16"/>
      <x v="9"/>
      <x v="1"/>
      <x v="119"/>
      <x v="117"/>
    </i>
    <i r="2">
      <x v="252"/>
      <x v="236"/>
    </i>
    <i r="4">
      <x v="300"/>
      <x v="244"/>
      <x v="1"/>
      <x v="7"/>
      <x v="9"/>
      <x v="1"/>
      <x v="104"/>
      <x v="104"/>
    </i>
    <i r="2">
      <x v="253"/>
      <x v="237"/>
    </i>
    <i r="4">
      <x v="301"/>
      <x v="245"/>
      <x v="1"/>
      <x v="7"/>
      <x v="9"/>
      <x v="1"/>
      <x v="114"/>
      <x v="112"/>
    </i>
    <i r="2">
      <x v="254"/>
      <x v="346"/>
    </i>
    <i r="4">
      <x v="302"/>
      <x v="246"/>
      <x v="1"/>
      <x/>
      <x v="9"/>
      <x v="1"/>
      <x v="145"/>
      <x v="139"/>
    </i>
    <i r="2">
      <x v="255"/>
      <x v="347"/>
    </i>
    <i r="4">
      <x v="303"/>
      <x v="247"/>
      <x v="1"/>
      <x/>
      <x v="9"/>
      <x v="1"/>
      <x v="169"/>
      <x v="158"/>
    </i>
    <i r="2">
      <x v="258"/>
      <x v="241"/>
    </i>
    <i r="4">
      <x v="305"/>
      <x v="311"/>
      <x v="1"/>
      <x/>
      <x v="9"/>
      <x v="1"/>
      <x v="187"/>
      <x v="171"/>
    </i>
    <i r="2">
      <x v="259"/>
      <x v="243"/>
    </i>
    <i r="4">
      <x v="306"/>
      <x v="312"/>
      <x v="1"/>
      <x v="5"/>
      <x v="2"/>
      <x v="1"/>
      <x v="152"/>
      <x v="143"/>
    </i>
    <i r="2">
      <x v="260"/>
      <x v="453"/>
    </i>
    <i r="4">
      <x v="307"/>
      <x v="313"/>
      <x/>
      <x v="6"/>
      <x v="2"/>
      <x v="1"/>
      <x v="118"/>
      <x v="116"/>
    </i>
    <i r="4">
      <x v="308"/>
      <x v="314"/>
      <x v="3"/>
      <x v="6"/>
      <x v="2"/>
      <x v="1"/>
      <x v="118"/>
      <x v="116"/>
    </i>
    <i r="2">
      <x v="261"/>
      <x v="244"/>
    </i>
    <i r="4">
      <x v="309"/>
      <x v="315"/>
      <x v="1"/>
      <x v="8"/>
      <x v="9"/>
      <x v="1"/>
      <x v="70"/>
      <x v="70"/>
    </i>
    <i r="2">
      <x v="262"/>
      <x v="247"/>
    </i>
    <i r="4">
      <x v="310"/>
      <x v="316"/>
      <x v="1"/>
      <x v="8"/>
      <x v="9"/>
      <x v="1"/>
      <x v="100"/>
      <x v="100"/>
    </i>
    <i r="2">
      <x v="263"/>
      <x v="248"/>
    </i>
    <i r="4">
      <x v="313"/>
      <x v="319"/>
      <x v="1"/>
      <x/>
      <x v="9"/>
      <x v="1"/>
      <x v="26"/>
      <x v="26"/>
    </i>
    <i r="2">
      <x v="264"/>
      <x v="249"/>
    </i>
    <i r="4">
      <x v="314"/>
      <x v="320"/>
      <x v="1"/>
      <x v="16"/>
      <x v="9"/>
      <x v="1"/>
      <x v="89"/>
      <x v="89"/>
    </i>
    <i r="2">
      <x v="265"/>
      <x v="160"/>
    </i>
    <i r="4">
      <x v="197"/>
      <x v="249"/>
      <x v="2"/>
      <x v="16"/>
      <x v="9"/>
      <x v="1"/>
      <x v="121"/>
      <x v="119"/>
    </i>
    <i r="2">
      <x v="275"/>
      <x v="257"/>
    </i>
    <i r="4">
      <x v="324"/>
      <x v="332"/>
      <x v="1"/>
      <x v="16"/>
      <x v="4"/>
      <x v="1"/>
      <x v="123"/>
      <x v="121"/>
    </i>
    <i r="2">
      <x v="276"/>
      <x v="258"/>
    </i>
    <i r="4">
      <x v="325"/>
      <x v="333"/>
      <x v="10"/>
      <x v="16"/>
      <x v="9"/>
      <x v="1"/>
      <x v="52"/>
      <x v="52"/>
    </i>
    <i r="2">
      <x v="277"/>
      <x v="259"/>
    </i>
    <i r="4">
      <x v="326"/>
      <x v="334"/>
      <x v="11"/>
      <x/>
      <x v="9"/>
      <x v="1"/>
      <x v="86"/>
      <x v="86"/>
    </i>
    <i r="2">
      <x v="314"/>
      <x v="295"/>
    </i>
    <i r="4">
      <x v="372"/>
      <x v="370"/>
      <x v="1"/>
      <x v="3"/>
      <x v="9"/>
      <x v="1"/>
      <x v="143"/>
      <x v="137"/>
    </i>
    <i r="3">
      <x v="410"/>
    </i>
    <i r="4">
      <x v="571"/>
      <x v="573"/>
      <x v="1"/>
      <x v="3"/>
      <x v="9"/>
      <x v="1"/>
      <x v="143"/>
      <x v="137"/>
    </i>
    <i r="2">
      <x v="326"/>
      <x v="309"/>
    </i>
    <i r="4">
      <x v="384"/>
      <x v="385"/>
      <x v="1"/>
      <x v="16"/>
      <x v="9"/>
      <x v="1"/>
      <x v="68"/>
      <x v="68"/>
    </i>
    <i r="2">
      <x v="327"/>
      <x v="310"/>
    </i>
    <i r="4">
      <x v="385"/>
      <x v="386"/>
      <x v="1"/>
      <x v="16"/>
      <x v="9"/>
      <x v="1"/>
      <x v="39"/>
      <x v="39"/>
    </i>
    <i r="2">
      <x v="331"/>
      <x v="315"/>
    </i>
    <i r="4">
      <x v="390"/>
      <x v="391"/>
      <x v="1"/>
      <x v="16"/>
      <x v="9"/>
      <x v="1"/>
      <x v="144"/>
      <x v="138"/>
    </i>
    <i r="2">
      <x v="333"/>
      <x v="317"/>
    </i>
    <i r="4">
      <x v="392"/>
      <x v="393"/>
      <x v="1"/>
      <x v="14"/>
      <x v="9"/>
      <x v="1"/>
      <x v="40"/>
      <x v="40"/>
    </i>
    <i r="2">
      <x v="334"/>
      <x v="318"/>
    </i>
    <i r="4">
      <x v="393"/>
      <x v="394"/>
      <x v="1"/>
      <x v="16"/>
      <x v="9"/>
      <x v="1"/>
      <x v="81"/>
      <x v="81"/>
    </i>
    <i r="2">
      <x v="335"/>
      <x v="319"/>
    </i>
    <i r="4">
      <x v="394"/>
      <x v="395"/>
      <x v="1"/>
      <x v="16"/>
      <x v="9"/>
      <x v="1"/>
      <x v="14"/>
      <x v="14"/>
    </i>
    <i r="2">
      <x v="341"/>
      <x v="325"/>
    </i>
    <i r="4">
      <x v="403"/>
      <x v="404"/>
      <x v="1"/>
      <x v="16"/>
      <x v="10"/>
      <x/>
      <x v="129"/>
      <x v="182"/>
    </i>
    <i r="2">
      <x v="357"/>
      <x v="337"/>
    </i>
    <i r="4">
      <x v="419"/>
      <x v="420"/>
      <x v="1"/>
      <x v="16"/>
      <x v="9"/>
      <x v="1"/>
      <x v="105"/>
      <x v="105"/>
    </i>
    <i r="2">
      <x v="359"/>
      <x v="338"/>
    </i>
    <i r="4">
      <x v="421"/>
      <x v="422"/>
      <x v="1"/>
      <x v="16"/>
      <x v="9"/>
      <x v="1"/>
      <x v="119"/>
      <x v="117"/>
    </i>
    <i r="2">
      <x v="360"/>
      <x v="338"/>
    </i>
    <i r="4">
      <x v="422"/>
      <x v="423"/>
      <x v="1"/>
      <x v="16"/>
      <x v="9"/>
      <x v="1"/>
      <x v="105"/>
      <x v="105"/>
    </i>
    <i r="2">
      <x v="361"/>
      <x v="339"/>
    </i>
    <i r="4">
      <x v="423"/>
      <x v="424"/>
      <x v="1"/>
      <x v="16"/>
      <x v="10"/>
      <x/>
      <x v="191"/>
      <x v="182"/>
    </i>
    <i r="2">
      <x v="362"/>
      <x v="340"/>
    </i>
    <i r="4">
      <x v="424"/>
      <x v="425"/>
      <x v="1"/>
      <x v="16"/>
      <x v="10"/>
      <x/>
      <x v="105"/>
      <x v="182"/>
    </i>
    <i r="2">
      <x v="363"/>
      <x v="341"/>
    </i>
    <i r="4">
      <x v="425"/>
      <x v="426"/>
      <x v="1"/>
      <x v="16"/>
      <x v="10"/>
      <x/>
      <x v="112"/>
      <x v="182"/>
    </i>
    <i r="2">
      <x v="364"/>
      <x v="342"/>
    </i>
    <i r="4">
      <x v="426"/>
      <x v="427"/>
      <x v="1"/>
      <x v="16"/>
      <x v="10"/>
      <x/>
      <x v="43"/>
      <x v="182"/>
    </i>
    <i r="2">
      <x v="365"/>
      <x v="343"/>
    </i>
    <i r="4">
      <x v="427"/>
      <x v="428"/>
      <x v="1"/>
      <x v="16"/>
      <x v="10"/>
      <x/>
      <x v="87"/>
      <x v="182"/>
    </i>
    <i r="2">
      <x v="366"/>
      <x v="344"/>
    </i>
    <i r="4">
      <x v="428"/>
      <x v="429"/>
      <x v="1"/>
      <x v="16"/>
      <x v="10"/>
      <x/>
      <x v="87"/>
      <x v="182"/>
    </i>
    <i r="2">
      <x v="367"/>
      <x v="345"/>
    </i>
    <i r="4">
      <x v="429"/>
      <x v="430"/>
      <x v="1"/>
      <x v="16"/>
      <x v="10"/>
      <x/>
      <x v="195"/>
      <x v="182"/>
    </i>
    <i r="2">
      <x v="370"/>
      <x v="350"/>
    </i>
    <i r="4">
      <x v="432"/>
      <x v="433"/>
      <x v="1"/>
      <x v="16"/>
      <x v="10"/>
      <x/>
      <x v="39"/>
      <x v="182"/>
    </i>
    <i r="2">
      <x v="371"/>
      <x v="351"/>
    </i>
    <i r="4">
      <x v="433"/>
      <x v="434"/>
      <x v="1"/>
      <x v="16"/>
      <x v="10"/>
      <x/>
      <x v="87"/>
      <x v="182"/>
    </i>
    <i r="2">
      <x v="372"/>
      <x v="352"/>
    </i>
    <i r="4">
      <x v="434"/>
      <x v="435"/>
      <x v="1"/>
      <x v="16"/>
      <x v="10"/>
      <x/>
      <x v="105"/>
      <x v="182"/>
    </i>
    <i r="2">
      <x v="374"/>
      <x v="353"/>
    </i>
    <i r="4">
      <x v="435"/>
      <x v="436"/>
      <x v="1"/>
      <x v="7"/>
      <x v="2"/>
      <x v="1"/>
      <x v="128"/>
      <x v="125"/>
    </i>
    <i r="2">
      <x v="375"/>
      <x v="165"/>
    </i>
    <i r="4">
      <x v="204"/>
      <x v="201"/>
      <x v="4"/>
      <x v="16"/>
      <x v="9"/>
      <x v="1"/>
      <x v="52"/>
      <x v="52"/>
    </i>
    <i r="2">
      <x v="390"/>
      <x v="360"/>
    </i>
    <i r="4">
      <x v="451"/>
      <x v="452"/>
      <x v="1"/>
      <x v="16"/>
      <x v="9"/>
      <x v="1"/>
      <x v="33"/>
      <x v="33"/>
    </i>
    <i r="2">
      <x v="401"/>
      <x v="371"/>
    </i>
    <i r="4">
      <x v="590"/>
      <x v="464"/>
      <x v="1"/>
      <x/>
      <x v="9"/>
      <x v="1"/>
      <x v="74"/>
      <x v="74"/>
    </i>
    <i r="2">
      <x v="405"/>
      <x v="414"/>
    </i>
    <i r="4">
      <x v="579"/>
      <x v="581"/>
      <x v="1"/>
      <x v="16"/>
      <x v="9"/>
      <x v="1"/>
      <x v="65"/>
      <x v="65"/>
    </i>
    <i r="2">
      <x v="495"/>
      <x v="409"/>
    </i>
    <i r="4">
      <x v="570"/>
      <x v="572"/>
      <x v="1"/>
      <x/>
      <x v="9"/>
      <x v="1"/>
      <x v="154"/>
      <x v="145"/>
    </i>
    <i r="2">
      <x v="499"/>
      <x v="413"/>
    </i>
    <i r="4">
      <x v="576"/>
      <x v="579"/>
      <x v="1"/>
      <x v="16"/>
      <x v="9"/>
      <x v="1"/>
      <x v="80"/>
      <x v="80"/>
    </i>
    <i r="2">
      <x v="500"/>
      <x v="415"/>
    </i>
    <i r="4">
      <x v="577"/>
      <x v="580"/>
      <x v="1"/>
      <x v="16"/>
      <x v="9"/>
      <x v="1"/>
      <x v="100"/>
      <x v="100"/>
    </i>
    <i r="2">
      <x v="502"/>
      <x v="372"/>
    </i>
    <i r="4">
      <x v="591"/>
      <x v="465"/>
      <x v="1"/>
      <x/>
      <x v="9"/>
      <x v="1"/>
      <x v="83"/>
      <x v="83"/>
    </i>
    <i r="2">
      <x v="515"/>
      <x v="429"/>
    </i>
    <i r="4">
      <x v="594"/>
      <x v="594"/>
      <x v="1"/>
      <x v="16"/>
      <x v="9"/>
      <x v="1"/>
      <x v="102"/>
      <x v="102"/>
    </i>
    <i r="2">
      <x v="522"/>
      <x v="436"/>
    </i>
    <i r="4">
      <x v="621"/>
      <x v="620"/>
      <x v="1"/>
      <x v="16"/>
      <x v="10"/>
      <x/>
      <x v="226"/>
      <x v="224"/>
    </i>
    <i r="2">
      <x v="523"/>
      <x v="437"/>
    </i>
    <i r="4">
      <x v="622"/>
      <x v="621"/>
      <x v="1"/>
      <x v="16"/>
      <x v="10"/>
      <x/>
      <x v="84"/>
      <x v="84"/>
    </i>
    <i r="2">
      <x v="525"/>
      <x v="439"/>
    </i>
    <i r="4">
      <x v="624"/>
      <x v="623"/>
      <x v="1"/>
      <x v="16"/>
      <x v="10"/>
      <x/>
      <x v="84"/>
      <x v="84"/>
    </i>
    <i r="2">
      <x v="538"/>
      <x v="452"/>
    </i>
    <i r="4">
      <x v="637"/>
      <x v="636"/>
      <x v="1"/>
      <x v="16"/>
      <x v="9"/>
      <x v="1"/>
      <x v="83"/>
      <x v="83"/>
    </i>
    <i r="1">
      <x v="17"/>
    </i>
    <i r="2">
      <x v="524"/>
      <x v="438"/>
    </i>
    <i r="4">
      <x v="623"/>
      <x v="622"/>
      <x v="1"/>
      <x v="16"/>
      <x v="10"/>
      <x/>
      <x v="84"/>
      <x v="84"/>
    </i>
    <i r="2">
      <x v="526"/>
      <x v="440"/>
    </i>
    <i r="4">
      <x v="625"/>
      <x v="624"/>
      <x v="1"/>
      <x v="16"/>
      <x v="10"/>
      <x/>
      <x v="84"/>
      <x v="84"/>
    </i>
    <i r="2">
      <x v="527"/>
      <x v="441"/>
    </i>
    <i r="4">
      <x v="626"/>
      <x v="625"/>
      <x v="1"/>
      <x v="16"/>
      <x v="10"/>
      <x/>
      <x v="84"/>
      <x v="84"/>
    </i>
    <i r="2">
      <x v="528"/>
      <x v="442"/>
    </i>
    <i r="4">
      <x v="627"/>
      <x v="626"/>
      <x v="1"/>
      <x v="16"/>
      <x v="10"/>
      <x/>
      <x v="84"/>
      <x v="84"/>
    </i>
    <i r="2">
      <x v="529"/>
      <x v="443"/>
    </i>
    <i r="4">
      <x v="628"/>
      <x v="627"/>
      <x v="1"/>
      <x v="16"/>
      <x v="10"/>
      <x/>
      <x v="227"/>
      <x v="225"/>
    </i>
    <i r="2">
      <x v="530"/>
      <x v="444"/>
    </i>
    <i r="4">
      <x v="629"/>
      <x v="628"/>
      <x v="1"/>
      <x v="16"/>
      <x v="10"/>
      <x/>
      <x v="227"/>
      <x v="225"/>
    </i>
    <i r="2">
      <x v="531"/>
      <x v="445"/>
    </i>
    <i r="4">
      <x v="630"/>
      <x v="629"/>
      <x v="1"/>
      <x v="16"/>
      <x v="10"/>
      <x/>
      <x v="227"/>
      <x v="225"/>
    </i>
    <i r="2">
      <x v="532"/>
      <x v="446"/>
    </i>
    <i r="4">
      <x v="631"/>
      <x v="630"/>
      <x v="1"/>
      <x v="16"/>
      <x v="10"/>
      <x/>
      <x v="227"/>
      <x v="225"/>
    </i>
    <i r="2">
      <x v="533"/>
      <x v="447"/>
    </i>
    <i r="4">
      <x v="632"/>
      <x v="631"/>
      <x v="1"/>
      <x v="16"/>
      <x v="10"/>
      <x/>
      <x v="227"/>
      <x v="225"/>
    </i>
    <i r="2">
      <x v="534"/>
      <x v="448"/>
    </i>
    <i r="4">
      <x v="633"/>
      <x v="632"/>
      <x v="1"/>
      <x v="16"/>
      <x v="10"/>
      <x/>
      <x v="227"/>
      <x v="225"/>
    </i>
    <i r="2">
      <x v="535"/>
      <x v="449"/>
    </i>
    <i r="4">
      <x v="634"/>
      <x v="633"/>
      <x v="1"/>
      <x v="16"/>
      <x v="10"/>
      <x/>
      <x v="227"/>
      <x v="225"/>
    </i>
    <i r="2">
      <x v="536"/>
      <x v="450"/>
    </i>
    <i r="4">
      <x v="635"/>
      <x v="634"/>
      <x v="1"/>
      <x v="16"/>
      <x v="10"/>
      <x/>
      <x v="72"/>
      <x v="72"/>
    </i>
    <i r="2">
      <x v="540"/>
      <x v="456"/>
    </i>
    <i r="4">
      <x v="639"/>
      <x v="638"/>
      <x v="1"/>
      <x v="16"/>
      <x v="10"/>
      <x v="2"/>
      <x v="115"/>
      <x v="113"/>
    </i>
    <i>
      <x v="6"/>
    </i>
    <i r="1">
      <x v="16"/>
    </i>
    <i r="2">
      <x v="72"/>
      <x v="81"/>
    </i>
    <i r="4">
      <x v="101"/>
      <x v="120"/>
      <x v="1"/>
      <x v="10"/>
      <x v="1"/>
      <x v="1"/>
      <x v="231"/>
      <x v="229"/>
    </i>
    <i r="2">
      <x v="73"/>
      <x v="82"/>
    </i>
    <i r="4">
      <x v="102"/>
      <x v="121"/>
      <x v="1"/>
      <x v="10"/>
      <x v="1"/>
      <x v="1"/>
      <x v="232"/>
      <x v="230"/>
    </i>
    <i r="2">
      <x v="74"/>
      <x v="83"/>
    </i>
    <i r="4">
      <x v="103"/>
      <x v="122"/>
      <x v="1"/>
      <x v="10"/>
      <x v="1"/>
      <x v="1"/>
      <x v="232"/>
      <x v="230"/>
    </i>
    <i r="2">
      <x v="75"/>
      <x v="84"/>
    </i>
    <i r="4">
      <x v="104"/>
      <x v="123"/>
      <x v="1"/>
      <x v="10"/>
      <x v="1"/>
      <x v="1"/>
      <x v="233"/>
      <x v="231"/>
    </i>
    <i r="2">
      <x v="76"/>
      <x v="85"/>
    </i>
    <i r="4">
      <x v="105"/>
      <x v="124"/>
      <x v="1"/>
      <x v="10"/>
      <x v="1"/>
      <x v="1"/>
      <x v="234"/>
      <x v="232"/>
    </i>
    <i r="2">
      <x v="77"/>
      <x v="86"/>
    </i>
    <i r="4">
      <x v="106"/>
      <x v="125"/>
      <x v="1"/>
      <x v="10"/>
      <x v="1"/>
      <x v="1"/>
      <x v="235"/>
      <x v="233"/>
    </i>
    <i r="2">
      <x v="78"/>
      <x v="87"/>
    </i>
    <i r="4">
      <x v="107"/>
      <x v="126"/>
      <x v="1"/>
      <x v="10"/>
      <x v="1"/>
      <x v="1"/>
      <x v="235"/>
      <x v="233"/>
    </i>
    <i r="2">
      <x v="79"/>
      <x v="73"/>
    </i>
    <i r="4">
      <x v="108"/>
      <x v="127"/>
      <x v="1"/>
      <x v="10"/>
      <x v="1"/>
      <x v="1"/>
      <x v="236"/>
      <x v="234"/>
    </i>
    <i r="2">
      <x v="80"/>
      <x v="74"/>
    </i>
    <i r="4">
      <x v="109"/>
      <x v="128"/>
      <x v="1"/>
      <x v="10"/>
      <x v="1"/>
      <x v="1"/>
      <x v="235"/>
      <x v="233"/>
    </i>
    <i r="2">
      <x v="81"/>
      <x v="75"/>
    </i>
    <i r="4">
      <x v="110"/>
      <x v="129"/>
      <x v="1"/>
      <x v="10"/>
      <x v="1"/>
      <x v="1"/>
      <x v="235"/>
      <x v="233"/>
    </i>
    <i r="2">
      <x v="82"/>
      <x v="76"/>
    </i>
    <i r="4">
      <x v="111"/>
      <x v="130"/>
      <x v="1"/>
      <x v="10"/>
      <x v="1"/>
      <x v="1"/>
      <x v="237"/>
      <x v="235"/>
    </i>
    <i r="2">
      <x v="83"/>
      <x v="77"/>
    </i>
    <i r="4">
      <x v="112"/>
      <x v="131"/>
      <x v="1"/>
      <x v="10"/>
      <x v="1"/>
      <x v="1"/>
      <x v="237"/>
      <x v="235"/>
    </i>
    <i r="2">
      <x v="84"/>
      <x v="78"/>
    </i>
    <i r="4">
      <x v="113"/>
      <x v="132"/>
      <x v="1"/>
      <x v="10"/>
      <x v="1"/>
      <x v="1"/>
      <x v="237"/>
      <x v="235"/>
    </i>
    <i r="2">
      <x v="85"/>
      <x v="79"/>
    </i>
    <i r="4">
      <x v="114"/>
      <x v="133"/>
      <x v="1"/>
      <x v="10"/>
      <x v="1"/>
      <x v="1"/>
      <x v="237"/>
      <x v="235"/>
    </i>
    <i r="2">
      <x v="86"/>
      <x v="66"/>
    </i>
    <i r="4">
      <x v="115"/>
      <x v="134"/>
      <x v="1"/>
      <x v="10"/>
      <x v="1"/>
      <x v="1"/>
      <x v="236"/>
      <x v="234"/>
    </i>
    <i r="2">
      <x v="87"/>
      <x v="67"/>
    </i>
    <i r="4">
      <x v="116"/>
      <x v="135"/>
      <x v="1"/>
      <x v="10"/>
      <x v="1"/>
      <x v="1"/>
      <x v="235"/>
      <x v="233"/>
    </i>
    <i r="2">
      <x v="88"/>
      <x v="68"/>
    </i>
    <i r="4">
      <x v="117"/>
      <x v="136"/>
      <x v="1"/>
      <x v="10"/>
      <x v="1"/>
      <x v="1"/>
      <x v="102"/>
      <x v="102"/>
    </i>
    <i r="2">
      <x v="89"/>
      <x v="69"/>
    </i>
    <i r="4">
      <x v="118"/>
      <x v="137"/>
      <x v="1"/>
      <x v="10"/>
      <x v="1"/>
      <x v="1"/>
      <x v="237"/>
      <x v="235"/>
    </i>
    <i r="2">
      <x v="90"/>
      <x v="70"/>
    </i>
    <i r="4">
      <x v="119"/>
      <x v="138"/>
      <x v="1"/>
      <x v="10"/>
      <x v="1"/>
      <x v="1"/>
      <x v="237"/>
      <x v="235"/>
    </i>
    <i r="2">
      <x v="91"/>
      <x v="71"/>
    </i>
    <i r="4">
      <x v="120"/>
      <x v="139"/>
      <x v="1"/>
      <x v="10"/>
      <x v="1"/>
      <x v="1"/>
      <x v="237"/>
      <x v="235"/>
    </i>
    <i r="2">
      <x v="92"/>
      <x v="72"/>
    </i>
    <i r="4">
      <x v="121"/>
      <x v="140"/>
      <x v="1"/>
      <x v="10"/>
      <x v="1"/>
      <x v="1"/>
      <x v="237"/>
      <x v="235"/>
    </i>
    <i r="2">
      <x v="93"/>
      <x v="88"/>
    </i>
    <i r="4">
      <x v="122"/>
      <x v="141"/>
      <x v="1"/>
      <x v="10"/>
      <x v="1"/>
      <x v="1"/>
      <x v="103"/>
      <x v="103"/>
    </i>
    <i r="2">
      <x v="94"/>
      <x v="89"/>
    </i>
    <i r="4">
      <x v="123"/>
      <x v="142"/>
      <x v="1"/>
      <x v="10"/>
      <x v="1"/>
      <x v="1"/>
      <x v="237"/>
      <x v="235"/>
    </i>
    <i r="2">
      <x v="95"/>
      <x v="90"/>
    </i>
    <i r="4">
      <x v="124"/>
      <x v="143"/>
      <x v="1"/>
      <x v="10"/>
      <x v="1"/>
      <x v="1"/>
      <x v="237"/>
      <x v="235"/>
    </i>
    <i r="2">
      <x v="96"/>
      <x v="91"/>
    </i>
    <i r="4">
      <x v="125"/>
      <x v="144"/>
      <x v="1"/>
      <x v="10"/>
      <x v="1"/>
      <x v="1"/>
      <x v="238"/>
      <x v="236"/>
    </i>
    <i r="2">
      <x v="97"/>
      <x v="92"/>
    </i>
    <i r="4">
      <x v="126"/>
      <x v="145"/>
      <x v="1"/>
      <x v="10"/>
      <x v="1"/>
      <x v="1"/>
      <x v="238"/>
      <x v="236"/>
    </i>
    <i r="2">
      <x v="98"/>
      <x v="93"/>
    </i>
    <i r="4">
      <x v="127"/>
      <x v="146"/>
      <x v="1"/>
      <x v="10"/>
      <x v="1"/>
      <x v="1"/>
      <x v="239"/>
      <x v="237"/>
    </i>
    <i r="2">
      <x v="99"/>
      <x v="94"/>
    </i>
    <i r="4">
      <x v="128"/>
      <x v="147"/>
      <x v="1"/>
      <x v="10"/>
      <x v="1"/>
      <x v="1"/>
      <x v="239"/>
      <x v="237"/>
    </i>
    <i r="2">
      <x v="100"/>
      <x v="95"/>
    </i>
    <i r="4">
      <x v="129"/>
      <x v="148"/>
      <x v="1"/>
      <x v="10"/>
      <x v="1"/>
      <x v="1"/>
      <x v="236"/>
      <x v="234"/>
    </i>
    <i r="2">
      <x v="101"/>
      <x v="96"/>
    </i>
    <i r="4">
      <x v="130"/>
      <x v="149"/>
      <x v="1"/>
      <x v="10"/>
      <x v="1"/>
      <x v="1"/>
      <x v="235"/>
      <x v="233"/>
    </i>
    <i r="2">
      <x v="102"/>
      <x v="97"/>
    </i>
    <i r="4">
      <x v="131"/>
      <x v="150"/>
      <x v="1"/>
      <x v="10"/>
      <x v="1"/>
      <x v="1"/>
      <x v="103"/>
      <x v="103"/>
    </i>
    <i r="2">
      <x v="103"/>
      <x v="98"/>
    </i>
    <i r="4">
      <x v="132"/>
      <x v="151"/>
      <x v="1"/>
      <x v="10"/>
      <x v="1"/>
      <x v="1"/>
      <x v="237"/>
      <x v="235"/>
    </i>
    <i r="2">
      <x v="104"/>
      <x v="99"/>
    </i>
    <i r="4">
      <x v="133"/>
      <x v="152"/>
      <x v="1"/>
      <x v="10"/>
      <x v="1"/>
      <x v="1"/>
      <x v="234"/>
      <x v="232"/>
    </i>
    <i r="2">
      <x v="105"/>
      <x v="100"/>
    </i>
    <i r="4">
      <x v="134"/>
      <x v="153"/>
      <x v="1"/>
      <x v="10"/>
      <x v="1"/>
      <x v="1"/>
      <x v="235"/>
      <x v="233"/>
    </i>
    <i r="2">
      <x v="106"/>
      <x v="101"/>
    </i>
    <i r="4">
      <x v="135"/>
      <x v="154"/>
      <x v="1"/>
      <x v="10"/>
      <x v="1"/>
      <x v="1"/>
      <x v="103"/>
      <x v="103"/>
    </i>
    <i r="2">
      <x v="107"/>
      <x v="102"/>
    </i>
    <i r="4">
      <x v="136"/>
      <x v="155"/>
      <x v="1"/>
      <x v="10"/>
      <x v="1"/>
      <x v="1"/>
      <x v="237"/>
      <x v="235"/>
    </i>
    <i r="2">
      <x v="108"/>
      <x v="80"/>
    </i>
    <i r="4">
      <x v="137"/>
      <x v="156"/>
      <x v="1"/>
      <x v="16"/>
      <x v="1"/>
      <x v="1"/>
      <x v="240"/>
      <x v="238"/>
    </i>
    <i r="2">
      <x v="109"/>
      <x v="80"/>
    </i>
    <i r="4">
      <x v="138"/>
      <x v="157"/>
      <x v="1"/>
      <x v="16"/>
      <x v="1"/>
      <x v="1"/>
      <x v="241"/>
      <x v="239"/>
    </i>
    <i r="2">
      <x v="110"/>
      <x v="80"/>
    </i>
    <i r="4">
      <x v="139"/>
      <x v="158"/>
      <x v="1"/>
      <x v="16"/>
      <x v="1"/>
      <x v="1"/>
      <x v="241"/>
      <x v="239"/>
    </i>
    <i r="2">
      <x v="111"/>
      <x v="80"/>
    </i>
    <i r="4">
      <x v="140"/>
      <x v="159"/>
      <x v="1"/>
      <x v="16"/>
      <x v="1"/>
      <x v="1"/>
      <x v="242"/>
      <x v="240"/>
    </i>
    <i r="2">
      <x v="112"/>
      <x v="80"/>
    </i>
    <i r="4">
      <x v="141"/>
      <x v="160"/>
      <x v="1"/>
      <x v="16"/>
      <x v="1"/>
      <x v="1"/>
      <x v="244"/>
      <x v="242"/>
    </i>
    <i r="2">
      <x v="113"/>
      <x v="80"/>
    </i>
    <i r="4">
      <x v="142"/>
      <x v="161"/>
      <x v="1"/>
      <x v="16"/>
      <x v="1"/>
      <x v="1"/>
      <x v="240"/>
      <x v="238"/>
    </i>
    <i r="2">
      <x v="114"/>
      <x v="80"/>
    </i>
    <i r="4">
      <x v="143"/>
      <x v="162"/>
      <x v="1"/>
      <x v="16"/>
      <x v="1"/>
      <x v="1"/>
      <x v="241"/>
      <x v="239"/>
    </i>
    <i r="2">
      <x v="115"/>
      <x v="80"/>
    </i>
    <i r="4">
      <x v="144"/>
      <x v="163"/>
      <x v="1"/>
      <x v="16"/>
      <x v="1"/>
      <x v="1"/>
      <x v="242"/>
      <x v="240"/>
    </i>
    <i r="2">
      <x v="116"/>
      <x v="80"/>
    </i>
    <i r="4">
      <x v="145"/>
      <x v="164"/>
      <x v="1"/>
      <x v="16"/>
      <x v="1"/>
      <x v="1"/>
      <x v="242"/>
      <x v="240"/>
    </i>
    <i r="2">
      <x v="138"/>
      <x v="234"/>
    </i>
    <i r="4">
      <x v="168"/>
      <x v="166"/>
      <x v="1"/>
      <x v="16"/>
      <x v="1"/>
      <x v="1"/>
      <x v="243"/>
      <x v="241"/>
    </i>
    <i r="2">
      <x v="266"/>
      <x v="80"/>
    </i>
    <i r="4">
      <x v="316"/>
      <x v="322"/>
      <x v="1"/>
      <x v="16"/>
      <x v="1"/>
      <x v="1"/>
      <x v="245"/>
      <x v="243"/>
    </i>
    <i r="2">
      <x v="267"/>
      <x v="80"/>
    </i>
    <i r="4">
      <x v="315"/>
      <x v="321"/>
      <x v="1"/>
      <x v="16"/>
      <x v="1"/>
      <x v="1"/>
      <x v="241"/>
      <x v="239"/>
    </i>
    <i>
      <x v="7"/>
    </i>
    <i r="1">
      <x v="16"/>
    </i>
    <i r="2">
      <x v="117"/>
      <x v="9"/>
    </i>
    <i r="4">
      <x v="151"/>
      <x v="4"/>
      <x v="1"/>
      <x/>
      <x/>
      <x v="1"/>
      <x v="214"/>
      <x v="212"/>
    </i>
    <i r="2">
      <x v="118"/>
      <x v="10"/>
    </i>
    <i r="4">
      <x v="148"/>
      <x/>
      <x v="1"/>
      <x v="16"/>
      <x/>
      <x v="1"/>
      <x v="212"/>
      <x v="210"/>
    </i>
    <i r="2">
      <x v="119"/>
      <x v="11"/>
    </i>
    <i r="4">
      <x v="149"/>
      <x v="243"/>
      <x v="1"/>
      <x v="16"/>
      <x/>
      <x v="1"/>
      <x v="213"/>
      <x v="211"/>
    </i>
    <i r="2">
      <x v="120"/>
      <x v="50"/>
    </i>
    <i r="4">
      <x v="146"/>
      <x v="1"/>
      <x v="1"/>
      <x v="16"/>
      <x/>
      <x v="1"/>
      <x v="211"/>
      <x v="209"/>
    </i>
    <i r="2">
      <x v="121"/>
      <x v="51"/>
    </i>
    <i r="4">
      <x v="147"/>
      <x v="2"/>
      <x v="1"/>
      <x v="16"/>
      <x/>
      <x v="1"/>
      <x v="153"/>
      <x v="144"/>
    </i>
    <i r="2">
      <x v="122"/>
      <x v="127"/>
    </i>
    <i r="4">
      <x v="150"/>
      <x v="3"/>
      <x v="1"/>
      <x v="16"/>
      <x/>
      <x v="1"/>
      <x v="63"/>
      <x v="63"/>
    </i>
    <i r="2">
      <x v="123"/>
      <x v="31"/>
    </i>
    <i r="4">
      <x v="152"/>
      <x v="5"/>
      <x v="1"/>
      <x v="16"/>
      <x/>
      <x v="1"/>
      <x v="215"/>
      <x v="213"/>
    </i>
    <i r="2">
      <x v="124"/>
      <x v="31"/>
    </i>
    <i r="4">
      <x v="153"/>
      <x v="6"/>
      <x v="1"/>
      <x v="16"/>
      <x/>
      <x v="1"/>
      <x v="216"/>
      <x v="214"/>
    </i>
    <i r="2">
      <x v="125"/>
      <x v="27"/>
    </i>
    <i r="4">
      <x v="155"/>
      <x v="7"/>
      <x v="1"/>
      <x v="16"/>
      <x/>
      <x v="1"/>
      <x v="134"/>
      <x v="128"/>
    </i>
    <i r="2">
      <x v="126"/>
      <x v="25"/>
    </i>
    <i r="4">
      <x v="156"/>
      <x v="8"/>
      <x v="1"/>
      <x v="16"/>
      <x/>
      <x v="1"/>
      <x v="217"/>
      <x v="215"/>
    </i>
    <i r="2">
      <x v="127"/>
      <x v="36"/>
    </i>
    <i r="4">
      <x v="157"/>
      <x v="9"/>
      <x v="1"/>
      <x v="16"/>
      <x/>
      <x v="1"/>
      <x v="217"/>
      <x v="215"/>
    </i>
    <i r="2">
      <x v="128"/>
      <x v="24"/>
    </i>
    <i r="4">
      <x v="158"/>
      <x v="10"/>
      <x v="1"/>
      <x v="16"/>
      <x/>
      <x v="1"/>
      <x v="153"/>
      <x v="144"/>
    </i>
    <i r="2">
      <x v="129"/>
      <x v="26"/>
    </i>
    <i r="4">
      <x v="159"/>
      <x v="11"/>
      <x v="1"/>
      <x v="16"/>
      <x/>
      <x v="1"/>
      <x v="140"/>
      <x v="134"/>
    </i>
    <i r="2">
      <x v="130"/>
      <x v="29"/>
    </i>
    <i r="4">
      <x v="160"/>
      <x v="12"/>
      <x v="1"/>
      <x v="16"/>
      <x/>
      <x v="1"/>
      <x v="218"/>
      <x v="216"/>
    </i>
    <i r="2">
      <x v="131"/>
      <x v="32"/>
    </i>
    <i r="4">
      <x v="161"/>
      <x v="13"/>
      <x v="1"/>
      <x v="16"/>
      <x/>
      <x v="1"/>
      <x v="219"/>
      <x v="217"/>
    </i>
    <i r="2">
      <x v="132"/>
      <x v="30"/>
    </i>
    <i r="4">
      <x v="162"/>
      <x v="257"/>
      <x v="1"/>
      <x v="16"/>
      <x/>
      <x v="1"/>
      <x v="220"/>
      <x v="218"/>
    </i>
    <i r="2">
      <x v="133"/>
      <x v="34"/>
    </i>
    <i r="4">
      <x v="163"/>
      <x v="14"/>
      <x v="1"/>
      <x v="16"/>
      <x/>
      <x v="1"/>
      <x v="171"/>
      <x v="160"/>
    </i>
    <i r="2">
      <x v="134"/>
      <x v="33"/>
    </i>
    <i r="4">
      <x v="164"/>
      <x v="15"/>
      <x v="1"/>
      <x v="16"/>
      <x/>
      <x v="1"/>
      <x v="221"/>
      <x v="219"/>
    </i>
    <i r="2">
      <x v="135"/>
      <x v="35"/>
    </i>
    <i r="4">
      <x v="165"/>
      <x v="16"/>
      <x v="1"/>
      <x v="16"/>
      <x/>
      <x v="1"/>
      <x v="222"/>
      <x v="220"/>
    </i>
    <i r="2">
      <x v="136"/>
      <x v="28"/>
    </i>
    <i r="4">
      <x v="166"/>
      <x v="17"/>
      <x v="1"/>
      <x v="16"/>
      <x/>
      <x v="1"/>
      <x v="224"/>
      <x v="222"/>
    </i>
    <i r="2">
      <x v="137"/>
      <x v="110"/>
    </i>
    <i r="4">
      <x v="167"/>
      <x v="258"/>
      <x v="1"/>
      <x v="16"/>
      <x/>
      <x v="1"/>
      <x v="225"/>
      <x v="223"/>
    </i>
    <i r="2">
      <x v="251"/>
      <x v="235"/>
    </i>
    <i r="4">
      <x v="299"/>
      <x v="256"/>
      <x v="1"/>
      <x v="16"/>
      <x/>
      <x v="1"/>
      <x v="151"/>
      <x v="142"/>
    </i>
    <i r="2">
      <x v="256"/>
      <x v="238"/>
    </i>
    <i r="4">
      <x v="304"/>
      <x v="248"/>
      <x v="1"/>
      <x v="16"/>
      <x/>
      <x v="1"/>
      <x v="223"/>
      <x v="221"/>
    </i>
  </rowItems>
  <colItems count="1">
    <i/>
  </colItems>
  <formats count="350">
    <format dxfId="842">
      <pivotArea field="3" type="button" dataOnly="0" labelOnly="1" outline="0" axis="axisRow" fieldPosition="0"/>
    </format>
    <format dxfId="841">
      <pivotArea field="2" type="button" dataOnly="0" labelOnly="1" outline="0" axis="axisRow" fieldPosition="3"/>
    </format>
    <format dxfId="840">
      <pivotArea field="7" type="button" dataOnly="0" labelOnly="1" outline="0" axis="axisRow" fieldPosition="5"/>
    </format>
    <format dxfId="839">
      <pivotArea field="9" type="button" dataOnly="0" labelOnly="1" outline="0" axis="axisRow" fieldPosition="6"/>
    </format>
    <format dxfId="838">
      <pivotArea dataOnly="0" labelOnly="1" fieldPosition="0">
        <references count="1">
          <reference field="4" count="0"/>
        </references>
      </pivotArea>
    </format>
    <format dxfId="837">
      <pivotArea dataOnly="0" labelOnly="1" fieldPosition="0">
        <references count="1">
          <reference field="4" count="0"/>
        </references>
      </pivotArea>
    </format>
    <format dxfId="836">
      <pivotArea dataOnly="0" labelOnly="1" fieldPosition="0">
        <references count="1">
          <reference field="1" count="0"/>
        </references>
      </pivotArea>
    </format>
    <format dxfId="835">
      <pivotArea dataOnly="0" labelOnly="1" fieldPosition="0">
        <references count="1">
          <reference field="3" count="0"/>
        </references>
      </pivotArea>
    </format>
    <format dxfId="834">
      <pivotArea dataOnly="0" labelOnly="1" fieldPosition="0">
        <references count="1">
          <reference field="3" count="0"/>
        </references>
      </pivotArea>
    </format>
    <format dxfId="833">
      <pivotArea dataOnly="0" labelOnly="1" fieldPosition="0">
        <references count="1">
          <reference field="3" count="0"/>
        </references>
      </pivotArea>
    </format>
    <format dxfId="832">
      <pivotArea field="3" type="button" dataOnly="0" labelOnly="1" outline="0" axis="axisRow" fieldPosition="0"/>
    </format>
    <format dxfId="831">
      <pivotArea field="2" type="button" dataOnly="0" labelOnly="1" outline="0" axis="axisRow" fieldPosition="3"/>
    </format>
    <format dxfId="830">
      <pivotArea field="7" type="button" dataOnly="0" labelOnly="1" outline="0" axis="axisRow" fieldPosition="5"/>
    </format>
    <format dxfId="829">
      <pivotArea field="9" type="button" dataOnly="0" labelOnly="1" outline="0" axis="axisRow" fieldPosition="6"/>
    </format>
    <format dxfId="828">
      <pivotArea dataOnly="0" labelOnly="1" fieldPosition="0">
        <references count="1">
          <reference field="0" count="0"/>
        </references>
      </pivotArea>
    </format>
    <format dxfId="827">
      <pivotArea dataOnly="0" labelOnly="1" fieldPosition="0">
        <references count="1">
          <reference field="7" count="0"/>
        </references>
      </pivotArea>
    </format>
    <format dxfId="826">
      <pivotArea dataOnly="0" labelOnly="1" fieldPosition="0">
        <references count="1">
          <reference field="9" count="0"/>
        </references>
      </pivotArea>
    </format>
    <format dxfId="825">
      <pivotArea dataOnly="0" labelOnly="1" fieldPosition="0">
        <references count="1">
          <reference field="3" count="0"/>
        </references>
      </pivotArea>
    </format>
    <format dxfId="824">
      <pivotArea dataOnly="0" labelOnly="1" fieldPosition="0">
        <references count="1">
          <reference field="16" count="0"/>
        </references>
      </pivotArea>
    </format>
    <format dxfId="823">
      <pivotArea dataOnly="0" labelOnly="1" fieldPosition="0">
        <references count="1">
          <reference field="16" count="0"/>
        </references>
      </pivotArea>
    </format>
    <format dxfId="822">
      <pivotArea field="16" type="button" dataOnly="0" labelOnly="1" outline="0" axis="axisRow" fieldPosition="9"/>
    </format>
    <format dxfId="821">
      <pivotArea dataOnly="0" labelOnly="1" fieldPosition="0">
        <references count="1">
          <reference field="5" count="0"/>
        </references>
      </pivotArea>
    </format>
    <format dxfId="820">
      <pivotArea field="5" type="button" dataOnly="0" labelOnly="1" outline="0" axis="axisRow" fieldPosition="8"/>
    </format>
    <format dxfId="819">
      <pivotArea field="5" type="button" dataOnly="0" labelOnly="1" outline="0" axis="axisRow" fieldPosition="8"/>
    </format>
    <format dxfId="818">
      <pivotArea dataOnly="0" labelOnly="1" fieldPosition="0">
        <references count="1">
          <reference field="16" count="0"/>
        </references>
      </pivotArea>
    </format>
    <format dxfId="817">
      <pivotArea dataOnly="0" labelOnly="1" fieldPosition="0">
        <references count="1">
          <reference field="8" count="0"/>
        </references>
      </pivotArea>
    </format>
    <format dxfId="816">
      <pivotArea dataOnly="0" labelOnly="1" fieldPosition="0">
        <references count="1">
          <reference field="8" count="0"/>
        </references>
      </pivotArea>
    </format>
    <format dxfId="815">
      <pivotArea field="8" type="button" dataOnly="0" labelOnly="1" outline="0" axis="axisRow" fieldPosition="7"/>
    </format>
    <format dxfId="814">
      <pivotArea dataOnly="0" labelOnly="1" fieldPosition="0">
        <references count="1">
          <reference field="5" count="0"/>
        </references>
      </pivotArea>
    </format>
    <format dxfId="813">
      <pivotArea dataOnly="0" labelOnly="1" fieldPosition="0">
        <references count="1">
          <reference field="3" count="1">
            <x v="1"/>
          </reference>
        </references>
      </pivotArea>
    </format>
    <format dxfId="812">
      <pivotArea dataOnly="0" labelOnly="1" fieldPosition="0">
        <references count="1">
          <reference field="3" count="1">
            <x v="2"/>
          </reference>
        </references>
      </pivotArea>
    </format>
    <format dxfId="811">
      <pivotArea dataOnly="0" labelOnly="1" fieldPosition="0">
        <references count="1">
          <reference field="3" count="1">
            <x v="3"/>
          </reference>
        </references>
      </pivotArea>
    </format>
    <format dxfId="810">
      <pivotArea dataOnly="0" labelOnly="1" fieldPosition="0">
        <references count="1">
          <reference field="3" count="1">
            <x v="4"/>
          </reference>
        </references>
      </pivotArea>
    </format>
    <format dxfId="809">
      <pivotArea dataOnly="0" labelOnly="1" fieldPosition="0">
        <references count="1">
          <reference field="3" count="1">
            <x v="5"/>
          </reference>
        </references>
      </pivotArea>
    </format>
    <format dxfId="808">
      <pivotArea dataOnly="0" labelOnly="1" fieldPosition="0">
        <references count="1">
          <reference field="3" count="1">
            <x v="6"/>
          </reference>
        </references>
      </pivotArea>
    </format>
    <format dxfId="807">
      <pivotArea dataOnly="0" labelOnly="1" fieldPosition="0">
        <references count="1">
          <reference field="3" count="1">
            <x v="7"/>
          </reference>
        </references>
      </pivotArea>
    </format>
    <format dxfId="806">
      <pivotArea dataOnly="0" labelOnly="1" fieldPosition="0">
        <references count="2">
          <reference field="3" count="1" selected="0">
            <x v="0"/>
          </reference>
          <reference field="4" count="1">
            <x v="1"/>
          </reference>
        </references>
      </pivotArea>
    </format>
    <format dxfId="805">
      <pivotArea dataOnly="0" labelOnly="1" fieldPosition="0">
        <references count="2">
          <reference field="3" count="1" selected="0">
            <x v="0"/>
          </reference>
          <reference field="4" count="1">
            <x v="5"/>
          </reference>
        </references>
      </pivotArea>
    </format>
    <format dxfId="804">
      <pivotArea dataOnly="0" labelOnly="1" fieldPosition="0">
        <references count="2">
          <reference field="3" count="1" selected="0">
            <x v="0"/>
          </reference>
          <reference field="4" count="1">
            <x v="6"/>
          </reference>
        </references>
      </pivotArea>
    </format>
    <format dxfId="803">
      <pivotArea dataOnly="0" labelOnly="1" fieldPosition="0">
        <references count="2">
          <reference field="3" count="1" selected="0">
            <x v="0"/>
          </reference>
          <reference field="4" count="1">
            <x v="7"/>
          </reference>
        </references>
      </pivotArea>
    </format>
    <format dxfId="802">
      <pivotArea dataOnly="0" labelOnly="1" fieldPosition="0">
        <references count="2">
          <reference field="3" count="1" selected="0">
            <x v="0"/>
          </reference>
          <reference field="4" count="1">
            <x v="9"/>
          </reference>
        </references>
      </pivotArea>
    </format>
    <format dxfId="801">
      <pivotArea dataOnly="0" labelOnly="1" fieldPosition="0">
        <references count="2">
          <reference field="3" count="1" selected="0">
            <x v="0"/>
          </reference>
          <reference field="4" count="1">
            <x v="10"/>
          </reference>
        </references>
      </pivotArea>
    </format>
    <format dxfId="800">
      <pivotArea dataOnly="0" labelOnly="1" fieldPosition="0">
        <references count="2">
          <reference field="3" count="1" selected="0">
            <x v="0"/>
          </reference>
          <reference field="4" count="1">
            <x v="11"/>
          </reference>
        </references>
      </pivotArea>
    </format>
    <format dxfId="799">
      <pivotArea dataOnly="0" labelOnly="1" fieldPosition="0">
        <references count="2">
          <reference field="3" count="1" selected="0">
            <x v="0"/>
          </reference>
          <reference field="4" count="1">
            <x v="16"/>
          </reference>
        </references>
      </pivotArea>
    </format>
    <format dxfId="798">
      <pivotArea dataOnly="0" labelOnly="1" fieldPosition="0">
        <references count="2">
          <reference field="3" count="1" selected="0">
            <x v="1"/>
          </reference>
          <reference field="4" count="1">
            <x v="7"/>
          </reference>
        </references>
      </pivotArea>
    </format>
    <format dxfId="797">
      <pivotArea dataOnly="0" labelOnly="1" fieldPosition="0">
        <references count="2">
          <reference field="3" count="1" selected="0">
            <x v="1"/>
          </reference>
          <reference field="4" count="1">
            <x v="8"/>
          </reference>
        </references>
      </pivotArea>
    </format>
    <format dxfId="796">
      <pivotArea dataOnly="0" labelOnly="1" fieldPosition="0">
        <references count="2">
          <reference field="3" count="1" selected="0">
            <x v="1"/>
          </reference>
          <reference field="4" count="1">
            <x v="13"/>
          </reference>
        </references>
      </pivotArea>
    </format>
    <format dxfId="795">
      <pivotArea dataOnly="0" labelOnly="1" fieldPosition="0">
        <references count="2">
          <reference field="3" count="1" selected="0">
            <x v="1"/>
          </reference>
          <reference field="4" count="1">
            <x v="14"/>
          </reference>
        </references>
      </pivotArea>
    </format>
    <format dxfId="794">
      <pivotArea dataOnly="0" labelOnly="1" fieldPosition="0">
        <references count="2">
          <reference field="3" count="1" selected="0">
            <x v="1"/>
          </reference>
          <reference field="4" count="1">
            <x v="15"/>
          </reference>
        </references>
      </pivotArea>
    </format>
    <format dxfId="793">
      <pivotArea dataOnly="0" labelOnly="1" fieldPosition="0">
        <references count="2">
          <reference field="3" count="1" selected="0">
            <x v="1"/>
          </reference>
          <reference field="4" count="1">
            <x v="16"/>
          </reference>
        </references>
      </pivotArea>
    </format>
    <format dxfId="792">
      <pivotArea dataOnly="0" labelOnly="1" fieldPosition="0">
        <references count="2">
          <reference field="3" count="1" selected="0">
            <x v="2"/>
          </reference>
          <reference field="4" count="1">
            <x v="16"/>
          </reference>
        </references>
      </pivotArea>
    </format>
    <format dxfId="791">
      <pivotArea dataOnly="0" labelOnly="1" fieldPosition="0">
        <references count="2">
          <reference field="3" count="1" selected="0">
            <x v="3"/>
          </reference>
          <reference field="4" count="1">
            <x v="16"/>
          </reference>
        </references>
      </pivotArea>
    </format>
    <format dxfId="790">
      <pivotArea dataOnly="0" labelOnly="1" fieldPosition="0">
        <references count="2">
          <reference field="3" count="1" selected="0">
            <x v="4"/>
          </reference>
          <reference field="4" count="1">
            <x v="16"/>
          </reference>
        </references>
      </pivotArea>
    </format>
    <format dxfId="789">
      <pivotArea dataOnly="0" labelOnly="1" fieldPosition="0">
        <references count="2">
          <reference field="3" count="1" selected="0">
            <x v="5"/>
          </reference>
          <reference field="4" count="1">
            <x v="16"/>
          </reference>
        </references>
      </pivotArea>
    </format>
    <format dxfId="788">
      <pivotArea dataOnly="0" labelOnly="1" fieldPosition="0">
        <references count="2">
          <reference field="3" count="1" selected="0">
            <x v="6"/>
          </reference>
          <reference field="4" count="1">
            <x v="16"/>
          </reference>
        </references>
      </pivotArea>
    </format>
    <format dxfId="787">
      <pivotArea dataOnly="0" labelOnly="1" fieldPosition="0">
        <references count="2">
          <reference field="3" count="1" selected="0">
            <x v="7"/>
          </reference>
          <reference field="4" count="1">
            <x v="16"/>
          </reference>
        </references>
      </pivotArea>
    </format>
    <format dxfId="786">
      <pivotArea dataOnly="0" labelOnly="1" fieldPosition="0">
        <references count="4">
          <reference field="1" count="1" selected="0">
            <x v="49"/>
          </reference>
          <reference field="2" count="1">
            <x v="112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5">
      <pivotArea dataOnly="0" labelOnly="1" fieldPosition="0">
        <references count="4">
          <reference field="1" count="1" selected="0">
            <x v="50"/>
          </reference>
          <reference field="2" count="1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4">
      <pivotArea dataOnly="0" labelOnly="1" fieldPosition="0">
        <references count="4">
          <reference field="1" count="1" selected="0">
            <x v="65"/>
          </reference>
          <reference field="2" count="1">
            <x v="65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3">
      <pivotArea dataOnly="0" labelOnly="1" fieldPosition="0">
        <references count="4">
          <reference field="1" count="1" selected="0">
            <x v="339"/>
          </reference>
          <reference field="2" count="1">
            <x v="323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2">
      <pivotArea dataOnly="0" labelOnly="1" fieldPosition="0">
        <references count="4">
          <reference field="1" count="1" selected="0">
            <x v="340"/>
          </reference>
          <reference field="2" count="1">
            <x v="324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1">
      <pivotArea dataOnly="0" labelOnly="1" fieldPosition="0">
        <references count="4">
          <reference field="1" count="1" selected="0">
            <x v="344"/>
          </reference>
          <reference field="2" count="1">
            <x v="328"/>
          </reference>
          <reference field="3" count="1" selected="0">
            <x v="0"/>
          </reference>
          <reference field="4" count="1" selected="0">
            <x v="0"/>
          </reference>
        </references>
      </pivotArea>
    </format>
    <format dxfId="780">
      <pivotArea dataOnly="0" labelOnly="1" fieldPosition="0">
        <references count="4">
          <reference field="1" count="1" selected="0">
            <x v="51"/>
          </reference>
          <reference field="2" count="1">
            <x v="134"/>
          </reference>
          <reference field="3" count="1" selected="0">
            <x v="0"/>
          </reference>
          <reference field="4" count="1" selected="0">
            <x v="1"/>
          </reference>
        </references>
      </pivotArea>
    </format>
    <format dxfId="779">
      <pivotArea dataOnly="0" labelOnly="1" fieldPosition="0">
        <references count="4">
          <reference field="1" count="1" selected="0">
            <x v="52"/>
          </reference>
          <reference field="2" count="1">
            <x v="139"/>
          </reference>
          <reference field="3" count="1" selected="0">
            <x v="0"/>
          </reference>
          <reference field="4" count="1" selected="0">
            <x v="1"/>
          </reference>
        </references>
      </pivotArea>
    </format>
    <format dxfId="778">
      <pivotArea dataOnly="0" labelOnly="1" fieldPosition="0">
        <references count="4">
          <reference field="1" count="1" selected="0">
            <x v="384"/>
          </reference>
          <reference field="2" count="1">
            <x v="114"/>
          </reference>
          <reference field="3" count="1" selected="0">
            <x v="0"/>
          </reference>
          <reference field="4" count="1" selected="0">
            <x v="1"/>
          </reference>
        </references>
      </pivotArea>
    </format>
    <format dxfId="777">
      <pivotArea dataOnly="0" labelOnly="1" fieldPosition="0">
        <references count="4">
          <reference field="1" count="1" selected="0">
            <x v="385"/>
          </reference>
          <reference field="2" count="1">
            <x v="137"/>
          </reference>
          <reference field="3" count="1" selected="0">
            <x v="0"/>
          </reference>
          <reference field="4" count="1" selected="0">
            <x v="1"/>
          </reference>
        </references>
      </pivotArea>
    </format>
    <format dxfId="776">
      <pivotArea dataOnly="0" labelOnly="1" fieldPosition="0">
        <references count="4">
          <reference field="1" count="1" selected="0">
            <x v="386"/>
          </reference>
          <reference field="2" count="1">
            <x v="138"/>
          </reference>
          <reference field="3" count="1" selected="0">
            <x v="0"/>
          </reference>
          <reference field="4" count="1" selected="0">
            <x v="1"/>
          </reference>
        </references>
      </pivotArea>
    </format>
    <format dxfId="775">
      <pivotArea dataOnly="0" labelOnly="1" fieldPosition="0">
        <references count="4">
          <reference field="1" count="1" selected="0">
            <x v="387"/>
          </reference>
          <reference field="2" count="1">
            <x v="113"/>
          </reference>
          <reference field="3" count="1" selected="0">
            <x v="0"/>
          </reference>
          <reference field="4" count="1" selected="0">
            <x v="5"/>
          </reference>
        </references>
      </pivotArea>
    </format>
    <format dxfId="774">
      <pivotArea dataOnly="0" labelOnly="1" fieldPosition="0">
        <references count="4">
          <reference field="1" count="1" selected="0">
            <x v="388"/>
          </reference>
          <reference field="2" count="1">
            <x v="1"/>
          </reference>
          <reference field="3" count="1" selected="0">
            <x v="0"/>
          </reference>
          <reference field="4" count="1" selected="0">
            <x v="5"/>
          </reference>
        </references>
      </pivotArea>
    </format>
    <format dxfId="773">
      <pivotArea dataOnly="0" labelOnly="1" fieldPosition="0">
        <references count="4">
          <reference field="1" count="1" selected="0">
            <x v="63"/>
          </reference>
          <reference field="2" count="1">
            <x v="132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72">
      <pivotArea dataOnly="0" labelOnly="1" fieldPosition="0">
        <references count="4">
          <reference field="1" count="1" selected="0">
            <x v="325"/>
          </reference>
          <reference field="2" count="1">
            <x v="308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71">
      <pivotArea dataOnly="0" labelOnly="1" fieldPosition="0">
        <references count="4">
          <reference field="1" count="1" selected="0">
            <x v="328"/>
          </reference>
          <reference field="2" count="1">
            <x v="311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70">
      <pivotArea dataOnly="0" labelOnly="1" fieldPosition="0">
        <references count="4">
          <reference field="1" count="1" selected="0">
            <x v="332"/>
          </reference>
          <reference field="2" count="1">
            <x v="316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69">
      <pivotArea dataOnly="0" labelOnly="1" fieldPosition="0">
        <references count="4">
          <reference field="1" count="1" selected="0">
            <x v="358"/>
          </reference>
          <reference field="2" count="1">
            <x v="312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68">
      <pivotArea dataOnly="0" labelOnly="1" fieldPosition="0">
        <references count="4">
          <reference field="1" count="1" selected="0">
            <x v="373"/>
          </reference>
          <reference field="2" count="1">
            <x v="312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67">
      <pivotArea dataOnly="0" labelOnly="1" fieldPosition="0">
        <references count="4">
          <reference field="1" count="1" selected="0">
            <x v="389"/>
          </reference>
          <reference field="2" count="1">
            <x v="49"/>
          </reference>
          <reference field="3" count="1" selected="0">
            <x v="0"/>
          </reference>
          <reference field="4" count="1" selected="0">
            <x v="6"/>
          </reference>
        </references>
      </pivotArea>
    </format>
    <format dxfId="766">
      <pivotArea dataOnly="0" labelOnly="1" fieldPosition="0">
        <references count="4">
          <reference field="1" count="1" selected="0">
            <x v="146"/>
          </reference>
          <reference field="2" count="1">
            <x v="146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5">
      <pivotArea dataOnly="0" labelOnly="1" fieldPosition="0">
        <references count="4">
          <reference field="1" count="1" selected="0">
            <x v="377"/>
          </reference>
          <reference field="2" count="1">
            <x v="141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4">
      <pivotArea dataOnly="0" labelOnly="1" fieldPosition="0">
        <references count="4">
          <reference field="1" count="1" selected="0">
            <x v="378"/>
          </reference>
          <reference field="2" count="1">
            <x v="117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3">
      <pivotArea dataOnly="0" labelOnly="1" fieldPosition="0">
        <references count="4">
          <reference field="1" count="1" selected="0">
            <x v="379"/>
          </reference>
          <reference field="2" count="1">
            <x v="355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2">
      <pivotArea dataOnly="0" labelOnly="1" fieldPosition="0">
        <references count="4">
          <reference field="1" count="1" selected="0">
            <x v="380"/>
          </reference>
          <reference field="2" count="1">
            <x v="356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1">
      <pivotArea dataOnly="0" labelOnly="1" fieldPosition="0">
        <references count="4">
          <reference field="1" count="1" selected="0">
            <x v="381"/>
          </reference>
          <reference field="2" count="1">
            <x v="357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60">
      <pivotArea dataOnly="0" labelOnly="1" fieldPosition="0">
        <references count="4">
          <reference field="1" count="1" selected="0">
            <x v="382"/>
          </reference>
          <reference field="2" count="1">
            <x v="358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59">
      <pivotArea dataOnly="0" labelOnly="1" fieldPosition="0">
        <references count="4">
          <reference field="1" count="1" selected="0">
            <x v="383"/>
          </reference>
          <reference field="2" count="1">
            <x v="359"/>
          </reference>
          <reference field="3" count="1" selected="0">
            <x v="0"/>
          </reference>
          <reference field="4" count="1" selected="0">
            <x v="7"/>
          </reference>
        </references>
      </pivotArea>
    </format>
    <format dxfId="758">
      <pivotArea dataOnly="0" labelOnly="1" fieldPosition="0">
        <references count="4">
          <reference field="1" count="1" selected="0">
            <x v="4"/>
          </reference>
          <reference field="2" count="1">
            <x v="44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7">
      <pivotArea dataOnly="0" labelOnly="1" fieldPosition="0">
        <references count="4">
          <reference field="1" count="1" selected="0">
            <x v="5"/>
          </reference>
          <reference field="2" count="1">
            <x v="42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6">
      <pivotArea dataOnly="0" labelOnly="1" fieldPosition="0">
        <references count="4">
          <reference field="1" count="1" selected="0">
            <x v="6"/>
          </reference>
          <reference field="2" count="1">
            <x v="39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5">
      <pivotArea dataOnly="0" labelOnly="1" fieldPosition="0">
        <references count="4">
          <reference field="1" count="1" selected="0">
            <x v="7"/>
          </reference>
          <reference field="2" count="1">
            <x v="40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4">
      <pivotArea dataOnly="0" labelOnly="1" fieldPosition="0">
        <references count="4">
          <reference field="1" count="1" selected="0">
            <x v="8"/>
          </reference>
          <reference field="2" count="1">
            <x v="38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3">
      <pivotArea dataOnly="0" labelOnly="1" fieldPosition="0">
        <references count="4">
          <reference field="1" count="1" selected="0">
            <x v="9"/>
          </reference>
          <reference field="2" count="1">
            <x v="43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2">
      <pivotArea dataOnly="0" labelOnly="1" fieldPosition="0">
        <references count="4">
          <reference field="1" count="1" selected="0">
            <x v="10"/>
          </reference>
          <reference field="2" count="1">
            <x v="41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1">
      <pivotArea dataOnly="0" labelOnly="1" fieldPosition="0">
        <references count="4">
          <reference field="1" count="1" selected="0">
            <x v="11"/>
          </reference>
          <reference field="2" count="1">
            <x v="37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50">
      <pivotArea dataOnly="0" labelOnly="1" fieldPosition="0">
        <references count="4">
          <reference field="1" count="1" selected="0">
            <x v="139"/>
          </reference>
          <reference field="2" count="1">
            <x v="142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49">
      <pivotArea dataOnly="0" labelOnly="1" fieldPosition="0">
        <references count="4">
          <reference field="1" count="1" selected="0">
            <x v="154"/>
          </reference>
          <reference field="2" count="1">
            <x v="151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48">
      <pivotArea dataOnly="0" labelOnly="1" fieldPosition="0">
        <references count="4">
          <reference field="1" count="1" selected="0">
            <x v="351"/>
          </reference>
          <reference field="2" count="1">
            <x v="151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47">
      <pivotArea dataOnly="0" labelOnly="1" fieldPosition="0">
        <references count="4">
          <reference field="1" count="1" selected="0">
            <x v="352"/>
          </reference>
          <reference field="2" count="1">
            <x v="142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46">
      <pivotArea dataOnly="0" labelOnly="1" fieldPosition="0">
        <references count="4">
          <reference field="1" count="1" selected="0">
            <x v="353"/>
          </reference>
          <reference field="2" count="1">
            <x v="37"/>
          </reference>
          <reference field="3" count="1" selected="0">
            <x v="0"/>
          </reference>
          <reference field="4" count="1" selected="0">
            <x v="9"/>
          </reference>
        </references>
      </pivotArea>
    </format>
    <format dxfId="745">
      <pivotArea dataOnly="0" labelOnly="1" fieldPosition="0">
        <references count="4">
          <reference field="1" count="1" selected="0">
            <x v="16"/>
          </reference>
          <reference field="2" count="1">
            <x v="63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44">
      <pivotArea dataOnly="0" labelOnly="1" fieldPosition="0">
        <references count="4">
          <reference field="1" count="1" selected="0">
            <x v="17"/>
          </reference>
          <reference field="2" count="1">
            <x v="61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43">
      <pivotArea dataOnly="0" labelOnly="1" fieldPosition="0">
        <references count="4">
          <reference field="1" count="1" selected="0">
            <x v="18"/>
          </reference>
          <reference field="2" count="1">
            <x v="7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42">
      <pivotArea dataOnly="0" labelOnly="1" fieldPosition="0">
        <references count="4">
          <reference field="1" count="1" selected="0">
            <x v="19"/>
          </reference>
          <reference field="2" count="1">
            <x v="56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41">
      <pivotArea dataOnly="0" labelOnly="1" fieldPosition="0">
        <references count="4">
          <reference field="1" count="1" selected="0">
            <x v="20"/>
          </reference>
          <reference field="2" count="1">
            <x v="52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40">
      <pivotArea dataOnly="0" labelOnly="1" fieldPosition="0">
        <references count="4">
          <reference field="1" count="1" selected="0">
            <x v="21"/>
          </reference>
          <reference field="2" count="1">
            <x v="55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9">
      <pivotArea dataOnly="0" labelOnly="1" fieldPosition="0">
        <references count="4">
          <reference field="1" count="1" selected="0">
            <x v="22"/>
          </reference>
          <reference field="2" count="1">
            <x v="58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8">
      <pivotArea dataOnly="0" labelOnly="1" fieldPosition="0">
        <references count="4">
          <reference field="1" count="1" selected="0">
            <x v="23"/>
          </reference>
          <reference field="2" count="1">
            <x v="59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7">
      <pivotArea dataOnly="0" labelOnly="1" fieldPosition="0">
        <references count="4">
          <reference field="1" count="1" selected="0">
            <x v="24"/>
          </reference>
          <reference field="2" count="1">
            <x v="60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6">
      <pivotArea dataOnly="0" labelOnly="1" fieldPosition="0">
        <references count="4">
          <reference field="1" count="1" selected="0">
            <x v="25"/>
          </reference>
          <reference field="2" count="1">
            <x v="53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5">
      <pivotArea dataOnly="0" labelOnly="1" fieldPosition="0">
        <references count="4">
          <reference field="1" count="1" selected="0">
            <x v="26"/>
          </reference>
          <reference field="2" count="1">
            <x v="54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4">
      <pivotArea dataOnly="0" labelOnly="1" fieldPosition="0">
        <references count="4">
          <reference field="1" count="1" selected="0">
            <x v="27"/>
          </reference>
          <reference field="2" count="1">
            <x v="57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3">
      <pivotArea dataOnly="0" labelOnly="1" fieldPosition="0">
        <references count="4">
          <reference field="1" count="1" selected="0">
            <x v="28"/>
          </reference>
          <reference field="2" count="1">
            <x v="121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2">
      <pivotArea dataOnly="0" labelOnly="1" fieldPosition="0">
        <references count="4">
          <reference field="1" count="1" selected="0">
            <x v="29"/>
          </reference>
          <reference field="2" count="1">
            <x v="62"/>
          </reference>
          <reference field="3" count="1" selected="0">
            <x v="0"/>
          </reference>
          <reference field="4" count="1" selected="0">
            <x v="10"/>
          </reference>
        </references>
      </pivotArea>
    </format>
    <format dxfId="731">
      <pivotArea dataOnly="0" labelOnly="1" fieldPosition="0">
        <references count="4">
          <reference field="1" count="1" selected="0">
            <x v="140"/>
          </reference>
          <reference field="2" count="1">
            <x v="245"/>
          </reference>
          <reference field="3" count="1" selected="0">
            <x v="0"/>
          </reference>
          <reference field="4" count="1" selected="0">
            <x v="11"/>
          </reference>
        </references>
      </pivotArea>
    </format>
    <format dxfId="730">
      <pivotArea dataOnly="0" labelOnly="1" fieldPosition="0">
        <references count="4">
          <reference field="1" count="1" selected="0">
            <x v="141"/>
          </reference>
          <reference field="2" count="1">
            <x v="246"/>
          </reference>
          <reference field="3" count="1" selected="0">
            <x v="0"/>
          </reference>
          <reference field="4" count="1" selected="0">
            <x v="11"/>
          </reference>
        </references>
      </pivotArea>
    </format>
    <format dxfId="729">
      <pivotArea dataOnly="0" labelOnly="1" fieldPosition="0">
        <references count="4">
          <reference field="1" count="1" selected="0">
            <x v="368"/>
          </reference>
          <reference field="2" count="1">
            <x v="348"/>
          </reference>
          <reference field="3" count="1" selected="0">
            <x v="0"/>
          </reference>
          <reference field="4" count="1" selected="0">
            <x v="11"/>
          </reference>
        </references>
      </pivotArea>
    </format>
    <format dxfId="728">
      <pivotArea dataOnly="0" labelOnly="1" fieldPosition="0">
        <references count="4">
          <reference field="1" count="1" selected="0">
            <x v="369"/>
          </reference>
          <reference field="2" count="1">
            <x v="349"/>
          </reference>
          <reference field="3" count="1" selected="0">
            <x v="0"/>
          </reference>
          <reference field="4" count="1" selected="0">
            <x v="11"/>
          </reference>
        </references>
      </pivotArea>
    </format>
    <format dxfId="727">
      <pivotArea dataOnly="0" labelOnly="1" fieldPosition="0">
        <references count="4">
          <reference field="1" count="1" selected="0">
            <x v="288"/>
          </reference>
          <reference field="2" count="1">
            <x v="270"/>
          </reference>
          <reference field="3" count="1" selected="0">
            <x v="1"/>
          </reference>
          <reference field="4" count="1" selected="0">
            <x v="7"/>
          </reference>
        </references>
      </pivotArea>
    </format>
    <format dxfId="726">
      <pivotArea dataOnly="0" labelOnly="1" fieldPosition="0">
        <references count="4">
          <reference field="1" count="1" selected="0">
            <x v="289"/>
          </reference>
          <reference field="2" count="1">
            <x v="271"/>
          </reference>
          <reference field="3" count="1" selected="0">
            <x v="1"/>
          </reference>
          <reference field="4" count="1" selected="0">
            <x v="7"/>
          </reference>
        </references>
      </pivotArea>
    </format>
    <format dxfId="725">
      <pivotArea dataOnly="0" labelOnly="1" fieldPosition="0">
        <references count="4">
          <reference field="1" count="1" selected="0">
            <x v="290"/>
          </reference>
          <reference field="2" count="1">
            <x v="272"/>
          </reference>
          <reference field="3" count="1" selected="0">
            <x v="1"/>
          </reference>
          <reference field="4" count="1" selected="0">
            <x v="7"/>
          </reference>
        </references>
      </pivotArea>
    </format>
    <format dxfId="724">
      <pivotArea dataOnly="0" labelOnly="1" fieldPosition="0">
        <references count="4">
          <reference field="1" count="1" selected="0">
            <x v="291"/>
          </reference>
          <reference field="2" count="1">
            <x v="273"/>
          </reference>
          <reference field="3" count="1" selected="0">
            <x v="1"/>
          </reference>
          <reference field="4" count="1" selected="0">
            <x v="8"/>
          </reference>
        </references>
      </pivotArea>
    </format>
    <format dxfId="723">
      <pivotArea dataOnly="0" labelOnly="1" fieldPosition="0">
        <references count="4">
          <reference field="1" count="1" selected="0">
            <x v="292"/>
          </reference>
          <reference field="2" count="1">
            <x v="274"/>
          </reference>
          <reference field="3" count="1" selected="0">
            <x v="1"/>
          </reference>
          <reference field="4" count="1" selected="0">
            <x v="8"/>
          </reference>
        </references>
      </pivotArea>
    </format>
    <format dxfId="722">
      <pivotArea dataOnly="0" labelOnly="1" fieldPosition="0">
        <references count="4">
          <reference field="1" count="1" selected="0">
            <x v="293"/>
          </reference>
          <reference field="2" count="1">
            <x v="275"/>
          </reference>
          <reference field="3" count="1" selected="0">
            <x v="1"/>
          </reference>
          <reference field="4" count="1" selected="0">
            <x v="13"/>
          </reference>
        </references>
      </pivotArea>
    </format>
    <format dxfId="721">
      <pivotArea dataOnly="0" labelOnly="1" fieldPosition="0">
        <references count="4">
          <reference field="1" count="1" selected="0">
            <x v="294"/>
          </reference>
          <reference field="2" count="1">
            <x v="276"/>
          </reference>
          <reference field="3" count="1" selected="0">
            <x v="1"/>
          </reference>
          <reference field="4" count="1" selected="0">
            <x v="13"/>
          </reference>
        </references>
      </pivotArea>
    </format>
    <format dxfId="720">
      <pivotArea dataOnly="0" labelOnly="1" fieldPosition="0">
        <references count="4">
          <reference field="1" count="1" selected="0">
            <x v="296"/>
          </reference>
          <reference field="2" count="1">
            <x v="278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9">
      <pivotArea dataOnly="0" labelOnly="1" fieldPosition="0">
        <references count="4">
          <reference field="1" count="1" selected="0">
            <x v="297"/>
          </reference>
          <reference field="2" count="1">
            <x v="279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8">
      <pivotArea dataOnly="0" labelOnly="1" fieldPosition="0">
        <references count="4">
          <reference field="1" count="1" selected="0">
            <x v="298"/>
          </reference>
          <reference field="2" count="1">
            <x v="280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7">
      <pivotArea dataOnly="0" labelOnly="1" fieldPosition="0">
        <references count="4">
          <reference field="1" count="1" selected="0">
            <x v="299"/>
          </reference>
          <reference field="2" count="1">
            <x v="281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6">
      <pivotArea dataOnly="0" labelOnly="1" fieldPosition="0">
        <references count="4">
          <reference field="1" count="1" selected="0">
            <x v="300"/>
          </reference>
          <reference field="2" count="1">
            <x v="282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5">
      <pivotArea dataOnly="0" labelOnly="1" fieldPosition="0">
        <references count="4">
          <reference field="1" count="1" selected="0">
            <x v="301"/>
          </reference>
          <reference field="2" count="1">
            <x v="283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4">
      <pivotArea dataOnly="0" labelOnly="1" fieldPosition="0">
        <references count="4">
          <reference field="1" count="1" selected="0">
            <x v="302"/>
          </reference>
          <reference field="2" count="1">
            <x v="284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3">
      <pivotArea dataOnly="0" labelOnly="1" fieldPosition="0">
        <references count="4">
          <reference field="1" count="1" selected="0">
            <x v="303"/>
          </reference>
          <reference field="2" count="1">
            <x v="285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2">
      <pivotArea dataOnly="0" labelOnly="1" fieldPosition="0">
        <references count="4">
          <reference field="1" count="1" selected="0">
            <x v="304"/>
          </reference>
          <reference field="2" count="1">
            <x v="286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1">
      <pivotArea dataOnly="0" labelOnly="1" fieldPosition="0">
        <references count="4">
          <reference field="1" count="1" selected="0">
            <x v="305"/>
          </reference>
          <reference field="2" count="1">
            <x v="287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10">
      <pivotArea dataOnly="0" labelOnly="1" fieldPosition="0">
        <references count="4">
          <reference field="1" count="1" selected="0">
            <x v="306"/>
          </reference>
          <reference field="2" count="1">
            <x v="288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9">
      <pivotArea dataOnly="0" labelOnly="1" fieldPosition="0">
        <references count="4">
          <reference field="1" count="1" selected="0">
            <x v="307"/>
          </reference>
          <reference field="2" count="1">
            <x v="289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8">
      <pivotArea dataOnly="0" labelOnly="1" fieldPosition="0">
        <references count="4">
          <reference field="1" count="1" selected="0">
            <x v="308"/>
          </reference>
          <reference field="2" count="1">
            <x v="290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7">
      <pivotArea dataOnly="0" labelOnly="1" fieldPosition="0">
        <references count="4">
          <reference field="1" count="1" selected="0">
            <x v="309"/>
          </reference>
          <reference field="2" count="1">
            <x v="291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6">
      <pivotArea dataOnly="0" labelOnly="1" fieldPosition="0">
        <references count="4">
          <reference field="1" count="1" selected="0">
            <x v="310"/>
          </reference>
          <reference field="2" count="1">
            <x v="292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5">
      <pivotArea dataOnly="0" labelOnly="1" fieldPosition="0">
        <references count="4">
          <reference field="1" count="1" selected="0">
            <x v="311"/>
          </reference>
          <reference field="2" count="1">
            <x v="293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4">
      <pivotArea dataOnly="0" labelOnly="1" fieldPosition="0">
        <references count="4">
          <reference field="1" count="1" selected="0">
            <x v="336"/>
          </reference>
          <reference field="2" count="1">
            <x v="320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3">
      <pivotArea dataOnly="0" labelOnly="1" fieldPosition="0">
        <references count="4">
          <reference field="1" count="1" selected="0">
            <x v="346"/>
          </reference>
          <reference field="2" count="1">
            <x v="330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2">
      <pivotArea dataOnly="0" labelOnly="1" fieldPosition="0">
        <references count="4">
          <reference field="1" count="1" selected="0">
            <x v="347"/>
          </reference>
          <reference field="2" count="1">
            <x v="331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1">
      <pivotArea dataOnly="0" labelOnly="1" fieldPosition="0">
        <references count="4">
          <reference field="1" count="1" selected="0">
            <x v="403"/>
          </reference>
          <reference field="2" count="1">
            <x v="374"/>
          </reference>
          <reference field="3" count="1" selected="0">
            <x v="1"/>
          </reference>
          <reference field="4" count="1" selected="0">
            <x v="15"/>
          </reference>
        </references>
      </pivotArea>
    </format>
    <format dxfId="700">
      <pivotArea dataOnly="0" labelOnly="1" fieldPosition="0">
        <references count="4">
          <reference field="1" count="1" selected="0">
            <x v="295"/>
          </reference>
          <reference field="2" count="1">
            <x v="277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9">
      <pivotArea dataOnly="0" labelOnly="1" fieldPosition="0">
        <references count="4">
          <reference field="1" count="1" selected="0">
            <x v="315"/>
          </reference>
          <reference field="2" count="1">
            <x v="298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8">
      <pivotArea dataOnly="0" labelOnly="1" fieldPosition="0">
        <references count="4">
          <reference field="1" count="1" selected="0">
            <x v="316"/>
          </reference>
          <reference field="2" count="1">
            <x v="299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7">
      <pivotArea dataOnly="0" labelOnly="1" fieldPosition="0">
        <references count="4">
          <reference field="1" count="1" selected="0">
            <x v="317"/>
          </reference>
          <reference field="2" count="1">
            <x v="300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6">
      <pivotArea dataOnly="0" labelOnly="1" fieldPosition="0">
        <references count="4">
          <reference field="1" count="1" selected="0">
            <x v="318"/>
          </reference>
          <reference field="2" count="1">
            <x v="301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5">
      <pivotArea dataOnly="0" labelOnly="1" fieldPosition="0">
        <references count="4">
          <reference field="1" count="1" selected="0">
            <x v="319"/>
          </reference>
          <reference field="2" count="1">
            <x v="302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4">
      <pivotArea dataOnly="0" labelOnly="1" fieldPosition="0">
        <references count="4">
          <reference field="1" count="1" selected="0">
            <x v="320"/>
          </reference>
          <reference field="2" count="1">
            <x v="303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3">
      <pivotArea dataOnly="0" labelOnly="1" fieldPosition="0">
        <references count="4">
          <reference field="1" count="1" selected="0">
            <x v="321"/>
          </reference>
          <reference field="2" count="1">
            <x v="304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2">
      <pivotArea dataOnly="0" labelOnly="1" fieldPosition="0">
        <references count="4">
          <reference field="1" count="1" selected="0">
            <x v="322"/>
          </reference>
          <reference field="2" count="1">
            <x v="305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1">
      <pivotArea dataOnly="0" labelOnly="1" fieldPosition="0">
        <references count="4">
          <reference field="1" count="1" selected="0">
            <x v="323"/>
          </reference>
          <reference field="2" count="1">
            <x v="306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90">
      <pivotArea dataOnly="0" labelOnly="1" fieldPosition="0">
        <references count="4">
          <reference field="1" count="1" selected="0">
            <x v="324"/>
          </reference>
          <reference field="2" count="1">
            <x v="307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89">
      <pivotArea dataOnly="0" labelOnly="1" fieldPosition="0">
        <references count="4">
          <reference field="1" count="1" selected="0">
            <x v="342"/>
          </reference>
          <reference field="2" count="1">
            <x v="326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88">
      <pivotArea dataOnly="0" labelOnly="1" fieldPosition="0">
        <references count="4">
          <reference field="1" count="1" selected="0">
            <x v="345"/>
          </reference>
          <reference field="2" count="1">
            <x v="329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87">
      <pivotArea dataOnly="0" labelOnly="1" fieldPosition="0">
        <references count="4">
          <reference field="1" count="1" selected="0">
            <x v="348"/>
          </reference>
          <reference field="2" count="1">
            <x v="332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86">
      <pivotArea dataOnly="0" labelOnly="1" fieldPosition="0">
        <references count="4">
          <reference field="1" count="1" selected="0">
            <x v="349"/>
          </reference>
          <reference field="2" count="1">
            <x v="333"/>
          </reference>
          <reference field="3" count="1" selected="0">
            <x v="1"/>
          </reference>
          <reference field="4" count="1" selected="0">
            <x v="16"/>
          </reference>
        </references>
      </pivotArea>
    </format>
    <format dxfId="685">
      <pivotArea dataOnly="0" labelOnly="1" fieldPosition="0">
        <references count="4">
          <reference field="1" count="1" selected="0">
            <x v="2"/>
          </reference>
          <reference field="2" count="1">
            <x v="108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84">
      <pivotArea dataOnly="0" labelOnly="1" fieldPosition="0">
        <references count="4">
          <reference field="1" count="1" selected="0">
            <x v="3"/>
          </reference>
          <reference field="2" count="1">
            <x v="109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83">
      <pivotArea dataOnly="0" labelOnly="1" fieldPosition="0">
        <references count="4">
          <reference field="1" count="1" selected="0">
            <x v="54"/>
          </reference>
          <reference field="2" count="1">
            <x v="115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82">
      <pivotArea dataOnly="0" labelOnly="1" fieldPosition="0">
        <references count="4">
          <reference field="1" count="1" selected="0">
            <x v="59"/>
          </reference>
          <reference field="2" count="1">
            <x v="21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81">
      <pivotArea dataOnly="0" labelOnly="1" fieldPosition="0">
        <references count="4">
          <reference field="1" count="1" selected="0">
            <x v="312"/>
          </reference>
          <reference field="2" count="1">
            <x v="294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80">
      <pivotArea dataOnly="0" labelOnly="1" fieldPosition="0">
        <references count="4">
          <reference field="1" count="1" selected="0">
            <x v="313"/>
          </reference>
          <reference field="2" count="1">
            <x v="116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79">
      <pivotArea dataOnly="0" labelOnly="1" fieldPosition="0">
        <references count="4">
          <reference field="1" count="1" selected="0">
            <x v="350"/>
          </reference>
          <reference field="2" count="1">
            <x v="334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78">
      <pivotArea dataOnly="0" labelOnly="1" fieldPosition="0">
        <references count="4">
          <reference field="1" count="1" selected="0">
            <x v="355"/>
          </reference>
          <reference field="2" count="1">
            <x v="335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77">
      <pivotArea dataOnly="0" labelOnly="1" fieldPosition="0">
        <references count="4">
          <reference field="1" count="1" selected="0">
            <x v="356"/>
          </reference>
          <reference field="2" count="1">
            <x v="336"/>
          </reference>
          <reference field="3" count="1" selected="0">
            <x v="2"/>
          </reference>
          <reference field="4" count="1" selected="0">
            <x v="16"/>
          </reference>
        </references>
      </pivotArea>
    </format>
    <format dxfId="676">
      <pivotArea dataOnly="0" labelOnly="1" fieldPosition="0">
        <references count="4">
          <reference field="1" count="1" selected="0">
            <x v="66"/>
          </reference>
          <reference field="2" count="1">
            <x v="140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5">
      <pivotArea dataOnly="0" labelOnly="1" fieldPosition="0">
        <references count="4">
          <reference field="1" count="1" selected="0">
            <x v="67"/>
          </reference>
          <reference field="2" count="1">
            <x v="120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4">
      <pivotArea dataOnly="0" labelOnly="1" fieldPosition="0">
        <references count="4">
          <reference field="1" count="1" selected="0">
            <x v="147"/>
          </reference>
          <reference field="2" count="1">
            <x v="233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3">
      <pivotArea dataOnly="0" labelOnly="1" fieldPosition="0">
        <references count="4">
          <reference field="1" count="1" selected="0">
            <x v="247"/>
          </reference>
          <reference field="2" count="1">
            <x v="239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2">
      <pivotArea dataOnly="0" labelOnly="1" fieldPosition="0">
        <references count="4">
          <reference field="1" count="1" selected="0">
            <x v="329"/>
          </reference>
          <reference field="2" count="1">
            <x v="313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1">
      <pivotArea dataOnly="0" labelOnly="1" fieldPosition="0">
        <references count="4">
          <reference field="1" count="1" selected="0">
            <x v="330"/>
          </reference>
          <reference field="2" count="1">
            <x v="314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70">
      <pivotArea dataOnly="0" labelOnly="1" fieldPosition="0">
        <references count="4">
          <reference field="1" count="1" selected="0">
            <x v="337"/>
          </reference>
          <reference field="2" count="1">
            <x v="321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69">
      <pivotArea dataOnly="0" labelOnly="1" fieldPosition="0">
        <references count="4">
          <reference field="1" count="1" selected="0">
            <x v="343"/>
          </reference>
          <reference field="2" count="1">
            <x v="327"/>
          </reference>
          <reference field="3" count="1" selected="0">
            <x v="3"/>
          </reference>
          <reference field="4" count="1" selected="0">
            <x v="16"/>
          </reference>
        </references>
      </pivotArea>
    </format>
    <format dxfId="668">
      <pivotArea dataOnly="0" labelOnly="1" fieldPosition="0">
        <references count="4">
          <reference field="1" count="1" selected="0">
            <x v="57"/>
          </reference>
          <reference field="2" count="1">
            <x v="111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7">
      <pivotArea dataOnly="0" labelOnly="1" fieldPosition="0">
        <references count="4">
          <reference field="1" count="1" selected="0">
            <x v="58"/>
          </reference>
          <reference field="2" count="1">
            <x v="23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6">
      <pivotArea dataOnly="0" labelOnly="1" fieldPosition="0">
        <references count="4">
          <reference field="1" count="1" selected="0">
            <x v="60"/>
          </reference>
          <reference field="2" count="1">
            <x v="135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5">
      <pivotArea dataOnly="0" labelOnly="1" fieldPosition="0">
        <references count="4">
          <reference field="1" count="1" selected="0">
            <x v="61"/>
          </reference>
          <reference field="2" count="1">
            <x v="124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4">
      <pivotArea dataOnly="0" labelOnly="1" fieldPosition="0">
        <references count="4">
          <reference field="1" count="1" selected="0">
            <x v="62"/>
          </reference>
          <reference field="2" count="1">
            <x v="104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3">
      <pivotArea dataOnly="0" labelOnly="1" fieldPosition="0">
        <references count="4">
          <reference field="1" count="1" selected="0">
            <x v="214"/>
          </reference>
          <reference field="2" count="1">
            <x v="136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2">
      <pivotArea dataOnly="0" labelOnly="1" fieldPosition="0">
        <references count="4">
          <reference field="1" count="1" selected="0">
            <x v="215"/>
          </reference>
          <reference field="2" count="1">
            <x v="119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1">
      <pivotArea dataOnly="0" labelOnly="1" fieldPosition="0">
        <references count="4">
          <reference field="1" count="1" selected="0">
            <x v="216"/>
          </reference>
          <reference field="2" count="1">
            <x v="118"/>
          </reference>
          <reference field="3" count="1" selected="0">
            <x v="4"/>
          </reference>
          <reference field="4" count="1" selected="0">
            <x v="16"/>
          </reference>
        </references>
      </pivotArea>
    </format>
    <format dxfId="660">
      <pivotArea dataOnly="0" labelOnly="1" fieldPosition="0">
        <references count="4">
          <reference field="1" count="1" selected="0">
            <x v="12"/>
          </reference>
          <reference field="2" count="1">
            <x v="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9">
      <pivotArea dataOnly="0" labelOnly="1" fieldPosition="0">
        <references count="4">
          <reference field="1" count="1" selected="0">
            <x v="13"/>
          </reference>
          <reference field="2" count="1">
            <x v="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8">
      <pivotArea dataOnly="0" labelOnly="1" fieldPosition="0">
        <references count="4">
          <reference field="1" count="1" selected="0">
            <x v="14"/>
          </reference>
          <reference field="2" count="1">
            <x v="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7">
      <pivotArea dataOnly="0" labelOnly="1" fieldPosition="0">
        <references count="4">
          <reference field="1" count="1" selected="0">
            <x v="15"/>
          </reference>
          <reference field="2" count="1">
            <x v="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6">
      <pivotArea dataOnly="0" labelOnly="1" fieldPosition="0">
        <references count="4">
          <reference field="1" count="1" selected="0">
            <x v="30"/>
          </reference>
          <reference field="2" count="1">
            <x v="1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5">
      <pivotArea dataOnly="0" labelOnly="1" fieldPosition="0">
        <references count="4">
          <reference field="1" count="1" selected="0">
            <x v="31"/>
          </reference>
          <reference field="2" count="1">
            <x v="12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4">
      <pivotArea dataOnly="0" labelOnly="1" fieldPosition="0">
        <references count="4">
          <reference field="1" count="1" selected="0">
            <x v="31"/>
          </reference>
          <reference field="2" count="1">
            <x v="15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3">
      <pivotArea dataOnly="0" labelOnly="1" fieldPosition="0">
        <references count="4">
          <reference field="1" count="1" selected="0">
            <x v="32"/>
          </reference>
          <reference field="2" count="1">
            <x v="10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2">
      <pivotArea dataOnly="0" labelOnly="1" fieldPosition="0">
        <references count="4">
          <reference field="1" count="1" selected="0">
            <x v="33"/>
          </reference>
          <reference field="2" count="1">
            <x v="4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1">
      <pivotArea dataOnly="0" labelOnly="1" fieldPosition="0">
        <references count="4">
          <reference field="1" count="1" selected="0">
            <x v="34"/>
          </reference>
          <reference field="2" count="1">
            <x v="4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50">
      <pivotArea dataOnly="0" labelOnly="1" fieldPosition="0">
        <references count="4">
          <reference field="1" count="1" selected="0">
            <x v="35"/>
          </reference>
          <reference field="2" count="1">
            <x v="10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9">
      <pivotArea dataOnly="0" labelOnly="1" fieldPosition="0">
        <references count="4">
          <reference field="1" count="1" selected="0">
            <x v="36"/>
          </reference>
          <reference field="2" count="1">
            <x v="1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8">
      <pivotArea dataOnly="0" labelOnly="1" fieldPosition="0">
        <references count="4">
          <reference field="1" count="1" selected="0">
            <x v="37"/>
          </reference>
          <reference field="2" count="1">
            <x v="1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7">
      <pivotArea dataOnly="0" labelOnly="1" fieldPosition="0">
        <references count="4">
          <reference field="1" count="1" selected="0">
            <x v="38"/>
          </reference>
          <reference field="2" count="1">
            <x v="1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6">
      <pivotArea dataOnly="0" labelOnly="1" fieldPosition="0">
        <references count="4">
          <reference field="1" count="1" selected="0">
            <x v="39"/>
          </reference>
          <reference field="2" count="1">
            <x v="1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5">
      <pivotArea dataOnly="0" labelOnly="1" fieldPosition="0">
        <references count="4">
          <reference field="1" count="1" selected="0">
            <x v="39"/>
          </reference>
          <reference field="2" count="1">
            <x v="16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4">
      <pivotArea dataOnly="0" labelOnly="1" fieldPosition="0">
        <references count="4">
          <reference field="1" count="1" selected="0">
            <x v="40"/>
          </reference>
          <reference field="2" count="1">
            <x v="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3">
      <pivotArea dataOnly="0" labelOnly="1" fieldPosition="0">
        <references count="4">
          <reference field="1" count="1" selected="0">
            <x v="41"/>
          </reference>
          <reference field="2" count="1">
            <x v="2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2">
      <pivotArea dataOnly="0" labelOnly="1" fieldPosition="0">
        <references count="4">
          <reference field="1" count="1" selected="0">
            <x v="42"/>
          </reference>
          <reference field="2" count="1">
            <x v="2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1">
      <pivotArea dataOnly="0" labelOnly="1" fieldPosition="0">
        <references count="4">
          <reference field="1" count="1" selected="0">
            <x v="43"/>
          </reference>
          <reference field="2" count="1">
            <x v="1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40">
      <pivotArea dataOnly="0" labelOnly="1" fieldPosition="0">
        <references count="4">
          <reference field="1" count="1" selected="0">
            <x v="44"/>
          </reference>
          <reference field="2" count="1">
            <x v="1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9">
      <pivotArea dataOnly="0" labelOnly="1" fieldPosition="0">
        <references count="4">
          <reference field="1" count="1" selected="0">
            <x v="45"/>
          </reference>
          <reference field="2" count="1">
            <x v="12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8">
      <pivotArea dataOnly="0" labelOnly="1" fieldPosition="0">
        <references count="4">
          <reference field="1" count="1" selected="0">
            <x v="46"/>
          </reference>
          <reference field="2" count="1">
            <x v="1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7">
      <pivotArea dataOnly="0" labelOnly="1" fieldPosition="0">
        <references count="4">
          <reference field="1" count="1" selected="0">
            <x v="47"/>
          </reference>
          <reference field="2" count="1">
            <x v="10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6">
      <pivotArea dataOnly="0" labelOnly="1" fieldPosition="0">
        <references count="4">
          <reference field="1" count="1" selected="0">
            <x v="48"/>
          </reference>
          <reference field="2" count="1">
            <x v="10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5">
      <pivotArea dataOnly="0" labelOnly="1" fieldPosition="0">
        <references count="4">
          <reference field="1" count="1" selected="0">
            <x v="53"/>
          </reference>
          <reference field="2" count="1">
            <x v="12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4">
      <pivotArea dataOnly="0" labelOnly="1" fieldPosition="0">
        <references count="4">
          <reference field="1" count="1" selected="0">
            <x v="68"/>
          </reference>
          <reference field="2" count="1">
            <x v="12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3">
      <pivotArea dataOnly="0" labelOnly="1" fieldPosition="0">
        <references count="4">
          <reference field="1" count="1" selected="0">
            <x v="69"/>
          </reference>
          <reference field="2" count="1">
            <x v="12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2">
      <pivotArea dataOnly="0" labelOnly="1" fieldPosition="0">
        <references count="4">
          <reference field="1" count="1" selected="0">
            <x v="70"/>
          </reference>
          <reference field="2" count="1">
            <x v="13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1">
      <pivotArea dataOnly="0" labelOnly="1" fieldPosition="0">
        <references count="4">
          <reference field="1" count="1" selected="0">
            <x v="71"/>
          </reference>
          <reference field="2" count="1">
            <x v="13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30">
      <pivotArea dataOnly="0" labelOnly="1" fieldPosition="0">
        <references count="4">
          <reference field="1" count="1" selected="0">
            <x v="142"/>
          </reference>
          <reference field="2" count="1">
            <x v="14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9">
      <pivotArea dataOnly="0" labelOnly="1" fieldPosition="0">
        <references count="4">
          <reference field="1" count="1" selected="0">
            <x v="143"/>
          </reference>
          <reference field="2" count="1">
            <x v="14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8">
      <pivotArea dataOnly="0" labelOnly="1" fieldPosition="0">
        <references count="4">
          <reference field="1" count="1" selected="0">
            <x v="144"/>
          </reference>
          <reference field="2" count="1">
            <x v="14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7">
      <pivotArea dataOnly="0" labelOnly="1" fieldPosition="0">
        <references count="4">
          <reference field="1" count="1" selected="0">
            <x v="145"/>
          </reference>
          <reference field="2" count="1">
            <x v="22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6">
      <pivotArea dataOnly="0" labelOnly="1" fieldPosition="0">
        <references count="4">
          <reference field="1" count="1" selected="0">
            <x v="162"/>
          </reference>
          <reference field="2" count="1">
            <x v="16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5">
      <pivotArea dataOnly="0" labelOnly="1" fieldPosition="0">
        <references count="4">
          <reference field="1" count="1" selected="0">
            <x v="164"/>
          </reference>
          <reference field="2" count="1">
            <x v="16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4">
      <pivotArea dataOnly="0" labelOnly="1" fieldPosition="0">
        <references count="4">
          <reference field="1" count="1" selected="0">
            <x v="167"/>
          </reference>
          <reference field="2" count="1">
            <x v="16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3">
      <pivotArea dataOnly="0" labelOnly="1" fieldPosition="0">
        <references count="4">
          <reference field="1" count="1" selected="0">
            <x v="175"/>
          </reference>
          <reference field="2" count="1">
            <x v="17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2">
      <pivotArea dataOnly="0" labelOnly="1" fieldPosition="0">
        <references count="4">
          <reference field="1" count="1" selected="0">
            <x v="184"/>
          </reference>
          <reference field="2" count="1">
            <x v="18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1">
      <pivotArea dataOnly="0" labelOnly="1" fieldPosition="0">
        <references count="4">
          <reference field="1" count="1" selected="0">
            <x v="185"/>
          </reference>
          <reference field="2" count="1">
            <x v="18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20">
      <pivotArea dataOnly="0" labelOnly="1" fieldPosition="0">
        <references count="4">
          <reference field="1" count="1" selected="0">
            <x v="218"/>
          </reference>
          <reference field="2" count="1">
            <x v="12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9">
      <pivotArea dataOnly="0" labelOnly="1" fieldPosition="0">
        <references count="4">
          <reference field="1" count="1" selected="0">
            <x v="246"/>
          </reference>
          <reference field="2" count="1">
            <x v="22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8">
      <pivotArea dataOnly="0" labelOnly="1" fieldPosition="0">
        <references count="4">
          <reference field="1" count="1" selected="0">
            <x v="252"/>
          </reference>
          <reference field="2" count="1">
            <x v="23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7">
      <pivotArea dataOnly="0" labelOnly="1" fieldPosition="0">
        <references count="4">
          <reference field="1" count="1" selected="0">
            <x v="253"/>
          </reference>
          <reference field="2" count="1">
            <x v="23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6">
      <pivotArea dataOnly="0" labelOnly="1" fieldPosition="0">
        <references count="4">
          <reference field="1" count="1" selected="0">
            <x v="254"/>
          </reference>
          <reference field="2" count="1">
            <x v="346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5">
      <pivotArea dataOnly="0" labelOnly="1" fieldPosition="0">
        <references count="4">
          <reference field="1" count="1" selected="0">
            <x v="255"/>
          </reference>
          <reference field="2" count="1">
            <x v="34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4">
      <pivotArea dataOnly="0" labelOnly="1" fieldPosition="0">
        <references count="4">
          <reference field="1" count="1" selected="0">
            <x v="258"/>
          </reference>
          <reference field="2" count="1">
            <x v="24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3">
      <pivotArea dataOnly="0" labelOnly="1" fieldPosition="0">
        <references count="4">
          <reference field="1" count="1" selected="0">
            <x v="259"/>
          </reference>
          <reference field="2" count="1">
            <x v="24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2">
      <pivotArea dataOnly="0" labelOnly="1" fieldPosition="0">
        <references count="4">
          <reference field="1" count="1" selected="0">
            <x v="261"/>
          </reference>
          <reference field="2" count="1">
            <x v="24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1">
      <pivotArea dataOnly="0" labelOnly="1" fieldPosition="0">
        <references count="4">
          <reference field="1" count="1" selected="0">
            <x v="262"/>
          </reference>
          <reference field="2" count="1">
            <x v="24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10">
      <pivotArea dataOnly="0" labelOnly="1" fieldPosition="0">
        <references count="4">
          <reference field="1" count="1" selected="0">
            <x v="263"/>
          </reference>
          <reference field="2" count="1">
            <x v="24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9">
      <pivotArea dataOnly="0" labelOnly="1" fieldPosition="0">
        <references count="4">
          <reference field="1" count="1" selected="0">
            <x v="264"/>
          </reference>
          <reference field="2" count="1">
            <x v="24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8">
      <pivotArea dataOnly="0" labelOnly="1" fieldPosition="0">
        <references count="4">
          <reference field="1" count="1" selected="0">
            <x v="265"/>
          </reference>
          <reference field="2" count="1">
            <x v="16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7">
      <pivotArea dataOnly="0" labelOnly="1" fieldPosition="0">
        <references count="4">
          <reference field="1" count="1" selected="0">
            <x v="275"/>
          </reference>
          <reference field="2" count="1">
            <x v="25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6">
      <pivotArea dataOnly="0" labelOnly="1" fieldPosition="0">
        <references count="4">
          <reference field="1" count="1" selected="0">
            <x v="276"/>
          </reference>
          <reference field="2" count="1">
            <x v="25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5">
      <pivotArea dataOnly="0" labelOnly="1" fieldPosition="0">
        <references count="4">
          <reference field="1" count="1" selected="0">
            <x v="277"/>
          </reference>
          <reference field="2" count="1">
            <x v="25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4">
      <pivotArea dataOnly="0" labelOnly="1" fieldPosition="0">
        <references count="4">
          <reference field="1" count="1" selected="0">
            <x v="314"/>
          </reference>
          <reference field="2" count="1">
            <x v="29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3">
      <pivotArea dataOnly="0" labelOnly="1" fieldPosition="0">
        <references count="4">
          <reference field="1" count="1" selected="0">
            <x v="326"/>
          </reference>
          <reference field="2" count="1">
            <x v="30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2">
      <pivotArea dataOnly="0" labelOnly="1" fieldPosition="0">
        <references count="4">
          <reference field="1" count="1" selected="0">
            <x v="327"/>
          </reference>
          <reference field="2" count="1">
            <x v="31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1">
      <pivotArea dataOnly="0" labelOnly="1" fieldPosition="0">
        <references count="4">
          <reference field="1" count="1" selected="0">
            <x v="331"/>
          </reference>
          <reference field="2" count="1">
            <x v="31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600">
      <pivotArea dataOnly="0" labelOnly="1" fieldPosition="0">
        <references count="4">
          <reference field="1" count="1" selected="0">
            <x v="333"/>
          </reference>
          <reference field="2" count="1">
            <x v="31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9">
      <pivotArea dataOnly="0" labelOnly="1" fieldPosition="0">
        <references count="4">
          <reference field="1" count="1" selected="0">
            <x v="334"/>
          </reference>
          <reference field="2" count="1">
            <x v="31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8">
      <pivotArea dataOnly="0" labelOnly="1" fieldPosition="0">
        <references count="4">
          <reference field="1" count="1" selected="0">
            <x v="335"/>
          </reference>
          <reference field="2" count="1">
            <x v="31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7">
      <pivotArea dataOnly="0" labelOnly="1" fieldPosition="0">
        <references count="4">
          <reference field="1" count="1" selected="0">
            <x v="341"/>
          </reference>
          <reference field="2" count="1">
            <x v="32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6">
      <pivotArea dataOnly="0" labelOnly="1" fieldPosition="0">
        <references count="4">
          <reference field="1" count="1" selected="0">
            <x v="354"/>
          </reference>
          <reference field="2" count="1">
            <x v="36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5">
      <pivotArea dataOnly="0" labelOnly="1" fieldPosition="0">
        <references count="4">
          <reference field="1" count="1" selected="0">
            <x v="357"/>
          </reference>
          <reference field="2" count="1">
            <x v="337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4">
      <pivotArea dataOnly="0" labelOnly="1" fieldPosition="0">
        <references count="4">
          <reference field="1" count="1" selected="0">
            <x v="359"/>
          </reference>
          <reference field="2" count="1">
            <x v="33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3">
      <pivotArea dataOnly="0" labelOnly="1" fieldPosition="0">
        <references count="4">
          <reference field="1" count="1" selected="0">
            <x v="360"/>
          </reference>
          <reference field="2" count="1">
            <x v="338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2">
      <pivotArea dataOnly="0" labelOnly="1" fieldPosition="0">
        <references count="4">
          <reference field="1" count="1" selected="0">
            <x v="361"/>
          </reference>
          <reference field="2" count="1">
            <x v="339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1">
      <pivotArea dataOnly="0" labelOnly="1" fieldPosition="0">
        <references count="4">
          <reference field="1" count="1" selected="0">
            <x v="362"/>
          </reference>
          <reference field="2" count="1">
            <x v="34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90">
      <pivotArea dataOnly="0" labelOnly="1" fieldPosition="0">
        <references count="4">
          <reference field="1" count="1" selected="0">
            <x v="363"/>
          </reference>
          <reference field="2" count="1">
            <x v="34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9">
      <pivotArea dataOnly="0" labelOnly="1" fieldPosition="0">
        <references count="4">
          <reference field="1" count="1" selected="0">
            <x v="364"/>
          </reference>
          <reference field="2" count="1">
            <x v="34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8">
      <pivotArea dataOnly="0" labelOnly="1" fieldPosition="0">
        <references count="4">
          <reference field="1" count="1" selected="0">
            <x v="365"/>
          </reference>
          <reference field="2" count="1">
            <x v="34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7">
      <pivotArea dataOnly="0" labelOnly="1" fieldPosition="0">
        <references count="4">
          <reference field="1" count="1" selected="0">
            <x v="366"/>
          </reference>
          <reference field="2" count="1">
            <x v="344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6">
      <pivotArea dataOnly="0" labelOnly="1" fieldPosition="0">
        <references count="4">
          <reference field="1" count="1" selected="0">
            <x v="367"/>
          </reference>
          <reference field="2" count="1">
            <x v="34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5">
      <pivotArea dataOnly="0" labelOnly="1" fieldPosition="0">
        <references count="4">
          <reference field="1" count="1" selected="0">
            <x v="370"/>
          </reference>
          <reference field="2" count="1">
            <x v="35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4">
      <pivotArea dataOnly="0" labelOnly="1" fieldPosition="0">
        <references count="4">
          <reference field="1" count="1" selected="0">
            <x v="371"/>
          </reference>
          <reference field="2" count="1">
            <x v="35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3">
      <pivotArea dataOnly="0" labelOnly="1" fieldPosition="0">
        <references count="4">
          <reference field="1" count="1" selected="0">
            <x v="372"/>
          </reference>
          <reference field="2" count="1">
            <x v="352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2">
      <pivotArea dataOnly="0" labelOnly="1" fieldPosition="0">
        <references count="4">
          <reference field="1" count="1" selected="0">
            <x v="374"/>
          </reference>
          <reference field="2" count="1">
            <x v="353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1">
      <pivotArea dataOnly="0" labelOnly="1" fieldPosition="0">
        <references count="4">
          <reference field="1" count="1" selected="0">
            <x v="375"/>
          </reference>
          <reference field="2" count="1">
            <x v="165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80">
      <pivotArea dataOnly="0" labelOnly="1" fieldPosition="0">
        <references count="4">
          <reference field="1" count="1" selected="0">
            <x v="390"/>
          </reference>
          <reference field="2" count="1">
            <x v="360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79">
      <pivotArea dataOnly="0" labelOnly="1" fieldPosition="0">
        <references count="4">
          <reference field="1" count="1" selected="0">
            <x v="401"/>
          </reference>
          <reference field="2" count="1">
            <x v="371"/>
          </reference>
          <reference field="3" count="1" selected="0">
            <x v="5"/>
          </reference>
          <reference field="4" count="1" selected="0">
            <x v="16"/>
          </reference>
        </references>
      </pivotArea>
    </format>
    <format dxfId="578">
      <pivotArea dataOnly="0" labelOnly="1" fieldPosition="0">
        <references count="4">
          <reference field="1" count="1" selected="0">
            <x v="72"/>
          </reference>
          <reference field="2" count="1">
            <x v="81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7">
      <pivotArea dataOnly="0" labelOnly="1" fieldPosition="0">
        <references count="4">
          <reference field="1" count="1" selected="0">
            <x v="73"/>
          </reference>
          <reference field="2" count="1">
            <x v="82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6">
      <pivotArea dataOnly="0" labelOnly="1" fieldPosition="0">
        <references count="4">
          <reference field="1" count="1" selected="0">
            <x v="74"/>
          </reference>
          <reference field="2" count="1">
            <x v="83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5">
      <pivotArea dataOnly="0" labelOnly="1" fieldPosition="0">
        <references count="4">
          <reference field="1" count="1" selected="0">
            <x v="75"/>
          </reference>
          <reference field="2" count="1">
            <x v="84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4">
      <pivotArea dataOnly="0" labelOnly="1" fieldPosition="0">
        <references count="4">
          <reference field="1" count="1" selected="0">
            <x v="76"/>
          </reference>
          <reference field="2" count="1">
            <x v="85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3">
      <pivotArea dataOnly="0" labelOnly="1" fieldPosition="0">
        <references count="4">
          <reference field="1" count="1" selected="0">
            <x v="77"/>
          </reference>
          <reference field="2" count="1">
            <x v="86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2">
      <pivotArea dataOnly="0" labelOnly="1" fieldPosition="0">
        <references count="4">
          <reference field="1" count="1" selected="0">
            <x v="78"/>
          </reference>
          <reference field="2" count="1">
            <x v="87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1">
      <pivotArea dataOnly="0" labelOnly="1" fieldPosition="0">
        <references count="4">
          <reference field="1" count="1" selected="0">
            <x v="79"/>
          </reference>
          <reference field="2" count="1">
            <x v="73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70">
      <pivotArea dataOnly="0" labelOnly="1" fieldPosition="0">
        <references count="4">
          <reference field="1" count="1" selected="0">
            <x v="80"/>
          </reference>
          <reference field="2" count="1">
            <x v="74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9">
      <pivotArea dataOnly="0" labelOnly="1" fieldPosition="0">
        <references count="4">
          <reference field="1" count="1" selected="0">
            <x v="81"/>
          </reference>
          <reference field="2" count="1">
            <x v="75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8">
      <pivotArea dataOnly="0" labelOnly="1" fieldPosition="0">
        <references count="4">
          <reference field="1" count="1" selected="0">
            <x v="82"/>
          </reference>
          <reference field="2" count="1">
            <x v="76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7">
      <pivotArea dataOnly="0" labelOnly="1" fieldPosition="0">
        <references count="4">
          <reference field="1" count="1" selected="0">
            <x v="83"/>
          </reference>
          <reference field="2" count="1">
            <x v="77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6">
      <pivotArea dataOnly="0" labelOnly="1" fieldPosition="0">
        <references count="4">
          <reference field="1" count="1" selected="0">
            <x v="84"/>
          </reference>
          <reference field="2" count="1">
            <x v="78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5">
      <pivotArea dataOnly="0" labelOnly="1" fieldPosition="0">
        <references count="4">
          <reference field="1" count="1" selected="0">
            <x v="85"/>
          </reference>
          <reference field="2" count="1">
            <x v="79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4">
      <pivotArea dataOnly="0" labelOnly="1" fieldPosition="0">
        <references count="4">
          <reference field="1" count="1" selected="0">
            <x v="86"/>
          </reference>
          <reference field="2" count="1">
            <x v="66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3">
      <pivotArea dataOnly="0" labelOnly="1" fieldPosition="0">
        <references count="4">
          <reference field="1" count="1" selected="0">
            <x v="87"/>
          </reference>
          <reference field="2" count="1">
            <x v="67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2">
      <pivotArea dataOnly="0" labelOnly="1" fieldPosition="0">
        <references count="4">
          <reference field="1" count="1" selected="0">
            <x v="88"/>
          </reference>
          <reference field="2" count="1">
            <x v="68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1">
      <pivotArea dataOnly="0" labelOnly="1" fieldPosition="0">
        <references count="4">
          <reference field="1" count="1" selected="0">
            <x v="89"/>
          </reference>
          <reference field="2" count="1">
            <x v="69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60">
      <pivotArea dataOnly="0" labelOnly="1" fieldPosition="0">
        <references count="4">
          <reference field="1" count="1" selected="0">
            <x v="90"/>
          </reference>
          <reference field="2" count="1">
            <x v="7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9">
      <pivotArea dataOnly="0" labelOnly="1" fieldPosition="0">
        <references count="4">
          <reference field="1" count="1" selected="0">
            <x v="91"/>
          </reference>
          <reference field="2" count="1">
            <x v="71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8">
      <pivotArea dataOnly="0" labelOnly="1" fieldPosition="0">
        <references count="4">
          <reference field="1" count="1" selected="0">
            <x v="92"/>
          </reference>
          <reference field="2" count="1">
            <x v="72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7">
      <pivotArea dataOnly="0" labelOnly="1" fieldPosition="0">
        <references count="4">
          <reference field="1" count="1" selected="0">
            <x v="93"/>
          </reference>
          <reference field="2" count="1">
            <x v="88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6">
      <pivotArea dataOnly="0" labelOnly="1" fieldPosition="0">
        <references count="4">
          <reference field="1" count="1" selected="0">
            <x v="94"/>
          </reference>
          <reference field="2" count="1">
            <x v="89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5">
      <pivotArea dataOnly="0" labelOnly="1" fieldPosition="0">
        <references count="4">
          <reference field="1" count="1" selected="0">
            <x v="95"/>
          </reference>
          <reference field="2" count="1">
            <x v="9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4">
      <pivotArea dataOnly="0" labelOnly="1" fieldPosition="0">
        <references count="4">
          <reference field="1" count="1" selected="0">
            <x v="96"/>
          </reference>
          <reference field="2" count="1">
            <x v="91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3">
      <pivotArea dataOnly="0" labelOnly="1" fieldPosition="0">
        <references count="4">
          <reference field="1" count="1" selected="0">
            <x v="97"/>
          </reference>
          <reference field="2" count="1">
            <x v="92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2">
      <pivotArea dataOnly="0" labelOnly="1" fieldPosition="0">
        <references count="4">
          <reference field="1" count="1" selected="0">
            <x v="98"/>
          </reference>
          <reference field="2" count="1">
            <x v="93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1">
      <pivotArea dataOnly="0" labelOnly="1" fieldPosition="0">
        <references count="4">
          <reference field="1" count="1" selected="0">
            <x v="99"/>
          </reference>
          <reference field="2" count="1">
            <x v="94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50">
      <pivotArea dataOnly="0" labelOnly="1" fieldPosition="0">
        <references count="4">
          <reference field="1" count="1" selected="0">
            <x v="100"/>
          </reference>
          <reference field="2" count="1">
            <x v="95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9">
      <pivotArea dataOnly="0" labelOnly="1" fieldPosition="0">
        <references count="4">
          <reference field="1" count="1" selected="0">
            <x v="101"/>
          </reference>
          <reference field="2" count="1">
            <x v="96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8">
      <pivotArea dataOnly="0" labelOnly="1" fieldPosition="0">
        <references count="4">
          <reference field="1" count="1" selected="0">
            <x v="102"/>
          </reference>
          <reference field="2" count="1">
            <x v="97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7">
      <pivotArea dataOnly="0" labelOnly="1" fieldPosition="0">
        <references count="4">
          <reference field="1" count="1" selected="0">
            <x v="103"/>
          </reference>
          <reference field="2" count="1">
            <x v="98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6">
      <pivotArea dataOnly="0" labelOnly="1" fieldPosition="0">
        <references count="4">
          <reference field="1" count="1" selected="0">
            <x v="104"/>
          </reference>
          <reference field="2" count="1">
            <x v="99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5">
      <pivotArea dataOnly="0" labelOnly="1" fieldPosition="0">
        <references count="4">
          <reference field="1" count="1" selected="0">
            <x v="105"/>
          </reference>
          <reference field="2" count="1">
            <x v="10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4">
      <pivotArea dataOnly="0" labelOnly="1" fieldPosition="0">
        <references count="4">
          <reference field="1" count="1" selected="0">
            <x v="106"/>
          </reference>
          <reference field="2" count="1">
            <x v="101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3">
      <pivotArea dataOnly="0" labelOnly="1" fieldPosition="0">
        <references count="4">
          <reference field="1" count="1" selected="0">
            <x v="107"/>
          </reference>
          <reference field="2" count="1">
            <x v="102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2">
      <pivotArea dataOnly="0" labelOnly="1" fieldPosition="0">
        <references count="4">
          <reference field="1" count="1" selected="0">
            <x v="108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1">
      <pivotArea dataOnly="0" labelOnly="1" fieldPosition="0">
        <references count="4">
          <reference field="1" count="1" selected="0">
            <x v="109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40">
      <pivotArea dataOnly="0" labelOnly="1" fieldPosition="0">
        <references count="4">
          <reference field="1" count="1" selected="0">
            <x v="110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9">
      <pivotArea dataOnly="0" labelOnly="1" fieldPosition="0">
        <references count="4">
          <reference field="1" count="1" selected="0">
            <x v="111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8">
      <pivotArea dataOnly="0" labelOnly="1" fieldPosition="0">
        <references count="4">
          <reference field="1" count="1" selected="0">
            <x v="112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7">
      <pivotArea dataOnly="0" labelOnly="1" fieldPosition="0">
        <references count="4">
          <reference field="1" count="1" selected="0">
            <x v="113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6">
      <pivotArea dataOnly="0" labelOnly="1" fieldPosition="0">
        <references count="4">
          <reference field="1" count="1" selected="0">
            <x v="114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5">
      <pivotArea dataOnly="0" labelOnly="1" fieldPosition="0">
        <references count="4">
          <reference field="1" count="1" selected="0">
            <x v="115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4">
      <pivotArea dataOnly="0" labelOnly="1" fieldPosition="0">
        <references count="4">
          <reference field="1" count="1" selected="0">
            <x v="116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3">
      <pivotArea dataOnly="0" labelOnly="1" fieldPosition="0">
        <references count="4">
          <reference field="1" count="1" selected="0">
            <x v="138"/>
          </reference>
          <reference field="2" count="1">
            <x v="234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2">
      <pivotArea dataOnly="0" labelOnly="1" fieldPosition="0">
        <references count="4">
          <reference field="1" count="1" selected="0">
            <x v="266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1">
      <pivotArea dataOnly="0" labelOnly="1" fieldPosition="0">
        <references count="4">
          <reference field="1" count="1" selected="0">
            <x v="267"/>
          </reference>
          <reference field="2" count="1">
            <x v="80"/>
          </reference>
          <reference field="3" count="1" selected="0">
            <x v="6"/>
          </reference>
          <reference field="4" count="1" selected="0">
            <x v="16"/>
          </reference>
        </references>
      </pivotArea>
    </format>
    <format dxfId="530">
      <pivotArea dataOnly="0" labelOnly="1" fieldPosition="0">
        <references count="4">
          <reference field="1" count="1" selected="0">
            <x v="117"/>
          </reference>
          <reference field="2" count="1">
            <x v="9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9">
      <pivotArea dataOnly="0" labelOnly="1" fieldPosition="0">
        <references count="4">
          <reference field="1" count="1" selected="0">
            <x v="118"/>
          </reference>
          <reference field="2" count="1">
            <x v="10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8">
      <pivotArea dataOnly="0" labelOnly="1" fieldPosition="0">
        <references count="4">
          <reference field="1" count="1" selected="0">
            <x v="119"/>
          </reference>
          <reference field="2" count="1">
            <x v="11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7">
      <pivotArea dataOnly="0" labelOnly="1" fieldPosition="0">
        <references count="4">
          <reference field="1" count="1" selected="0">
            <x v="120"/>
          </reference>
          <reference field="2" count="1">
            <x v="50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6">
      <pivotArea dataOnly="0" labelOnly="1" fieldPosition="0">
        <references count="4">
          <reference field="1" count="1" selected="0">
            <x v="121"/>
          </reference>
          <reference field="2" count="1">
            <x v="51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5">
      <pivotArea dataOnly="0" labelOnly="1" fieldPosition="0">
        <references count="4">
          <reference field="1" count="1" selected="0">
            <x v="122"/>
          </reference>
          <reference field="2" count="1">
            <x v="127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4">
      <pivotArea dataOnly="0" labelOnly="1" fieldPosition="0">
        <references count="4">
          <reference field="1" count="1" selected="0">
            <x v="123"/>
          </reference>
          <reference field="2" count="1">
            <x v="31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3">
      <pivotArea dataOnly="0" labelOnly="1" fieldPosition="0">
        <references count="4">
          <reference field="1" count="1" selected="0">
            <x v="124"/>
          </reference>
          <reference field="2" count="1">
            <x v="31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2">
      <pivotArea dataOnly="0" labelOnly="1" fieldPosition="0">
        <references count="4">
          <reference field="1" count="1" selected="0">
            <x v="125"/>
          </reference>
          <reference field="2" count="1">
            <x v="27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1">
      <pivotArea dataOnly="0" labelOnly="1" fieldPosition="0">
        <references count="4">
          <reference field="1" count="1" selected="0">
            <x v="126"/>
          </reference>
          <reference field="2" count="1">
            <x v="25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20">
      <pivotArea dataOnly="0" labelOnly="1" fieldPosition="0">
        <references count="4">
          <reference field="1" count="1" selected="0">
            <x v="127"/>
          </reference>
          <reference field="2" count="1">
            <x v="36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9">
      <pivotArea dataOnly="0" labelOnly="1" fieldPosition="0">
        <references count="4">
          <reference field="1" count="1" selected="0">
            <x v="128"/>
          </reference>
          <reference field="2" count="1">
            <x v="24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8">
      <pivotArea dataOnly="0" labelOnly="1" fieldPosition="0">
        <references count="4">
          <reference field="1" count="1" selected="0">
            <x v="129"/>
          </reference>
          <reference field="2" count="1">
            <x v="26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7">
      <pivotArea dataOnly="0" labelOnly="1" fieldPosition="0">
        <references count="4">
          <reference field="1" count="1" selected="0">
            <x v="130"/>
          </reference>
          <reference field="2" count="1">
            <x v="29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6">
      <pivotArea dataOnly="0" labelOnly="1" fieldPosition="0">
        <references count="4">
          <reference field="1" count="1" selected="0">
            <x v="131"/>
          </reference>
          <reference field="2" count="1">
            <x v="32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5">
      <pivotArea dataOnly="0" labelOnly="1" fieldPosition="0">
        <references count="4">
          <reference field="1" count="1" selected="0">
            <x v="132"/>
          </reference>
          <reference field="2" count="1">
            <x v="30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4">
      <pivotArea dataOnly="0" labelOnly="1" fieldPosition="0">
        <references count="4">
          <reference field="1" count="1" selected="0">
            <x v="133"/>
          </reference>
          <reference field="2" count="1">
            <x v="34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3">
      <pivotArea dataOnly="0" labelOnly="1" fieldPosition="0">
        <references count="4">
          <reference field="1" count="1" selected="0">
            <x v="134"/>
          </reference>
          <reference field="2" count="1">
            <x v="33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2">
      <pivotArea dataOnly="0" labelOnly="1" fieldPosition="0">
        <references count="4">
          <reference field="1" count="1" selected="0">
            <x v="135"/>
          </reference>
          <reference field="2" count="1">
            <x v="35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1">
      <pivotArea dataOnly="0" labelOnly="1" fieldPosition="0">
        <references count="4">
          <reference field="1" count="1" selected="0">
            <x v="136"/>
          </reference>
          <reference field="2" count="1">
            <x v="28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10">
      <pivotArea dataOnly="0" labelOnly="1" fieldPosition="0">
        <references count="4">
          <reference field="1" count="1" selected="0">
            <x v="137"/>
          </reference>
          <reference field="2" count="1">
            <x v="110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09">
      <pivotArea dataOnly="0" labelOnly="1" fieldPosition="0">
        <references count="4">
          <reference field="1" count="1" selected="0">
            <x v="251"/>
          </reference>
          <reference field="2" count="1">
            <x v="235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08">
      <pivotArea dataOnly="0" labelOnly="1" fieldPosition="0">
        <references count="4">
          <reference field="1" count="1" selected="0">
            <x v="256"/>
          </reference>
          <reference field="2" count="1">
            <x v="238"/>
          </reference>
          <reference field="3" count="1" selected="0">
            <x v="7"/>
          </reference>
          <reference field="4" count="1" selected="0">
            <x v="16"/>
          </reference>
        </references>
      </pivotArea>
    </format>
    <format dxfId="507">
      <pivotArea field="12" type="button" dataOnly="0" labelOnly="1" outline="0" axis="axisRow" fieldPosition="10"/>
    </format>
    <format dxfId="506">
      <pivotArea field="15" type="button" dataOnly="0" labelOnly="1" outline="0" axis="axisRow" fieldPosition="11"/>
    </format>
    <format dxfId="505">
      <pivotArea field="12" type="button" dataOnly="0" labelOnly="1" outline="0" axis="axisRow" fieldPosition="10"/>
    </format>
    <format dxfId="504">
      <pivotArea field="15" type="button" dataOnly="0" labelOnly="1" outline="0" axis="axisRow" fieldPosition="11"/>
    </format>
    <format dxfId="503">
      <pivotArea field="12" type="button" dataOnly="0" labelOnly="1" outline="0" axis="axisRow" fieldPosition="10"/>
    </format>
    <format dxfId="502">
      <pivotArea field="15" type="button" dataOnly="0" labelOnly="1" outline="0" axis="axisRow" fieldPosition="11"/>
    </format>
    <format dxfId="501">
      <pivotArea field="12" type="button" dataOnly="0" labelOnly="1" outline="0" axis="axisRow" fieldPosition="10"/>
    </format>
    <format dxfId="500">
      <pivotArea field="15" type="button" dataOnly="0" labelOnly="1" outline="0" axis="axisRow" fieldPosition="11"/>
    </format>
    <format dxfId="499">
      <pivotArea field="8" type="button" dataOnly="0" labelOnly="1" outline="0" axis="axisRow" fieldPosition="7"/>
    </format>
    <format dxfId="498">
      <pivotArea dataOnly="0" labelOnly="1" fieldPosition="0">
        <references count="1">
          <reference field="12" count="0"/>
        </references>
      </pivotArea>
    </format>
    <format dxfId="497">
      <pivotArea dataOnly="0" labelOnly="1" fieldPosition="0">
        <references count="1">
          <reference field="12" count="0"/>
        </references>
      </pivotArea>
    </format>
    <format dxfId="496">
      <pivotArea dataOnly="0" labelOnly="1" fieldPosition="0">
        <references count="1">
          <reference field="12" count="0"/>
        </references>
      </pivotArea>
    </format>
    <format dxfId="495">
      <pivotArea dataOnly="0" labelOnly="1" fieldPosition="0">
        <references count="1">
          <reference field="15" count="0"/>
        </references>
      </pivotArea>
    </format>
    <format dxfId="494">
      <pivotArea dataOnly="0" labelOnly="1" fieldPosition="0">
        <references count="1">
          <reference field="15" count="0"/>
        </references>
      </pivotArea>
    </format>
    <format dxfId="493">
      <pivotArea dataOnly="0" labelOnly="1" fieldPosition="0">
        <references count="1">
          <reference field="15" count="0"/>
        </references>
      </pivotArea>
    </format>
  </formats>
  <pivotTableStyleInfo name="Pricelist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Line2" xr10:uid="{042595FC-1BB6-4279-B470-1FBA1718BADD}" sourceName="Product_Line">
  <pivotTables>
    <pivotTable tabId="14" name="PivotTable1"/>
  </pivotTables>
  <data>
    <tabular pivotCacheId="710563001" showMissing="0">
      <items count="9">
        <i x="3" s="1"/>
        <i x="8" s="1"/>
        <i x="1" s="1"/>
        <i x="6" s="1"/>
        <i x="5" s="1"/>
        <i x="7" s="1"/>
        <i x="2"/>
        <i x="4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amily2" xr10:uid="{4EC72643-98BB-4E60-902C-870628D81C1D}" sourceName="Family">
  <pivotTables>
    <pivotTable tabId="14" name="PivotTable1"/>
  </pivotTables>
  <data>
    <tabular pivotCacheId="710563001" showMissing="0">
      <items count="19">
        <i x="3" s="1"/>
        <i x="14" s="1"/>
        <i x="10" s="1"/>
        <i x="17" s="1"/>
        <i x="0" s="1"/>
        <i x="6" s="1"/>
        <i x="11" s="1"/>
        <i x="4" s="1"/>
        <i x="1" s="1"/>
        <i x="8" s="1"/>
        <i x="9" s="1"/>
        <i x="13" s="1"/>
        <i x="5" s="1"/>
        <i x="18" s="1"/>
        <i x="12" s="1"/>
        <i x="16" s="1"/>
        <i x="15" s="1"/>
        <i x="7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lug_variant" xr10:uid="{07DF14C4-D12F-44DB-AA73-65858167A49F}" sourceName="Plug variant">
  <pivotTables>
    <pivotTable tabId="14" name="PivotTable1"/>
  </pivotTables>
  <data>
    <tabular pivotCacheId="710563001">
      <items count="16">
        <i x="0" s="1"/>
        <i x="13" s="1"/>
        <i x="11" s="1"/>
        <i x="2" s="1"/>
        <i x="10" s="1"/>
        <i x="8" s="1"/>
        <i x="12" s="1"/>
        <i x="4" s="1"/>
        <i x="9" s="1"/>
        <i x="6" s="1"/>
        <i x="1" s="1"/>
        <i x="15" s="1"/>
        <i x="3" s="1"/>
        <i x="5" s="1"/>
        <i x="7" s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Line21" xr10:uid="{40318C94-DB06-43B8-B509-208414A80A1F}" sourceName="Product_Line">
  <pivotTables>
    <pivotTable tabId="15" name="PivotTable1"/>
  </pivotTables>
  <data>
    <tabular pivotCacheId="710563001" showMissing="0">
      <items count="9">
        <i x="3" s="1"/>
        <i x="8" s="1"/>
        <i x="1" s="1"/>
        <i x="6" s="1"/>
        <i x="5" s="1"/>
        <i x="7" s="1"/>
        <i x="2"/>
        <i x="4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amily21" xr10:uid="{8A819718-3801-4BDF-A033-5D3CF7658BBE}" sourceName="Family">
  <pivotTables>
    <pivotTable tabId="15" name="PivotTable1"/>
  </pivotTables>
  <data>
    <tabular pivotCacheId="710563001" showMissing="0">
      <items count="19">
        <i x="3" s="1"/>
        <i x="14" s="1"/>
        <i x="10" s="1"/>
        <i x="17" s="1"/>
        <i x="0" s="1"/>
        <i x="6" s="1"/>
        <i x="11" s="1"/>
        <i x="4" s="1"/>
        <i x="1" s="1"/>
        <i x="8" s="1"/>
        <i x="9" s="1"/>
        <i x="13" s="1"/>
        <i x="5" s="1"/>
        <i x="18" s="1"/>
        <i x="12" s="1"/>
        <i x="16" s="1"/>
        <i x="15" s="1"/>
        <i x="7" s="1"/>
        <i x="2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lug_variant1" xr10:uid="{8832EBEF-6441-4158-A6C2-D6C690DA5598}" sourceName="Plug variant">
  <pivotTables>
    <pivotTable tabId="15" name="PivotTable1"/>
  </pivotTables>
  <data>
    <tabular pivotCacheId="710563001" showMissing="0">
      <items count="16">
        <i x="0" s="1"/>
        <i x="13" s="1"/>
        <i x="11" s="1"/>
        <i x="2" s="1"/>
        <i x="10" s="1"/>
        <i x="8" s="1"/>
        <i x="12" s="1"/>
        <i x="4" s="1"/>
        <i x="9" s="1"/>
        <i x="6" s="1"/>
        <i x="1" s="1"/>
        <i x="15" s="1"/>
        <i x="3" s="1"/>
        <i x="5" s="1"/>
        <i x="7" s="1"/>
        <i x="14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Line22" xr10:uid="{46A39D36-8819-4D36-9D61-0997332974A7}" sourceName="Product_Line">
  <pivotTables>
    <pivotTable tabId="16" name="PivotTable1"/>
  </pivotTables>
  <data>
    <tabular pivotCacheId="710563001" showMissing="0">
      <items count="9">
        <i x="3" s="1"/>
        <i x="8" s="1"/>
        <i x="1" s="1"/>
        <i x="6" s="1"/>
        <i x="5" s="1"/>
        <i x="7" s="1"/>
        <i x="2"/>
        <i x="4" s="1"/>
        <i x="0" s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amily22" xr10:uid="{CBC9FF51-8E87-4DDA-BA07-5A2BD39665E2}" sourceName="Family">
  <pivotTables>
    <pivotTable tabId="16" name="PivotTable1"/>
  </pivotTables>
  <data>
    <tabular pivotCacheId="710563001" showMissing="0">
      <items count="19">
        <i x="3" s="1"/>
        <i x="14" s="1"/>
        <i x="10" s="1"/>
        <i x="17" s="1"/>
        <i x="0" s="1"/>
        <i x="6" s="1"/>
        <i x="11" s="1"/>
        <i x="4" s="1"/>
        <i x="1" s="1"/>
        <i x="8" s="1"/>
        <i x="9" s="1"/>
        <i x="13" s="1"/>
        <i x="5" s="1"/>
        <i x="18" s="1"/>
        <i x="12" s="1"/>
        <i x="16" s="1"/>
        <i x="15" s="1"/>
        <i x="7" s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lug_variant2" xr10:uid="{647E0451-AD9D-4582-B991-318BE45835A2}" sourceName="Plug variant">
  <pivotTables>
    <pivotTable tabId="16" name="PivotTable1"/>
  </pivotTables>
  <data>
    <tabular pivotCacheId="710563001" showMissing="0">
      <items count="16">
        <i x="0" s="1"/>
        <i x="13" s="1"/>
        <i x="11" s="1"/>
        <i x="2" s="1"/>
        <i x="10" s="1"/>
        <i x="8" s="1"/>
        <i x="12" s="1"/>
        <i x="4" s="1"/>
        <i x="9" s="1"/>
        <i x="6" s="1"/>
        <i x="1" s="1"/>
        <i x="15" s="1"/>
        <i x="3" s="1"/>
        <i x="5" s="1"/>
        <i x="7" s="1"/>
        <i x="1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_Line 2" xr10:uid="{BF0E8605-F78B-4537-BF14-2DBB22EB8AAB}" cache="Slicer_Product_Line2" caption="Product Line" columnCount="2" style="SlicerStyleLight3" rowHeight="241300"/>
  <slicer name="Family 2" xr10:uid="{8A8C84E0-C4E5-41B2-8F07-F96B7DBBD899}" cache="Slicer_Family2" caption="Family" style="SlicerStyleOther1" rowHeight="241300"/>
  <slicer name="Plug variant" xr10:uid="{864CD414-58C0-4FCD-8E6F-0ADD3690B8CD}" cache="Slicer_Plug_variant" caption="Plug variant" style="SlicerStyleOther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_Line 3" xr10:uid="{B1C4273A-4723-4550-871A-E973D1BF7353}" cache="Slicer_Product_Line21" caption="Product Line" columnCount="2" style="SlicerStyleLight3" rowHeight="241300"/>
  <slicer name="Family 3" xr10:uid="{FBBF5EC8-8FD3-48DC-8C3D-8950B54E0598}" cache="Slicer_Family21" caption="Family" style="SlicerStyleOther1" rowHeight="241300"/>
  <slicer name="Plug variant 1" xr10:uid="{2BF659CD-2E7E-43AC-8138-FA353E83CE0D}" cache="Slicer_Plug_variant1" caption="Plug variant" style="SlicerStyleOther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_Line 4" xr10:uid="{553093F9-D0D1-4104-A941-0815637083DF}" cache="Slicer_Product_Line22" caption="Product Line" columnCount="2" style="SlicerStyleLight3" rowHeight="241300"/>
  <slicer name="Family 4" xr10:uid="{5F29915E-055D-45F2-9029-7E3A266EB7CE}" cache="Slicer_Family22" caption="Family" style="SlicerStyleOther1" rowHeight="241300"/>
  <slicer name="Plug variant 2" xr10:uid="{BEAEB9A1-FED5-4333-8E0C-566C4D1FDA71}" cache="Slicer_Plug_variant2" caption="Plug variant" startItem="3" style="SlicerStyleOther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70AC76-90B0-4032-892F-891C8D5C337B}" name="Table1" displayName="Table1" ref="A2:V648" totalsRowShown="0">
  <autoFilter ref="A2:V648" xr:uid="{2170AC76-90B0-4032-892F-891C8D5C337B}"/>
  <sortState xmlns:xlrd2="http://schemas.microsoft.com/office/spreadsheetml/2017/richdata2" ref="A3:V627">
    <sortCondition ref="A2:A627"/>
  </sortState>
  <tableColumns count="22">
    <tableColumn id="1" xr3:uid="{175B3211-78A4-484E-A31D-B6A3E1344BE7}" name="No_" dataDxfId="492"/>
    <tableColumn id="2" xr3:uid="{57C34E18-53BB-477F-80B6-491000C70BF7}" name="ProductNo" dataDxfId="491"/>
    <tableColumn id="3" xr3:uid="{66B6E532-BA18-46D7-BC88-7265EEA42F15}" name="Description &amp; Item no."/>
    <tableColumn id="4" xr3:uid="{E2A3F6BB-BE57-425F-8143-22052CBE60D2}" name="Product_Line"/>
    <tableColumn id="5" xr3:uid="{5171E8FD-DB65-4583-9B6C-B30965543956}" name="Family"/>
    <tableColumn id="19" xr3:uid="{C98F72EE-4343-409A-92C0-73AEF4A03912}" name="Discount Group"/>
    <tableColumn id="10" xr3:uid="{3781B7E0-EF79-4DEF-BFB0-77B24BA44488}" name="Discount Name" dataDxfId="490"/>
    <tableColumn id="6" xr3:uid="{99798A09-1423-48EE-B2F1-8A6739060D22}" name="EAN no." dataDxfId="489"/>
    <tableColumn id="9" xr3:uid="{5663F14E-0F6C-4ADC-9839-B415EC3D4F7C}" name="Box qty" dataDxfId="488"/>
    <tableColumn id="7" xr3:uid="{D08711D9-176C-4B70-B6F6-75F459DCE6FE}" name="Plug variant"/>
    <tableColumn id="13" xr3:uid="{43C166C9-7901-4797-92D9-7B3B23E01482}" name="2026 (EUR)" dataDxfId="487"/>
    <tableColumn id="22" xr3:uid="{AAA402FB-539A-456F-B8A6-CBA0F252C991}" name="2026 (DKK)" dataDxfId="486"/>
    <tableColumn id="23" xr3:uid="{702C57D9-5B45-40C0-BB6F-2AAEBF3196E2}" name="2026 (USD)" dataDxfId="485"/>
    <tableColumn id="15" xr3:uid="{711C5BE9-32C5-418A-A5EB-4E42D2FC00C4}" name="2026 Net (EUR)" dataDxfId="484">
      <calculatedColumnFormula>Table1[[#This Row],[2026 (EUR)]]*(1-INDIRECT(Table1[[#This Row],[Discount Name]]))</calculatedColumnFormula>
    </tableColumn>
    <tableColumn id="16" xr3:uid="{95F67C2F-F1F4-4B1A-B75D-4CAF77C600D8}" name="2026 Net (DKK)" dataDxfId="483">
      <calculatedColumnFormula>Table1[[#This Row],[2026 (DKK)]]*(1-INDIRECT(Table1[[#This Row],[Discount Name]]))</calculatedColumnFormula>
    </tableColumn>
    <tableColumn id="17" xr3:uid="{3F70F9E1-B965-40C7-839E-4A05397012DF}" name="2026 Net (USD)" dataDxfId="482">
      <calculatedColumnFormula array="1">Table1[[#This Row],[2026 (USD)]]*(1-INDIRECT(Table1[[#This Row],[Discount Name]]))</calculatedColumnFormula>
    </tableColumn>
    <tableColumn id="11" xr3:uid="{880BD2AE-4FC5-4274-974A-82FD1D051D3C}" name="Discount" dataDxfId="481"/>
    <tableColumn id="21" xr3:uid="{6BB84A23-422D-4F22-9845-4389F2AB0BE5}" name="End 30-06-2026 (EUR)" dataDxfId="480"/>
    <tableColumn id="26" xr3:uid="{833A4A06-4E06-4FCA-BE4D-30A5D649140F}" name="Net/Net (EUR)" dataDxfId="479">
      <calculatedColumnFormula>IF(MAX(U3:U3)=0,+N3,MAX(U3:U3))</calculatedColumnFormula>
    </tableColumn>
    <tableColumn id="27" xr3:uid="{B3438493-C5F2-4DD8-B9D5-68E8C5D379E2}" name="Net/Net (DKK)" dataDxfId="478">
      <calculatedColumnFormula>IF(MAX(V3:V3)=0,+O3,MAX(V3:V3))</calculatedColumnFormula>
    </tableColumn>
    <tableColumn id="12" xr3:uid="{71EEB2EF-7F02-4F4C-A23C-23892D0C3323}" name="Special Net (EUR)" dataDxfId="477">
      <calculatedColumnFormula>IFERROR(VLOOKUP(Table1[[#This Row],[No_]],'Customer Net Price'!A:F,5,FALSE),"0")</calculatedColumnFormula>
    </tableColumn>
    <tableColumn id="14" xr3:uid="{354E8A65-3FDA-4E5F-AF88-B6E6436FCB08}" name="Special Net (DKK)" dataDxfId="476">
      <calculatedColumnFormula>IFERROR(VLOOKUP(Table1[[#This Row],[No_]],'Customer Net Price'!A:G,6,FALSE),"0")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Relationship Id="rId4" Type="http://schemas.microsoft.com/office/2007/relationships/slicer" Target="../slicers/slicer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94C94-B326-4F8B-8EDB-8B7B980D7FD1}">
  <sheetPr>
    <pageSetUpPr fitToPage="1"/>
  </sheetPr>
  <dimension ref="A1:K1254"/>
  <sheetViews>
    <sheetView showGridLines="0" tabSelected="1" zoomScaleNormal="100" zoomScaleSheetLayoutView="90" workbookViewId="0">
      <selection activeCell="E7" sqref="E7"/>
    </sheetView>
  </sheetViews>
  <sheetFormatPr defaultRowHeight="15" x14ac:dyDescent="0.25"/>
  <cols>
    <col min="1" max="1" width="16.7109375" customWidth="1"/>
    <col min="2" max="2" width="38.5703125" customWidth="1"/>
    <col min="3" max="3" width="16.7109375" customWidth="1"/>
    <col min="4" max="4" width="35" bestFit="1" customWidth="1"/>
    <col min="5" max="5" width="11.42578125" customWidth="1"/>
    <col min="6" max="6" width="20.140625" customWidth="1"/>
    <col min="7" max="7" width="10.140625" customWidth="1"/>
    <col min="8" max="9" width="15" style="71" customWidth="1"/>
    <col min="10" max="10" width="12.140625" customWidth="1"/>
  </cols>
  <sheetData>
    <row r="1" spans="1:11" x14ac:dyDescent="0.25">
      <c r="G1" s="16" t="s">
        <v>495</v>
      </c>
    </row>
    <row r="2" spans="1:11" ht="15.75" thickBot="1" x14ac:dyDescent="0.3">
      <c r="E2" s="104" t="s">
        <v>1712</v>
      </c>
      <c r="G2" s="16" t="s">
        <v>496</v>
      </c>
    </row>
    <row r="3" spans="1:11" x14ac:dyDescent="0.25">
      <c r="E3" s="105">
        <v>46139</v>
      </c>
      <c r="G3" s="22" t="s">
        <v>493</v>
      </c>
      <c r="H3" s="90"/>
      <c r="I3" s="90"/>
      <c r="J3" s="21"/>
    </row>
    <row r="4" spans="1:11" x14ac:dyDescent="0.25">
      <c r="G4" s="20" t="s">
        <v>916</v>
      </c>
      <c r="H4" s="98">
        <v>0</v>
      </c>
      <c r="I4" s="91" t="s">
        <v>920</v>
      </c>
      <c r="J4" s="18">
        <v>0</v>
      </c>
    </row>
    <row r="5" spans="1:11" x14ac:dyDescent="0.25">
      <c r="G5" s="20" t="s">
        <v>917</v>
      </c>
      <c r="H5" s="98">
        <v>0</v>
      </c>
      <c r="I5" s="91" t="s">
        <v>921</v>
      </c>
      <c r="J5" s="18">
        <v>0</v>
      </c>
    </row>
    <row r="6" spans="1:11" x14ac:dyDescent="0.25">
      <c r="G6" s="20" t="s">
        <v>918</v>
      </c>
      <c r="H6" s="98">
        <v>0</v>
      </c>
      <c r="I6" s="91" t="s">
        <v>922</v>
      </c>
      <c r="J6" s="18">
        <v>0</v>
      </c>
      <c r="K6" s="25"/>
    </row>
    <row r="7" spans="1:11" x14ac:dyDescent="0.25">
      <c r="G7" s="20" t="s">
        <v>919</v>
      </c>
      <c r="H7" s="98">
        <v>0</v>
      </c>
      <c r="I7" s="91" t="s">
        <v>308</v>
      </c>
      <c r="J7" s="18">
        <v>0</v>
      </c>
    </row>
    <row r="8" spans="1:11" ht="15.75" thickBot="1" x14ac:dyDescent="0.3">
      <c r="E8" s="106"/>
      <c r="G8" s="19" t="s">
        <v>924</v>
      </c>
      <c r="H8" s="99">
        <v>0</v>
      </c>
      <c r="I8" s="92" t="s">
        <v>307</v>
      </c>
      <c r="J8" s="33">
        <v>0</v>
      </c>
    </row>
    <row r="9" spans="1:11" x14ac:dyDescent="0.25">
      <c r="I9" s="93"/>
      <c r="J9" s="40"/>
    </row>
    <row r="10" spans="1:11" x14ac:dyDescent="0.25">
      <c r="G10" s="40" t="s">
        <v>1097</v>
      </c>
      <c r="H10" s="93"/>
      <c r="I10" s="93"/>
      <c r="J10" s="40"/>
    </row>
    <row r="11" spans="1:11" x14ac:dyDescent="0.25">
      <c r="G11" s="40" t="s">
        <v>1098</v>
      </c>
      <c r="H11" s="93"/>
    </row>
    <row r="13" spans="1:11" ht="28.5" x14ac:dyDescent="0.45">
      <c r="A13" s="13" t="s">
        <v>491</v>
      </c>
      <c r="B13" s="14"/>
      <c r="C13" s="14"/>
      <c r="D13" s="34"/>
      <c r="E13" s="35"/>
      <c r="F13" s="35"/>
      <c r="G13" s="35"/>
      <c r="H13" s="94"/>
    </row>
    <row r="14" spans="1:11" x14ac:dyDescent="0.25">
      <c r="A14" s="14" t="s">
        <v>497</v>
      </c>
      <c r="B14" s="14"/>
      <c r="C14" s="14"/>
      <c r="D14" s="14"/>
      <c r="E14" s="14"/>
      <c r="F14" s="14"/>
      <c r="G14" s="14"/>
      <c r="H14" s="91"/>
    </row>
    <row r="15" spans="1:11" x14ac:dyDescent="0.25">
      <c r="A15" s="15" t="s">
        <v>1852</v>
      </c>
      <c r="C15" s="14"/>
      <c r="D15" s="14"/>
      <c r="E15" s="14"/>
      <c r="F15" s="14"/>
      <c r="G15" s="14"/>
      <c r="H15" s="91"/>
    </row>
    <row r="16" spans="1:11" x14ac:dyDescent="0.25">
      <c r="A16" s="14"/>
      <c r="B16" s="14"/>
      <c r="C16" s="14"/>
      <c r="D16" s="14"/>
      <c r="E16" s="14"/>
      <c r="F16" s="14"/>
      <c r="G16" s="14"/>
      <c r="H16" s="91"/>
    </row>
    <row r="17" spans="1:9" x14ac:dyDescent="0.25">
      <c r="A17" s="8" t="s">
        <v>490</v>
      </c>
      <c r="B17" s="8" t="s">
        <v>374</v>
      </c>
      <c r="C17" s="8" t="s">
        <v>375</v>
      </c>
      <c r="D17" s="8" t="s">
        <v>311</v>
      </c>
      <c r="E17" s="39" t="s">
        <v>1168</v>
      </c>
      <c r="F17" s="80" t="s">
        <v>898</v>
      </c>
      <c r="G17" s="81" t="s">
        <v>498</v>
      </c>
      <c r="H17" s="81" t="s">
        <v>1733</v>
      </c>
      <c r="I17" s="81" t="s">
        <v>1736</v>
      </c>
    </row>
    <row r="18" spans="1:9" x14ac:dyDescent="0.25">
      <c r="A18" s="115" t="s">
        <v>305</v>
      </c>
      <c r="B18" s="116"/>
      <c r="C18" s="116"/>
      <c r="D18" s="116"/>
      <c r="E18" s="116"/>
      <c r="F18" s="116"/>
      <c r="G18" s="116"/>
      <c r="H18" s="116"/>
      <c r="I18" s="116"/>
    </row>
    <row r="19" spans="1:9" x14ac:dyDescent="0.25">
      <c r="A19" s="10" t="s">
        <v>199</v>
      </c>
      <c r="B19" s="7"/>
      <c r="C19" s="7"/>
      <c r="D19" s="7"/>
      <c r="E19" s="7"/>
      <c r="F19" s="7"/>
      <c r="G19" s="7"/>
      <c r="H19" s="7"/>
      <c r="I19" s="7"/>
    </row>
    <row r="20" spans="1:9" x14ac:dyDescent="0.25">
      <c r="A20" s="113" t="s">
        <v>41</v>
      </c>
      <c r="B20" s="1" t="s">
        <v>164</v>
      </c>
      <c r="H20"/>
      <c r="I20"/>
    </row>
    <row r="21" spans="1:9" x14ac:dyDescent="0.25">
      <c r="A21" s="114"/>
      <c r="B21" s="5" t="s">
        <v>41</v>
      </c>
      <c r="C21" s="3" t="s">
        <v>313</v>
      </c>
      <c r="D21" s="3" t="s">
        <v>546</v>
      </c>
      <c r="E21" s="36">
        <v>24</v>
      </c>
      <c r="F21" s="37" t="s">
        <v>916</v>
      </c>
      <c r="G21" s="29">
        <v>0</v>
      </c>
      <c r="H21" s="11">
        <v>37.9</v>
      </c>
      <c r="I21" s="11">
        <v>37.9</v>
      </c>
    </row>
    <row r="22" spans="1:9" x14ac:dyDescent="0.25">
      <c r="A22" s="113" t="s">
        <v>37</v>
      </c>
      <c r="B22" s="1" t="s">
        <v>199</v>
      </c>
      <c r="H22"/>
      <c r="I22"/>
    </row>
    <row r="23" spans="1:9" x14ac:dyDescent="0.25">
      <c r="A23" s="114"/>
      <c r="B23" s="5" t="s">
        <v>37</v>
      </c>
      <c r="C23" s="3" t="s">
        <v>359</v>
      </c>
      <c r="D23" s="3" t="s">
        <v>546</v>
      </c>
      <c r="E23" s="36">
        <v>24</v>
      </c>
      <c r="F23" s="37" t="s">
        <v>916</v>
      </c>
      <c r="G23" s="29">
        <v>0</v>
      </c>
      <c r="H23" s="11">
        <v>52.899999999999991</v>
      </c>
      <c r="I23" s="11">
        <v>52.899999999999991</v>
      </c>
    </row>
    <row r="24" spans="1:9" x14ac:dyDescent="0.25">
      <c r="A24" s="113" t="s">
        <v>156</v>
      </c>
      <c r="B24" s="1" t="s">
        <v>236</v>
      </c>
      <c r="H24"/>
      <c r="I24"/>
    </row>
    <row r="25" spans="1:9" x14ac:dyDescent="0.25">
      <c r="A25" s="114"/>
      <c r="B25" s="5" t="s">
        <v>156</v>
      </c>
      <c r="C25" s="3" t="s">
        <v>364</v>
      </c>
      <c r="D25" s="3" t="s">
        <v>546</v>
      </c>
      <c r="E25" s="36">
        <v>24</v>
      </c>
      <c r="F25" s="37" t="s">
        <v>916</v>
      </c>
      <c r="G25" s="29">
        <v>0</v>
      </c>
      <c r="H25" s="11">
        <v>64.899999999999991</v>
      </c>
      <c r="I25" s="11">
        <v>64.899999999999991</v>
      </c>
    </row>
    <row r="26" spans="1:9" x14ac:dyDescent="0.25">
      <c r="A26" s="113" t="s">
        <v>1185</v>
      </c>
      <c r="B26" s="1" t="s">
        <v>1186</v>
      </c>
      <c r="H26"/>
      <c r="I26"/>
    </row>
    <row r="27" spans="1:9" x14ac:dyDescent="0.25">
      <c r="A27" s="114"/>
      <c r="B27" s="5" t="s">
        <v>1185</v>
      </c>
      <c r="C27" s="3" t="s">
        <v>1187</v>
      </c>
      <c r="D27" s="3" t="s">
        <v>546</v>
      </c>
      <c r="E27" s="36">
        <v>24</v>
      </c>
      <c r="F27" s="37" t="s">
        <v>916</v>
      </c>
      <c r="G27" s="29">
        <v>0</v>
      </c>
      <c r="H27" s="11">
        <v>74.900000000000006</v>
      </c>
      <c r="I27" s="11">
        <v>74.900000000000006</v>
      </c>
    </row>
    <row r="28" spans="1:9" x14ac:dyDescent="0.25">
      <c r="A28" s="113" t="s">
        <v>159</v>
      </c>
      <c r="B28" s="1" t="s">
        <v>215</v>
      </c>
      <c r="H28"/>
      <c r="I28"/>
    </row>
    <row r="29" spans="1:9" x14ac:dyDescent="0.25">
      <c r="A29" s="114"/>
      <c r="B29" s="5" t="s">
        <v>159</v>
      </c>
      <c r="C29" s="3" t="s">
        <v>365</v>
      </c>
      <c r="D29" s="3" t="s">
        <v>546</v>
      </c>
      <c r="E29" s="36">
        <v>48</v>
      </c>
      <c r="F29" s="37" t="s">
        <v>916</v>
      </c>
      <c r="G29" s="29">
        <v>0</v>
      </c>
      <c r="H29" s="11">
        <v>42.9</v>
      </c>
      <c r="I29" s="11">
        <v>42.9</v>
      </c>
    </row>
    <row r="30" spans="1:9" x14ac:dyDescent="0.25">
      <c r="A30" s="113" t="s">
        <v>1188</v>
      </c>
      <c r="B30" s="1" t="s">
        <v>1189</v>
      </c>
      <c r="H30"/>
      <c r="I30"/>
    </row>
    <row r="31" spans="1:9" x14ac:dyDescent="0.25">
      <c r="A31" s="114"/>
      <c r="B31" s="5" t="s">
        <v>1188</v>
      </c>
      <c r="C31" s="3" t="s">
        <v>1190</v>
      </c>
      <c r="D31" s="3" t="s">
        <v>1388</v>
      </c>
      <c r="E31" s="36" t="s">
        <v>546</v>
      </c>
      <c r="F31" s="37" t="s">
        <v>916</v>
      </c>
      <c r="G31" s="29">
        <v>0</v>
      </c>
      <c r="H31" s="11">
        <v>29.9</v>
      </c>
      <c r="I31" s="11">
        <v>29.9</v>
      </c>
    </row>
    <row r="32" spans="1:9" x14ac:dyDescent="0.25">
      <c r="A32" s="113" t="s">
        <v>1206</v>
      </c>
      <c r="B32" s="1" t="s">
        <v>1208</v>
      </c>
      <c r="H32"/>
      <c r="I32"/>
    </row>
    <row r="33" spans="1:9" x14ac:dyDescent="0.25">
      <c r="A33" s="114"/>
      <c r="B33" s="5" t="s">
        <v>1206</v>
      </c>
      <c r="C33" s="3" t="s">
        <v>1207</v>
      </c>
      <c r="D33" s="3" t="s">
        <v>546</v>
      </c>
      <c r="E33" s="36">
        <v>1</v>
      </c>
      <c r="F33" s="37" t="s">
        <v>916</v>
      </c>
      <c r="G33" s="29">
        <v>0</v>
      </c>
      <c r="H33" s="11">
        <v>104.8</v>
      </c>
      <c r="I33" s="11">
        <v>104.8</v>
      </c>
    </row>
    <row r="34" spans="1:9" x14ac:dyDescent="0.25">
      <c r="A34" s="10" t="s">
        <v>481</v>
      </c>
      <c r="B34" s="7"/>
      <c r="C34" s="7"/>
      <c r="D34" s="7"/>
      <c r="E34" s="7"/>
      <c r="F34" s="7"/>
      <c r="G34" s="7"/>
      <c r="H34" s="7"/>
      <c r="I34" s="7"/>
    </row>
    <row r="35" spans="1:9" x14ac:dyDescent="0.25">
      <c r="A35" s="113" t="s">
        <v>29</v>
      </c>
      <c r="B35" s="1" t="s">
        <v>201</v>
      </c>
      <c r="H35"/>
      <c r="I35"/>
    </row>
    <row r="36" spans="1:9" x14ac:dyDescent="0.25">
      <c r="A36" s="114"/>
      <c r="B36" s="5" t="s">
        <v>29</v>
      </c>
      <c r="C36" s="3" t="s">
        <v>360</v>
      </c>
      <c r="D36" s="3" t="s">
        <v>572</v>
      </c>
      <c r="E36" s="36">
        <v>12</v>
      </c>
      <c r="F36" s="37" t="s">
        <v>916</v>
      </c>
      <c r="G36" s="29">
        <v>0</v>
      </c>
      <c r="H36" s="11">
        <v>61.900000000000006</v>
      </c>
      <c r="I36" s="11">
        <v>61.900000000000006</v>
      </c>
    </row>
    <row r="37" spans="1:9" x14ac:dyDescent="0.25">
      <c r="A37" s="114"/>
      <c r="B37" s="6" t="s">
        <v>149</v>
      </c>
      <c r="C37" s="4" t="s">
        <v>361</v>
      </c>
      <c r="D37" s="4" t="s">
        <v>570</v>
      </c>
      <c r="E37" s="41">
        <v>20</v>
      </c>
      <c r="F37" s="38" t="s">
        <v>916</v>
      </c>
      <c r="G37" s="30">
        <v>0</v>
      </c>
      <c r="H37" s="12">
        <v>61.900000000000006</v>
      </c>
      <c r="I37" s="12">
        <v>61.900000000000006</v>
      </c>
    </row>
    <row r="38" spans="1:9" x14ac:dyDescent="0.25">
      <c r="A38" s="114"/>
      <c r="B38" s="6" t="s">
        <v>728</v>
      </c>
      <c r="C38" s="4" t="s">
        <v>729</v>
      </c>
      <c r="D38" s="4" t="s">
        <v>575</v>
      </c>
      <c r="E38" s="41">
        <v>12</v>
      </c>
      <c r="F38" s="38" t="s">
        <v>916</v>
      </c>
      <c r="G38" s="30">
        <v>0</v>
      </c>
      <c r="H38" s="12">
        <v>61.900000000000006</v>
      </c>
      <c r="I38" s="12">
        <v>61.900000000000006</v>
      </c>
    </row>
    <row r="39" spans="1:9" x14ac:dyDescent="0.25">
      <c r="A39" s="113" t="s">
        <v>32</v>
      </c>
      <c r="B39" s="1" t="s">
        <v>203</v>
      </c>
      <c r="H39"/>
      <c r="I39"/>
    </row>
    <row r="40" spans="1:9" x14ac:dyDescent="0.25">
      <c r="A40" s="114"/>
      <c r="B40" s="5" t="s">
        <v>32</v>
      </c>
      <c r="C40" s="3" t="s">
        <v>362</v>
      </c>
      <c r="D40" s="3" t="s">
        <v>546</v>
      </c>
      <c r="E40" s="36">
        <v>24</v>
      </c>
      <c r="F40" s="37" t="s">
        <v>916</v>
      </c>
      <c r="G40" s="29">
        <v>0</v>
      </c>
      <c r="H40" s="11">
        <v>79.900000000000006</v>
      </c>
      <c r="I40" s="11">
        <v>79.900000000000006</v>
      </c>
    </row>
    <row r="41" spans="1:9" x14ac:dyDescent="0.25">
      <c r="A41" s="113" t="s">
        <v>1301</v>
      </c>
      <c r="B41" s="1" t="s">
        <v>200</v>
      </c>
      <c r="H41"/>
      <c r="I41"/>
    </row>
    <row r="42" spans="1:9" x14ac:dyDescent="0.25">
      <c r="A42" s="114"/>
      <c r="B42" s="5" t="s">
        <v>1301</v>
      </c>
      <c r="C42" s="3" t="s">
        <v>1322</v>
      </c>
      <c r="D42" s="3" t="s">
        <v>546</v>
      </c>
      <c r="E42" s="36">
        <v>48</v>
      </c>
      <c r="F42" s="37" t="s">
        <v>916</v>
      </c>
      <c r="G42" s="29">
        <v>0</v>
      </c>
      <c r="H42" s="11">
        <v>56.9</v>
      </c>
      <c r="I42" s="11">
        <v>56.9</v>
      </c>
    </row>
    <row r="43" spans="1:9" x14ac:dyDescent="0.25">
      <c r="A43" s="113" t="s">
        <v>1299</v>
      </c>
      <c r="B43" s="1" t="s">
        <v>202</v>
      </c>
      <c r="H43"/>
      <c r="I43"/>
    </row>
    <row r="44" spans="1:9" x14ac:dyDescent="0.25">
      <c r="A44" s="114"/>
      <c r="B44" s="5" t="s">
        <v>1299</v>
      </c>
      <c r="C44" s="3" t="s">
        <v>1323</v>
      </c>
      <c r="D44" s="3" t="s">
        <v>546</v>
      </c>
      <c r="E44" s="36">
        <v>24</v>
      </c>
      <c r="F44" s="37" t="s">
        <v>916</v>
      </c>
      <c r="G44" s="29">
        <v>0</v>
      </c>
      <c r="H44" s="11">
        <v>89.9</v>
      </c>
      <c r="I44" s="11">
        <v>89.9</v>
      </c>
    </row>
    <row r="45" spans="1:9" x14ac:dyDescent="0.25">
      <c r="A45" s="113" t="s">
        <v>1300</v>
      </c>
      <c r="B45" s="1" t="s">
        <v>204</v>
      </c>
      <c r="H45"/>
      <c r="I45"/>
    </row>
    <row r="46" spans="1:9" x14ac:dyDescent="0.25">
      <c r="A46" s="114"/>
      <c r="B46" s="5" t="s">
        <v>1300</v>
      </c>
      <c r="C46" s="3" t="s">
        <v>1324</v>
      </c>
      <c r="D46" s="3" t="s">
        <v>546</v>
      </c>
      <c r="E46" s="36">
        <v>48</v>
      </c>
      <c r="F46" s="37" t="s">
        <v>916</v>
      </c>
      <c r="G46" s="29">
        <v>0</v>
      </c>
      <c r="H46" s="11">
        <v>45.9</v>
      </c>
      <c r="I46" s="11">
        <v>45.9</v>
      </c>
    </row>
    <row r="47" spans="1:9" x14ac:dyDescent="0.25">
      <c r="A47" s="10" t="s">
        <v>485</v>
      </c>
      <c r="B47" s="7"/>
      <c r="C47" s="7"/>
      <c r="D47" s="7"/>
      <c r="E47" s="7"/>
      <c r="F47" s="7"/>
      <c r="G47" s="7"/>
      <c r="H47" s="7"/>
      <c r="I47" s="7"/>
    </row>
    <row r="48" spans="1:9" x14ac:dyDescent="0.25">
      <c r="A48" s="113" t="s">
        <v>531</v>
      </c>
      <c r="B48" s="1" t="s">
        <v>536</v>
      </c>
      <c r="H48"/>
      <c r="I48"/>
    </row>
    <row r="49" spans="1:9" x14ac:dyDescent="0.25">
      <c r="A49" s="114"/>
      <c r="B49" s="5" t="s">
        <v>531</v>
      </c>
      <c r="C49" s="3" t="s">
        <v>541</v>
      </c>
      <c r="D49" s="3" t="s">
        <v>546</v>
      </c>
      <c r="E49" s="36">
        <v>24</v>
      </c>
      <c r="F49" s="37" t="s">
        <v>918</v>
      </c>
      <c r="G49" s="29">
        <v>0</v>
      </c>
      <c r="H49" s="11">
        <v>24.9</v>
      </c>
      <c r="I49" s="11">
        <v>24.9</v>
      </c>
    </row>
    <row r="50" spans="1:9" x14ac:dyDescent="0.25">
      <c r="A50" s="113" t="s">
        <v>532</v>
      </c>
      <c r="B50" s="1" t="s">
        <v>537</v>
      </c>
      <c r="H50"/>
      <c r="I50"/>
    </row>
    <row r="51" spans="1:9" x14ac:dyDescent="0.25">
      <c r="A51" s="114"/>
      <c r="B51" s="5" t="s">
        <v>532</v>
      </c>
      <c r="C51" s="3" t="s">
        <v>542</v>
      </c>
      <c r="D51" s="3" t="s">
        <v>546</v>
      </c>
      <c r="E51" s="36">
        <v>24</v>
      </c>
      <c r="F51" s="37" t="s">
        <v>918</v>
      </c>
      <c r="G51" s="29">
        <v>0</v>
      </c>
      <c r="H51" s="11">
        <v>34.9</v>
      </c>
      <c r="I51" s="11">
        <v>34.9</v>
      </c>
    </row>
    <row r="52" spans="1:9" x14ac:dyDescent="0.25">
      <c r="A52" s="10" t="s">
        <v>486</v>
      </c>
      <c r="B52" s="7"/>
      <c r="C52" s="7"/>
      <c r="D52" s="7"/>
      <c r="E52" s="7"/>
      <c r="F52" s="7"/>
      <c r="G52" s="7"/>
      <c r="H52" s="7"/>
      <c r="I52" s="7"/>
    </row>
    <row r="53" spans="1:9" x14ac:dyDescent="0.25">
      <c r="A53" s="113" t="s">
        <v>39</v>
      </c>
      <c r="B53" s="1" t="s">
        <v>897</v>
      </c>
      <c r="H53"/>
      <c r="I53"/>
    </row>
    <row r="54" spans="1:9" x14ac:dyDescent="0.25">
      <c r="A54" s="114"/>
      <c r="B54" s="5" t="s">
        <v>39</v>
      </c>
      <c r="C54" s="3" t="s">
        <v>367</v>
      </c>
      <c r="D54" s="3" t="s">
        <v>572</v>
      </c>
      <c r="E54" s="36">
        <v>4</v>
      </c>
      <c r="F54" s="37" t="s">
        <v>918</v>
      </c>
      <c r="G54" s="29">
        <v>0</v>
      </c>
      <c r="H54" s="11">
        <v>134.9</v>
      </c>
      <c r="I54" s="11">
        <v>134.9</v>
      </c>
    </row>
    <row r="55" spans="1:9" x14ac:dyDescent="0.25">
      <c r="A55" s="114"/>
      <c r="B55" s="6" t="s">
        <v>150</v>
      </c>
      <c r="C55" s="4" t="s">
        <v>366</v>
      </c>
      <c r="D55" s="4" t="s">
        <v>570</v>
      </c>
      <c r="E55" s="41" t="s">
        <v>546</v>
      </c>
      <c r="F55" s="38" t="s">
        <v>918</v>
      </c>
      <c r="G55" s="30">
        <v>0</v>
      </c>
      <c r="H55" s="12">
        <v>129.9</v>
      </c>
      <c r="I55" s="12">
        <v>129.9</v>
      </c>
    </row>
    <row r="56" spans="1:9" x14ac:dyDescent="0.25">
      <c r="A56" s="114"/>
      <c r="B56" s="6" t="s">
        <v>730</v>
      </c>
      <c r="C56" s="4" t="s">
        <v>731</v>
      </c>
      <c r="D56" s="4" t="s">
        <v>575</v>
      </c>
      <c r="E56" s="41">
        <v>4</v>
      </c>
      <c r="F56" s="38" t="s">
        <v>918</v>
      </c>
      <c r="G56" s="30">
        <v>0</v>
      </c>
      <c r="H56" s="12">
        <v>134.9</v>
      </c>
      <c r="I56" s="12">
        <v>134.9</v>
      </c>
    </row>
    <row r="57" spans="1:9" x14ac:dyDescent="0.25">
      <c r="A57" s="113" t="s">
        <v>40</v>
      </c>
      <c r="B57" s="1" t="s">
        <v>486</v>
      </c>
      <c r="H57"/>
      <c r="I57"/>
    </row>
    <row r="58" spans="1:9" x14ac:dyDescent="0.25">
      <c r="A58" s="114"/>
      <c r="B58" s="5" t="s">
        <v>40</v>
      </c>
      <c r="C58" s="3" t="s">
        <v>368</v>
      </c>
      <c r="D58" s="3" t="s">
        <v>572</v>
      </c>
      <c r="E58" s="36">
        <v>4</v>
      </c>
      <c r="F58" s="37" t="s">
        <v>918</v>
      </c>
      <c r="G58" s="29">
        <v>0</v>
      </c>
      <c r="H58" s="11">
        <v>154.9</v>
      </c>
      <c r="I58" s="11">
        <v>154.9</v>
      </c>
    </row>
    <row r="59" spans="1:9" x14ac:dyDescent="0.25">
      <c r="A59" s="113" t="s">
        <v>1198</v>
      </c>
      <c r="B59" s="1" t="s">
        <v>1199</v>
      </c>
      <c r="H59"/>
      <c r="I59"/>
    </row>
    <row r="60" spans="1:9" x14ac:dyDescent="0.25">
      <c r="A60" s="114"/>
      <c r="B60" s="5" t="s">
        <v>1198</v>
      </c>
      <c r="C60" s="3" t="s">
        <v>1200</v>
      </c>
      <c r="D60" s="3" t="s">
        <v>572</v>
      </c>
      <c r="E60" s="36">
        <v>4</v>
      </c>
      <c r="F60" s="37" t="s">
        <v>918</v>
      </c>
      <c r="G60" s="29">
        <v>0</v>
      </c>
      <c r="H60" s="11">
        <v>179.9</v>
      </c>
      <c r="I60" s="11">
        <v>179.9</v>
      </c>
    </row>
    <row r="61" spans="1:9" x14ac:dyDescent="0.25">
      <c r="A61" s="114"/>
      <c r="B61" s="6" t="s">
        <v>1750</v>
      </c>
      <c r="C61" s="4" t="s">
        <v>1749</v>
      </c>
      <c r="D61" s="4" t="s">
        <v>903</v>
      </c>
      <c r="E61" s="41">
        <v>4</v>
      </c>
      <c r="F61" s="38" t="s">
        <v>918</v>
      </c>
      <c r="G61" s="30">
        <v>0</v>
      </c>
      <c r="H61" s="12">
        <v>179.9</v>
      </c>
      <c r="I61" s="12">
        <v>179.9</v>
      </c>
    </row>
    <row r="62" spans="1:9" x14ac:dyDescent="0.25">
      <c r="A62" s="113" t="s">
        <v>888</v>
      </c>
      <c r="B62" s="1" t="s">
        <v>889</v>
      </c>
      <c r="H62"/>
      <c r="I62"/>
    </row>
    <row r="63" spans="1:9" x14ac:dyDescent="0.25">
      <c r="A63" s="114"/>
      <c r="B63" s="5" t="s">
        <v>888</v>
      </c>
      <c r="C63" s="3" t="s">
        <v>942</v>
      </c>
      <c r="D63" s="3" t="s">
        <v>572</v>
      </c>
      <c r="E63" s="36">
        <v>4</v>
      </c>
      <c r="F63" s="37" t="s">
        <v>918</v>
      </c>
      <c r="G63" s="29">
        <v>0</v>
      </c>
      <c r="H63" s="11">
        <v>134.9</v>
      </c>
      <c r="I63" s="11">
        <v>134.9</v>
      </c>
    </row>
    <row r="64" spans="1:9" x14ac:dyDescent="0.25">
      <c r="A64" s="114"/>
      <c r="B64" s="6" t="s">
        <v>1776</v>
      </c>
      <c r="C64" s="4" t="s">
        <v>1777</v>
      </c>
      <c r="D64" s="4" t="s">
        <v>903</v>
      </c>
      <c r="E64" s="41" t="s">
        <v>546</v>
      </c>
      <c r="F64" s="38" t="s">
        <v>918</v>
      </c>
      <c r="G64" s="30">
        <v>0</v>
      </c>
      <c r="H64" s="12">
        <v>134.9</v>
      </c>
      <c r="I64" s="12">
        <v>134.9</v>
      </c>
    </row>
    <row r="65" spans="1:9" x14ac:dyDescent="0.25">
      <c r="A65" s="10" t="s">
        <v>234</v>
      </c>
      <c r="B65" s="7"/>
      <c r="C65" s="7"/>
      <c r="D65" s="7"/>
      <c r="E65" s="7"/>
      <c r="F65" s="7"/>
      <c r="G65" s="7"/>
      <c r="H65" s="7"/>
      <c r="I65" s="7"/>
    </row>
    <row r="66" spans="1:9" x14ac:dyDescent="0.25">
      <c r="A66" s="113" t="s">
        <v>528</v>
      </c>
      <c r="B66" s="1" t="s">
        <v>535</v>
      </c>
      <c r="H66"/>
      <c r="I66"/>
    </row>
    <row r="67" spans="1:9" x14ac:dyDescent="0.25">
      <c r="A67" s="114"/>
      <c r="B67" s="5" t="s">
        <v>528</v>
      </c>
      <c r="C67" s="3" t="s">
        <v>538</v>
      </c>
      <c r="D67" s="3" t="s">
        <v>546</v>
      </c>
      <c r="E67" s="36">
        <v>24</v>
      </c>
      <c r="F67" s="37" t="s">
        <v>918</v>
      </c>
      <c r="G67" s="29">
        <v>0</v>
      </c>
      <c r="H67" s="11">
        <v>14.9</v>
      </c>
      <c r="I67" s="11">
        <v>14.9</v>
      </c>
    </row>
    <row r="68" spans="1:9" x14ac:dyDescent="0.25">
      <c r="A68" s="113" t="s">
        <v>529</v>
      </c>
      <c r="B68" s="1" t="s">
        <v>234</v>
      </c>
      <c r="H68"/>
      <c r="I68"/>
    </row>
    <row r="69" spans="1:9" x14ac:dyDescent="0.25">
      <c r="A69" s="114"/>
      <c r="B69" s="5" t="s">
        <v>529</v>
      </c>
      <c r="C69" s="3" t="s">
        <v>539</v>
      </c>
      <c r="D69" s="3" t="s">
        <v>546</v>
      </c>
      <c r="E69" s="36">
        <v>24</v>
      </c>
      <c r="F69" s="37" t="s">
        <v>918</v>
      </c>
      <c r="G69" s="29">
        <v>0</v>
      </c>
      <c r="H69" s="11">
        <v>32.9</v>
      </c>
      <c r="I69" s="11">
        <v>32.9</v>
      </c>
    </row>
    <row r="70" spans="1:9" x14ac:dyDescent="0.25">
      <c r="A70" s="113" t="s">
        <v>530</v>
      </c>
      <c r="B70" s="1" t="s">
        <v>235</v>
      </c>
      <c r="H70"/>
      <c r="I70"/>
    </row>
    <row r="71" spans="1:9" x14ac:dyDescent="0.25">
      <c r="A71" s="114"/>
      <c r="B71" s="5" t="s">
        <v>530</v>
      </c>
      <c r="C71" s="3" t="s">
        <v>540</v>
      </c>
      <c r="D71" s="3" t="s">
        <v>546</v>
      </c>
      <c r="E71" s="36">
        <v>24</v>
      </c>
      <c r="F71" s="37" t="s">
        <v>918</v>
      </c>
      <c r="G71" s="29">
        <v>0</v>
      </c>
      <c r="H71" s="11">
        <v>21.9</v>
      </c>
      <c r="I71" s="11">
        <v>21.9</v>
      </c>
    </row>
    <row r="72" spans="1:9" x14ac:dyDescent="0.25">
      <c r="A72" s="10" t="s">
        <v>209</v>
      </c>
      <c r="B72" s="7"/>
      <c r="C72" s="7"/>
      <c r="D72" s="7"/>
      <c r="E72" s="7"/>
      <c r="F72" s="7"/>
      <c r="G72" s="7"/>
      <c r="H72" s="7"/>
      <c r="I72" s="7"/>
    </row>
    <row r="73" spans="1:9" x14ac:dyDescent="0.25">
      <c r="A73" s="113" t="s">
        <v>1298</v>
      </c>
      <c r="B73" s="1" t="s">
        <v>208</v>
      </c>
      <c r="H73"/>
      <c r="I73"/>
    </row>
    <row r="74" spans="1:9" x14ac:dyDescent="0.25">
      <c r="A74" s="114"/>
      <c r="B74" s="5" t="s">
        <v>1298</v>
      </c>
      <c r="C74" s="3" t="s">
        <v>1325</v>
      </c>
      <c r="D74" s="3" t="s">
        <v>546</v>
      </c>
      <c r="E74" s="36">
        <v>24</v>
      </c>
      <c r="F74" s="37" t="s">
        <v>916</v>
      </c>
      <c r="G74" s="29">
        <v>0</v>
      </c>
      <c r="H74" s="11">
        <v>62.9</v>
      </c>
      <c r="I74" s="11">
        <v>62.9</v>
      </c>
    </row>
    <row r="75" spans="1:9" x14ac:dyDescent="0.25">
      <c r="A75" s="113" t="s">
        <v>1297</v>
      </c>
      <c r="B75" s="1" t="s">
        <v>209</v>
      </c>
      <c r="H75"/>
      <c r="I75"/>
    </row>
    <row r="76" spans="1:9" x14ac:dyDescent="0.25">
      <c r="A76" s="114"/>
      <c r="B76" s="5" t="s">
        <v>1297</v>
      </c>
      <c r="C76" s="3" t="s">
        <v>1326</v>
      </c>
      <c r="D76" s="3" t="s">
        <v>546</v>
      </c>
      <c r="E76" s="36">
        <v>24</v>
      </c>
      <c r="F76" s="37" t="s">
        <v>916</v>
      </c>
      <c r="G76" s="29">
        <v>0</v>
      </c>
      <c r="H76" s="11">
        <v>77.900000000000006</v>
      </c>
      <c r="I76" s="11">
        <v>77.900000000000006</v>
      </c>
    </row>
    <row r="77" spans="1:9" x14ac:dyDescent="0.25">
      <c r="A77" s="10" t="s">
        <v>544</v>
      </c>
      <c r="B77" s="7"/>
      <c r="C77" s="7"/>
      <c r="D77" s="7"/>
      <c r="E77" s="7"/>
      <c r="F77" s="7"/>
      <c r="G77" s="7"/>
      <c r="H77" s="7"/>
      <c r="I77" s="7"/>
    </row>
    <row r="78" spans="1:9" x14ac:dyDescent="0.25">
      <c r="A78" s="113" t="s">
        <v>33</v>
      </c>
      <c r="B78" s="1" t="s">
        <v>210</v>
      </c>
      <c r="H78"/>
      <c r="I78"/>
    </row>
    <row r="79" spans="1:9" x14ac:dyDescent="0.25">
      <c r="A79" s="114"/>
      <c r="B79" s="5" t="s">
        <v>33</v>
      </c>
      <c r="C79" s="3" t="s">
        <v>363</v>
      </c>
      <c r="D79" s="3" t="s">
        <v>546</v>
      </c>
      <c r="E79" s="36">
        <v>12</v>
      </c>
      <c r="F79" s="37" t="s">
        <v>916</v>
      </c>
      <c r="G79" s="29">
        <v>0</v>
      </c>
      <c r="H79" s="11">
        <v>99.9</v>
      </c>
      <c r="I79" s="11">
        <v>99.9</v>
      </c>
    </row>
    <row r="80" spans="1:9" x14ac:dyDescent="0.25">
      <c r="A80" s="113" t="s">
        <v>1702</v>
      </c>
      <c r="B80" s="1" t="s">
        <v>1703</v>
      </c>
      <c r="H80"/>
      <c r="I80"/>
    </row>
    <row r="81" spans="1:9" x14ac:dyDescent="0.25">
      <c r="A81" s="114"/>
      <c r="B81" s="5" t="s">
        <v>1702</v>
      </c>
      <c r="C81" s="3" t="s">
        <v>1704</v>
      </c>
      <c r="D81" s="3" t="s">
        <v>546</v>
      </c>
      <c r="E81" s="36">
        <v>24</v>
      </c>
      <c r="F81" s="37" t="s">
        <v>916</v>
      </c>
      <c r="G81" s="29">
        <v>0</v>
      </c>
      <c r="H81" s="11">
        <v>44.9</v>
      </c>
      <c r="I81" s="11">
        <v>44.9</v>
      </c>
    </row>
    <row r="82" spans="1:9" x14ac:dyDescent="0.25">
      <c r="A82" s="113" t="s">
        <v>1135</v>
      </c>
      <c r="B82" s="1" t="s">
        <v>1136</v>
      </c>
      <c r="H82"/>
      <c r="I82"/>
    </row>
    <row r="83" spans="1:9" x14ac:dyDescent="0.25">
      <c r="A83" s="114"/>
      <c r="B83" s="5" t="s">
        <v>1135</v>
      </c>
      <c r="C83" s="3" t="s">
        <v>1137</v>
      </c>
      <c r="D83" s="3" t="s">
        <v>546</v>
      </c>
      <c r="E83" s="36">
        <v>48</v>
      </c>
      <c r="F83" s="37" t="s">
        <v>918</v>
      </c>
      <c r="G83" s="29">
        <v>0</v>
      </c>
      <c r="H83" s="11">
        <v>29.9</v>
      </c>
      <c r="I83" s="11">
        <v>29.9</v>
      </c>
    </row>
    <row r="84" spans="1:9" x14ac:dyDescent="0.25">
      <c r="A84" s="113" t="s">
        <v>533</v>
      </c>
      <c r="B84" s="1" t="s">
        <v>232</v>
      </c>
      <c r="H84"/>
      <c r="I84"/>
    </row>
    <row r="85" spans="1:9" x14ac:dyDescent="0.25">
      <c r="A85" s="114"/>
      <c r="B85" s="5" t="s">
        <v>533</v>
      </c>
      <c r="C85" s="3" t="s">
        <v>543</v>
      </c>
      <c r="D85" s="3" t="s">
        <v>572</v>
      </c>
      <c r="E85" s="36">
        <v>20</v>
      </c>
      <c r="F85" s="37" t="s">
        <v>918</v>
      </c>
      <c r="G85" s="29">
        <v>0</v>
      </c>
      <c r="H85" s="11">
        <v>34.9</v>
      </c>
      <c r="I85" s="11">
        <v>34.9</v>
      </c>
    </row>
    <row r="86" spans="1:9" x14ac:dyDescent="0.25">
      <c r="A86" s="113" t="s">
        <v>1144</v>
      </c>
      <c r="B86" s="1" t="s">
        <v>1147</v>
      </c>
      <c r="H86"/>
      <c r="I86"/>
    </row>
    <row r="87" spans="1:9" x14ac:dyDescent="0.25">
      <c r="A87" s="114"/>
      <c r="B87" s="5" t="s">
        <v>1144</v>
      </c>
      <c r="C87" s="3" t="s">
        <v>1145</v>
      </c>
      <c r="D87" s="3" t="s">
        <v>546</v>
      </c>
      <c r="E87" s="36">
        <v>96</v>
      </c>
      <c r="F87" s="37" t="s">
        <v>918</v>
      </c>
      <c r="G87" s="29">
        <v>0</v>
      </c>
      <c r="H87" s="11">
        <v>30.9</v>
      </c>
      <c r="I87" s="11">
        <v>30.9</v>
      </c>
    </row>
    <row r="88" spans="1:9" x14ac:dyDescent="0.25">
      <c r="A88" s="113" t="s">
        <v>1146</v>
      </c>
      <c r="B88" s="1" t="s">
        <v>1148</v>
      </c>
      <c r="H88"/>
      <c r="I88"/>
    </row>
    <row r="89" spans="1:9" x14ac:dyDescent="0.25">
      <c r="A89" s="114"/>
      <c r="B89" s="5" t="s">
        <v>1146</v>
      </c>
      <c r="C89" s="3" t="s">
        <v>1149</v>
      </c>
      <c r="D89" s="3" t="s">
        <v>546</v>
      </c>
      <c r="E89" s="36">
        <v>48</v>
      </c>
      <c r="F89" s="37" t="s">
        <v>918</v>
      </c>
      <c r="G89" s="29">
        <v>0</v>
      </c>
      <c r="H89" s="11">
        <v>41.9</v>
      </c>
      <c r="I89" s="11">
        <v>41.9</v>
      </c>
    </row>
    <row r="90" spans="1:9" x14ac:dyDescent="0.25">
      <c r="A90" s="113" t="s">
        <v>1265</v>
      </c>
      <c r="B90" s="1" t="s">
        <v>1148</v>
      </c>
      <c r="H90"/>
      <c r="I90"/>
    </row>
    <row r="91" spans="1:9" x14ac:dyDescent="0.25">
      <c r="A91" s="114"/>
      <c r="B91" s="5" t="s">
        <v>1265</v>
      </c>
      <c r="C91" s="3" t="s">
        <v>1285</v>
      </c>
      <c r="D91" s="3" t="s">
        <v>546</v>
      </c>
      <c r="E91" s="36">
        <v>48</v>
      </c>
      <c r="F91" s="37" t="s">
        <v>918</v>
      </c>
      <c r="G91" s="29">
        <v>0</v>
      </c>
      <c r="H91" s="11">
        <v>41.9</v>
      </c>
      <c r="I91" s="11">
        <v>41.9</v>
      </c>
    </row>
    <row r="92" spans="1:9" x14ac:dyDescent="0.25">
      <c r="A92" s="113" t="s">
        <v>1159</v>
      </c>
      <c r="B92" s="1" t="s">
        <v>1160</v>
      </c>
      <c r="H92"/>
      <c r="I92"/>
    </row>
    <row r="93" spans="1:9" x14ac:dyDescent="0.25">
      <c r="A93" s="114"/>
      <c r="B93" s="5" t="s">
        <v>1159</v>
      </c>
      <c r="C93" s="3" t="s">
        <v>1161</v>
      </c>
      <c r="D93" s="3" t="s">
        <v>546</v>
      </c>
      <c r="E93" s="36">
        <v>24</v>
      </c>
      <c r="F93" s="37" t="s">
        <v>916</v>
      </c>
      <c r="G93" s="29">
        <v>0</v>
      </c>
      <c r="H93" s="11">
        <v>39.9</v>
      </c>
      <c r="I93" s="11">
        <v>39.9</v>
      </c>
    </row>
    <row r="94" spans="1:9" x14ac:dyDescent="0.25">
      <c r="A94" s="113" t="s">
        <v>1302</v>
      </c>
      <c r="B94" s="1" t="s">
        <v>161</v>
      </c>
      <c r="H94"/>
      <c r="I94"/>
    </row>
    <row r="95" spans="1:9" x14ac:dyDescent="0.25">
      <c r="A95" s="114"/>
      <c r="B95" s="5" t="s">
        <v>1302</v>
      </c>
      <c r="C95" s="3" t="s">
        <v>1327</v>
      </c>
      <c r="D95" s="3" t="s">
        <v>546</v>
      </c>
      <c r="E95" s="36">
        <v>48</v>
      </c>
      <c r="F95" s="37" t="s">
        <v>916</v>
      </c>
      <c r="G95" s="29">
        <v>0</v>
      </c>
      <c r="H95" s="11">
        <v>71.900000000000006</v>
      </c>
      <c r="I95" s="11">
        <v>71.900000000000006</v>
      </c>
    </row>
    <row r="96" spans="1:9" x14ac:dyDescent="0.25">
      <c r="A96" s="10" t="s">
        <v>482</v>
      </c>
      <c r="B96" s="7"/>
      <c r="C96" s="7"/>
      <c r="D96" s="7"/>
      <c r="E96" s="7"/>
      <c r="F96" s="7"/>
      <c r="G96" s="7"/>
      <c r="H96" s="7"/>
      <c r="I96" s="7"/>
    </row>
    <row r="97" spans="1:9" x14ac:dyDescent="0.25">
      <c r="A97" s="113" t="s">
        <v>518</v>
      </c>
      <c r="B97" s="1" t="s">
        <v>519</v>
      </c>
      <c r="H97"/>
      <c r="I97"/>
    </row>
    <row r="98" spans="1:9" x14ac:dyDescent="0.25">
      <c r="A98" s="114"/>
      <c r="B98" s="5" t="s">
        <v>518</v>
      </c>
      <c r="C98" s="3" t="s">
        <v>520</v>
      </c>
      <c r="D98" s="3" t="s">
        <v>546</v>
      </c>
      <c r="E98" s="36" t="s">
        <v>546</v>
      </c>
      <c r="F98" s="37" t="s">
        <v>916</v>
      </c>
      <c r="G98" s="29">
        <v>0</v>
      </c>
      <c r="H98" s="11">
        <v>149.9</v>
      </c>
      <c r="I98" s="11">
        <v>149.9</v>
      </c>
    </row>
    <row r="99" spans="1:9" x14ac:dyDescent="0.25">
      <c r="A99" s="113" t="s">
        <v>1306</v>
      </c>
      <c r="B99" s="1" t="s">
        <v>492</v>
      </c>
      <c r="H99"/>
      <c r="I99"/>
    </row>
    <row r="100" spans="1:9" x14ac:dyDescent="0.25">
      <c r="A100" s="114"/>
      <c r="B100" s="5" t="s">
        <v>1306</v>
      </c>
      <c r="C100" s="3" t="s">
        <v>1315</v>
      </c>
      <c r="D100" s="3" t="s">
        <v>546</v>
      </c>
      <c r="E100" s="36">
        <v>24</v>
      </c>
      <c r="F100" s="37" t="s">
        <v>916</v>
      </c>
      <c r="G100" s="29">
        <v>0</v>
      </c>
      <c r="H100" s="11">
        <v>74.900000000000006</v>
      </c>
      <c r="I100" s="11">
        <v>74.900000000000006</v>
      </c>
    </row>
    <row r="101" spans="1:9" x14ac:dyDescent="0.25">
      <c r="A101" s="113" t="s">
        <v>1305</v>
      </c>
      <c r="B101" s="1" t="s">
        <v>207</v>
      </c>
      <c r="H101"/>
      <c r="I101"/>
    </row>
    <row r="102" spans="1:9" x14ac:dyDescent="0.25">
      <c r="A102" s="114"/>
      <c r="B102" s="5" t="s">
        <v>1305</v>
      </c>
      <c r="C102" s="3" t="s">
        <v>1316</v>
      </c>
      <c r="D102" s="3" t="s">
        <v>546</v>
      </c>
      <c r="E102" s="36">
        <v>6</v>
      </c>
      <c r="F102" s="37" t="s">
        <v>916</v>
      </c>
      <c r="G102" s="29">
        <v>0</v>
      </c>
      <c r="H102" s="11">
        <v>104.9</v>
      </c>
      <c r="I102" s="11">
        <v>104.9</v>
      </c>
    </row>
    <row r="103" spans="1:9" x14ac:dyDescent="0.25">
      <c r="A103" s="113" t="s">
        <v>1309</v>
      </c>
      <c r="B103" s="1" t="s">
        <v>1314</v>
      </c>
      <c r="H103"/>
      <c r="I103"/>
    </row>
    <row r="104" spans="1:9" x14ac:dyDescent="0.25">
      <c r="A104" s="114"/>
      <c r="B104" s="5" t="s">
        <v>1309</v>
      </c>
      <c r="C104" s="3" t="s">
        <v>1317</v>
      </c>
      <c r="D104" s="3" t="s">
        <v>572</v>
      </c>
      <c r="E104" s="36">
        <v>4</v>
      </c>
      <c r="F104" s="37" t="s">
        <v>917</v>
      </c>
      <c r="G104" s="29">
        <v>0</v>
      </c>
      <c r="H104" s="11">
        <v>134.9</v>
      </c>
      <c r="I104" s="11">
        <v>134.9</v>
      </c>
    </row>
    <row r="105" spans="1:9" x14ac:dyDescent="0.25">
      <c r="A105" s="114"/>
      <c r="B105" s="6" t="s">
        <v>1373</v>
      </c>
      <c r="C105" s="4" t="s">
        <v>1391</v>
      </c>
      <c r="D105" s="4" t="s">
        <v>1380</v>
      </c>
      <c r="E105" s="41">
        <v>4</v>
      </c>
      <c r="F105" s="38" t="s">
        <v>917</v>
      </c>
      <c r="G105" s="30">
        <v>0</v>
      </c>
      <c r="H105" s="12">
        <v>134.9</v>
      </c>
      <c r="I105" s="12">
        <v>134.9</v>
      </c>
    </row>
    <row r="106" spans="1:9" x14ac:dyDescent="0.25">
      <c r="A106" s="114"/>
      <c r="B106" s="6" t="s">
        <v>1401</v>
      </c>
      <c r="C106" s="4" t="s">
        <v>1402</v>
      </c>
      <c r="D106" s="4" t="s">
        <v>903</v>
      </c>
      <c r="E106" s="41">
        <v>4</v>
      </c>
      <c r="F106" s="38" t="s">
        <v>917</v>
      </c>
      <c r="G106" s="30">
        <v>0</v>
      </c>
      <c r="H106" s="12">
        <v>134.9</v>
      </c>
      <c r="I106" s="12">
        <v>134.9</v>
      </c>
    </row>
    <row r="107" spans="1:9" x14ac:dyDescent="0.25">
      <c r="A107" s="113" t="s">
        <v>1308</v>
      </c>
      <c r="B107" s="1" t="s">
        <v>1313</v>
      </c>
      <c r="H107"/>
      <c r="I107"/>
    </row>
    <row r="108" spans="1:9" x14ac:dyDescent="0.25">
      <c r="A108" s="114"/>
      <c r="B108" s="5" t="s">
        <v>1308</v>
      </c>
      <c r="C108" s="3" t="s">
        <v>1318</v>
      </c>
      <c r="D108" s="3" t="s">
        <v>572</v>
      </c>
      <c r="E108" s="36">
        <v>4</v>
      </c>
      <c r="F108" s="37" t="s">
        <v>917</v>
      </c>
      <c r="G108" s="29">
        <v>0</v>
      </c>
      <c r="H108" s="11">
        <v>154.9</v>
      </c>
      <c r="I108" s="11">
        <v>154.9</v>
      </c>
    </row>
    <row r="109" spans="1:9" x14ac:dyDescent="0.25">
      <c r="A109" s="114"/>
      <c r="B109" s="6" t="s">
        <v>1374</v>
      </c>
      <c r="C109" s="4" t="s">
        <v>1392</v>
      </c>
      <c r="D109" s="4" t="s">
        <v>1380</v>
      </c>
      <c r="E109" s="41">
        <v>4</v>
      </c>
      <c r="F109" s="38" t="s">
        <v>917</v>
      </c>
      <c r="G109" s="30">
        <v>0</v>
      </c>
      <c r="H109" s="12">
        <v>154.9</v>
      </c>
      <c r="I109" s="12">
        <v>154.9</v>
      </c>
    </row>
    <row r="110" spans="1:9" x14ac:dyDescent="0.25">
      <c r="A110" s="114"/>
      <c r="B110" s="6" t="s">
        <v>1403</v>
      </c>
      <c r="C110" s="4" t="s">
        <v>1404</v>
      </c>
      <c r="D110" s="4" t="s">
        <v>903</v>
      </c>
      <c r="E110" s="41">
        <v>4</v>
      </c>
      <c r="F110" s="38" t="s">
        <v>917</v>
      </c>
      <c r="G110" s="30">
        <v>0</v>
      </c>
      <c r="H110" s="12">
        <v>154.9</v>
      </c>
      <c r="I110" s="12">
        <v>154.9</v>
      </c>
    </row>
    <row r="111" spans="1:9" x14ac:dyDescent="0.25">
      <c r="A111" s="113" t="s">
        <v>1304</v>
      </c>
      <c r="B111" s="1" t="s">
        <v>1311</v>
      </c>
      <c r="H111"/>
      <c r="I111"/>
    </row>
    <row r="112" spans="1:9" x14ac:dyDescent="0.25">
      <c r="A112" s="114"/>
      <c r="B112" s="5" t="s">
        <v>1304</v>
      </c>
      <c r="C112" s="3" t="s">
        <v>1319</v>
      </c>
      <c r="D112" s="3" t="s">
        <v>572</v>
      </c>
      <c r="E112" s="36">
        <v>4</v>
      </c>
      <c r="F112" s="37" t="s">
        <v>917</v>
      </c>
      <c r="G112" s="29">
        <v>0</v>
      </c>
      <c r="H112" s="11">
        <v>214.9</v>
      </c>
      <c r="I112" s="11">
        <v>214.9</v>
      </c>
    </row>
    <row r="113" spans="1:9" x14ac:dyDescent="0.25">
      <c r="A113" s="114"/>
      <c r="B113" s="6" t="s">
        <v>1375</v>
      </c>
      <c r="C113" s="4" t="s">
        <v>1393</v>
      </c>
      <c r="D113" s="4" t="s">
        <v>1381</v>
      </c>
      <c r="E113" s="41">
        <v>4</v>
      </c>
      <c r="F113" s="38" t="s">
        <v>917</v>
      </c>
      <c r="G113" s="30">
        <v>0</v>
      </c>
      <c r="H113" s="12">
        <v>214.9</v>
      </c>
      <c r="I113" s="12">
        <v>214.9</v>
      </c>
    </row>
    <row r="114" spans="1:9" x14ac:dyDescent="0.25">
      <c r="A114" s="114"/>
      <c r="B114" s="6" t="s">
        <v>1378</v>
      </c>
      <c r="C114" s="4" t="s">
        <v>1396</v>
      </c>
      <c r="D114" s="4" t="s">
        <v>1380</v>
      </c>
      <c r="E114" s="41">
        <v>4</v>
      </c>
      <c r="F114" s="38" t="s">
        <v>917</v>
      </c>
      <c r="G114" s="30">
        <v>0</v>
      </c>
      <c r="H114" s="12">
        <v>214.9</v>
      </c>
      <c r="I114" s="12">
        <v>214.9</v>
      </c>
    </row>
    <row r="115" spans="1:9" x14ac:dyDescent="0.25">
      <c r="A115" s="114"/>
      <c r="B115" s="6" t="s">
        <v>1405</v>
      </c>
      <c r="C115" s="4" t="s">
        <v>1406</v>
      </c>
      <c r="D115" s="4" t="s">
        <v>575</v>
      </c>
      <c r="E115" s="41">
        <v>4</v>
      </c>
      <c r="F115" s="38" t="s">
        <v>917</v>
      </c>
      <c r="G115" s="30">
        <v>0</v>
      </c>
      <c r="H115" s="12">
        <v>214.9</v>
      </c>
      <c r="I115" s="12">
        <v>214.9</v>
      </c>
    </row>
    <row r="116" spans="1:9" x14ac:dyDescent="0.25">
      <c r="A116" s="113" t="s">
        <v>1303</v>
      </c>
      <c r="B116" s="1" t="s">
        <v>1310</v>
      </c>
      <c r="H116"/>
      <c r="I116"/>
    </row>
    <row r="117" spans="1:9" x14ac:dyDescent="0.25">
      <c r="A117" s="114"/>
      <c r="B117" s="5" t="s">
        <v>1303</v>
      </c>
      <c r="C117" s="3" t="s">
        <v>1320</v>
      </c>
      <c r="D117" s="3" t="s">
        <v>572</v>
      </c>
      <c r="E117" s="36">
        <v>4</v>
      </c>
      <c r="F117" s="37" t="s">
        <v>917</v>
      </c>
      <c r="G117" s="29">
        <v>0</v>
      </c>
      <c r="H117" s="11">
        <v>254.9</v>
      </c>
      <c r="I117" s="11">
        <v>254.9</v>
      </c>
    </row>
    <row r="118" spans="1:9" x14ac:dyDescent="0.25">
      <c r="A118" s="114"/>
      <c r="B118" s="6" t="s">
        <v>1376</v>
      </c>
      <c r="C118" s="4" t="s">
        <v>1394</v>
      </c>
      <c r="D118" s="4" t="s">
        <v>1381</v>
      </c>
      <c r="E118" s="41">
        <v>4</v>
      </c>
      <c r="F118" s="38" t="s">
        <v>917</v>
      </c>
      <c r="G118" s="30">
        <v>0</v>
      </c>
      <c r="H118" s="12">
        <v>254.9</v>
      </c>
      <c r="I118" s="12">
        <v>254.9</v>
      </c>
    </row>
    <row r="119" spans="1:9" x14ac:dyDescent="0.25">
      <c r="A119" s="114"/>
      <c r="B119" s="6" t="s">
        <v>1379</v>
      </c>
      <c r="C119" s="4" t="s">
        <v>1397</v>
      </c>
      <c r="D119" s="4" t="s">
        <v>1380</v>
      </c>
      <c r="E119" s="41">
        <v>4</v>
      </c>
      <c r="F119" s="38" t="s">
        <v>917</v>
      </c>
      <c r="G119" s="30">
        <v>0</v>
      </c>
      <c r="H119" s="12">
        <v>254.9</v>
      </c>
      <c r="I119" s="12">
        <v>254.9</v>
      </c>
    </row>
    <row r="120" spans="1:9" x14ac:dyDescent="0.25">
      <c r="A120" s="114"/>
      <c r="B120" s="6" t="s">
        <v>1408</v>
      </c>
      <c r="C120" s="4" t="s">
        <v>1407</v>
      </c>
      <c r="D120" s="4" t="s">
        <v>575</v>
      </c>
      <c r="E120" s="41">
        <v>4</v>
      </c>
      <c r="F120" s="38" t="s">
        <v>917</v>
      </c>
      <c r="G120" s="30">
        <v>0</v>
      </c>
      <c r="H120" s="12">
        <v>254.9</v>
      </c>
      <c r="I120" s="12">
        <v>254.9</v>
      </c>
    </row>
    <row r="121" spans="1:9" x14ac:dyDescent="0.25">
      <c r="A121" s="113" t="s">
        <v>1307</v>
      </c>
      <c r="B121" s="1" t="s">
        <v>1312</v>
      </c>
      <c r="H121"/>
      <c r="I121"/>
    </row>
    <row r="122" spans="1:9" x14ac:dyDescent="0.25">
      <c r="A122" s="114"/>
      <c r="B122" s="5" t="s">
        <v>1307</v>
      </c>
      <c r="C122" s="3" t="s">
        <v>1321</v>
      </c>
      <c r="D122" s="3" t="s">
        <v>572</v>
      </c>
      <c r="E122" s="36">
        <v>3</v>
      </c>
      <c r="F122" s="37" t="s">
        <v>917</v>
      </c>
      <c r="G122" s="29">
        <v>0</v>
      </c>
      <c r="H122" s="11">
        <v>284.89999999999998</v>
      </c>
      <c r="I122" s="11">
        <v>284.89999999999998</v>
      </c>
    </row>
    <row r="123" spans="1:9" x14ac:dyDescent="0.25">
      <c r="A123" s="114"/>
      <c r="B123" s="6" t="s">
        <v>1377</v>
      </c>
      <c r="C123" s="4" t="s">
        <v>1395</v>
      </c>
      <c r="D123" s="4" t="s">
        <v>1380</v>
      </c>
      <c r="E123" s="41">
        <v>3</v>
      </c>
      <c r="F123" s="38" t="s">
        <v>917</v>
      </c>
      <c r="G123" s="30">
        <v>0</v>
      </c>
      <c r="H123" s="12">
        <v>284.89999999999998</v>
      </c>
      <c r="I123" s="12">
        <v>284.89999999999998</v>
      </c>
    </row>
    <row r="124" spans="1:9" x14ac:dyDescent="0.25">
      <c r="A124" s="114"/>
      <c r="B124" s="6" t="s">
        <v>1409</v>
      </c>
      <c r="C124" s="4" t="s">
        <v>1410</v>
      </c>
      <c r="D124" s="4" t="s">
        <v>903</v>
      </c>
      <c r="E124" s="41">
        <v>3</v>
      </c>
      <c r="F124" s="38" t="s">
        <v>917</v>
      </c>
      <c r="G124" s="30">
        <v>0</v>
      </c>
      <c r="H124" s="12">
        <v>284.89999999999998</v>
      </c>
      <c r="I124" s="12">
        <v>284.89999999999998</v>
      </c>
    </row>
    <row r="125" spans="1:9" x14ac:dyDescent="0.25">
      <c r="A125" s="10" t="s">
        <v>505</v>
      </c>
      <c r="B125" s="7"/>
      <c r="C125" s="7"/>
      <c r="D125" s="7"/>
      <c r="E125" s="7"/>
      <c r="F125" s="7"/>
      <c r="G125" s="7"/>
      <c r="H125" s="7"/>
      <c r="I125" s="7"/>
    </row>
    <row r="126" spans="1:9" x14ac:dyDescent="0.25">
      <c r="A126" s="113" t="s">
        <v>504</v>
      </c>
      <c r="B126" s="1" t="s">
        <v>911</v>
      </c>
      <c r="H126"/>
      <c r="I126"/>
    </row>
    <row r="127" spans="1:9" x14ac:dyDescent="0.25">
      <c r="A127" s="114"/>
      <c r="B127" s="5" t="s">
        <v>504</v>
      </c>
      <c r="C127" s="3" t="s">
        <v>507</v>
      </c>
      <c r="D127" s="3" t="s">
        <v>572</v>
      </c>
      <c r="E127" s="36">
        <v>1</v>
      </c>
      <c r="F127" s="37" t="s">
        <v>924</v>
      </c>
      <c r="G127" s="29">
        <v>0</v>
      </c>
      <c r="H127" s="11">
        <v>669.9</v>
      </c>
      <c r="I127" s="11">
        <v>669.9</v>
      </c>
    </row>
    <row r="128" spans="1:9" x14ac:dyDescent="0.25">
      <c r="A128" s="114"/>
      <c r="B128" s="6" t="s">
        <v>925</v>
      </c>
      <c r="C128" s="4" t="s">
        <v>926</v>
      </c>
      <c r="D128" s="4" t="s">
        <v>903</v>
      </c>
      <c r="E128" s="41">
        <v>1</v>
      </c>
      <c r="F128" s="38" t="s">
        <v>924</v>
      </c>
      <c r="G128" s="30">
        <v>0</v>
      </c>
      <c r="H128" s="12">
        <v>669.9</v>
      </c>
      <c r="I128" s="12">
        <v>669.9</v>
      </c>
    </row>
    <row r="129" spans="1:9" x14ac:dyDescent="0.25">
      <c r="A129" s="113" t="s">
        <v>506</v>
      </c>
      <c r="B129" s="1" t="s">
        <v>912</v>
      </c>
      <c r="H129"/>
      <c r="I129"/>
    </row>
    <row r="130" spans="1:9" x14ac:dyDescent="0.25">
      <c r="A130" s="114"/>
      <c r="B130" s="5" t="s">
        <v>506</v>
      </c>
      <c r="C130" s="3" t="s">
        <v>508</v>
      </c>
      <c r="D130" s="3" t="s">
        <v>572</v>
      </c>
      <c r="E130" s="36">
        <v>1</v>
      </c>
      <c r="F130" s="37" t="s">
        <v>924</v>
      </c>
      <c r="G130" s="29">
        <v>0</v>
      </c>
      <c r="H130" s="11">
        <v>1069.9000000000001</v>
      </c>
      <c r="I130" s="11">
        <v>1069.9000000000001</v>
      </c>
    </row>
    <row r="131" spans="1:9" x14ac:dyDescent="0.25">
      <c r="A131" s="114"/>
      <c r="B131" s="6" t="s">
        <v>927</v>
      </c>
      <c r="C131" s="4" t="s">
        <v>928</v>
      </c>
      <c r="D131" s="4" t="s">
        <v>903</v>
      </c>
      <c r="E131" s="41">
        <v>1</v>
      </c>
      <c r="F131" s="38" t="s">
        <v>924</v>
      </c>
      <c r="G131" s="30">
        <v>0</v>
      </c>
      <c r="H131" s="12">
        <v>1069.9000000000001</v>
      </c>
      <c r="I131" s="12">
        <v>1069.9000000000001</v>
      </c>
    </row>
    <row r="132" spans="1:9" x14ac:dyDescent="0.25">
      <c r="A132" s="113" t="s">
        <v>1236</v>
      </c>
      <c r="B132" s="1" t="s">
        <v>1237</v>
      </c>
      <c r="H132"/>
      <c r="I132"/>
    </row>
    <row r="133" spans="1:9" x14ac:dyDescent="0.25">
      <c r="A133" s="114"/>
      <c r="B133" s="5" t="s">
        <v>1236</v>
      </c>
      <c r="C133" s="3" t="s">
        <v>1268</v>
      </c>
      <c r="D133" s="3" t="s">
        <v>546</v>
      </c>
      <c r="E133" s="36">
        <v>1</v>
      </c>
      <c r="F133" s="37" t="s">
        <v>924</v>
      </c>
      <c r="G133" s="29">
        <v>0</v>
      </c>
      <c r="H133" s="11">
        <v>739.9</v>
      </c>
      <c r="I133" s="11">
        <v>739.9</v>
      </c>
    </row>
    <row r="134" spans="1:9" x14ac:dyDescent="0.25">
      <c r="A134" s="113" t="s">
        <v>1238</v>
      </c>
      <c r="B134" s="1" t="s">
        <v>1239</v>
      </c>
      <c r="H134"/>
      <c r="I134"/>
    </row>
    <row r="135" spans="1:9" x14ac:dyDescent="0.25">
      <c r="A135" s="114"/>
      <c r="B135" s="5" t="s">
        <v>1238</v>
      </c>
      <c r="C135" s="3" t="s">
        <v>1269</v>
      </c>
      <c r="D135" s="3" t="s">
        <v>546</v>
      </c>
      <c r="E135" s="36">
        <v>1</v>
      </c>
      <c r="F135" s="37" t="s">
        <v>924</v>
      </c>
      <c r="G135" s="29">
        <v>0</v>
      </c>
      <c r="H135" s="11">
        <v>1179.9000000000001</v>
      </c>
      <c r="I135" s="11">
        <v>1179.9000000000001</v>
      </c>
    </row>
    <row r="136" spans="1:9" x14ac:dyDescent="0.25">
      <c r="A136" s="10" t="s">
        <v>483</v>
      </c>
      <c r="B136" s="7"/>
      <c r="C136" s="7"/>
      <c r="D136" s="7"/>
      <c r="E136" s="7"/>
      <c r="F136" s="7"/>
      <c r="G136" s="7"/>
      <c r="H136" s="7"/>
      <c r="I136" s="7"/>
    </row>
    <row r="137" spans="1:9" x14ac:dyDescent="0.25">
      <c r="A137" s="113" t="s">
        <v>0</v>
      </c>
      <c r="B137" s="1" t="s">
        <v>534</v>
      </c>
      <c r="H137"/>
      <c r="I137"/>
    </row>
    <row r="138" spans="1:9" x14ac:dyDescent="0.25">
      <c r="A138" s="114"/>
      <c r="B138" s="5" t="s">
        <v>0</v>
      </c>
      <c r="C138" s="3" t="s">
        <v>312</v>
      </c>
      <c r="D138" s="3" t="s">
        <v>546</v>
      </c>
      <c r="E138" s="36">
        <v>144</v>
      </c>
      <c r="F138" s="37" t="s">
        <v>918</v>
      </c>
      <c r="G138" s="29">
        <v>0</v>
      </c>
      <c r="H138" s="11">
        <v>8.9</v>
      </c>
      <c r="I138" s="11">
        <v>8.9</v>
      </c>
    </row>
    <row r="139" spans="1:9" x14ac:dyDescent="0.25">
      <c r="A139" s="113" t="s">
        <v>547</v>
      </c>
      <c r="B139" s="1" t="s">
        <v>548</v>
      </c>
      <c r="H139"/>
      <c r="I139"/>
    </row>
    <row r="140" spans="1:9" x14ac:dyDescent="0.25">
      <c r="A140" s="114"/>
      <c r="B140" s="5" t="s">
        <v>547</v>
      </c>
      <c r="C140" s="3" t="s">
        <v>549</v>
      </c>
      <c r="D140" s="3" t="s">
        <v>546</v>
      </c>
      <c r="E140" s="36">
        <v>144</v>
      </c>
      <c r="F140" s="37" t="s">
        <v>916</v>
      </c>
      <c r="G140" s="29">
        <v>0</v>
      </c>
      <c r="H140" s="11">
        <v>14.9</v>
      </c>
      <c r="I140" s="11">
        <v>14.9</v>
      </c>
    </row>
    <row r="141" spans="1:9" x14ac:dyDescent="0.25">
      <c r="A141" s="113" t="s">
        <v>1227</v>
      </c>
      <c r="B141" s="1" t="s">
        <v>548</v>
      </c>
      <c r="H141"/>
      <c r="I141"/>
    </row>
    <row r="142" spans="1:9" x14ac:dyDescent="0.25">
      <c r="A142" s="114"/>
      <c r="B142" s="5" t="s">
        <v>1227</v>
      </c>
      <c r="C142" s="3" t="s">
        <v>1281</v>
      </c>
      <c r="D142" s="3" t="s">
        <v>546</v>
      </c>
      <c r="E142" s="36">
        <v>144</v>
      </c>
      <c r="F142" s="37" t="s">
        <v>916</v>
      </c>
      <c r="G142" s="29">
        <v>0</v>
      </c>
      <c r="H142" s="11">
        <v>14.9</v>
      </c>
      <c r="I142" s="11">
        <v>14.9</v>
      </c>
    </row>
    <row r="143" spans="1:9" x14ac:dyDescent="0.25">
      <c r="A143" s="113" t="s">
        <v>4</v>
      </c>
      <c r="B143" s="1" t="s">
        <v>166</v>
      </c>
      <c r="H143"/>
      <c r="I143"/>
    </row>
    <row r="144" spans="1:9" x14ac:dyDescent="0.25">
      <c r="A144" s="114"/>
      <c r="B144" s="5" t="s">
        <v>4</v>
      </c>
      <c r="C144" s="3" t="s">
        <v>314</v>
      </c>
      <c r="D144" s="3" t="s">
        <v>546</v>
      </c>
      <c r="E144" s="36">
        <v>48</v>
      </c>
      <c r="F144" s="37" t="s">
        <v>916</v>
      </c>
      <c r="G144" s="29">
        <v>0</v>
      </c>
      <c r="H144" s="11">
        <v>29.9</v>
      </c>
      <c r="I144" s="11">
        <v>29.9</v>
      </c>
    </row>
    <row r="145" spans="1:9" x14ac:dyDescent="0.25">
      <c r="A145" s="113" t="s">
        <v>501</v>
      </c>
      <c r="B145" s="1" t="s">
        <v>502</v>
      </c>
      <c r="H145"/>
      <c r="I145"/>
    </row>
    <row r="146" spans="1:9" x14ac:dyDescent="0.25">
      <c r="A146" s="114"/>
      <c r="B146" s="5" t="s">
        <v>501</v>
      </c>
      <c r="C146" s="3" t="s">
        <v>503</v>
      </c>
      <c r="D146" s="3" t="s">
        <v>546</v>
      </c>
      <c r="E146" s="36">
        <v>24</v>
      </c>
      <c r="F146" s="37" t="s">
        <v>916</v>
      </c>
      <c r="G146" s="29">
        <v>0</v>
      </c>
      <c r="H146" s="11">
        <v>29.9</v>
      </c>
      <c r="I146" s="11">
        <v>29.9</v>
      </c>
    </row>
    <row r="147" spans="1:9" x14ac:dyDescent="0.25">
      <c r="A147" s="113" t="s">
        <v>1263</v>
      </c>
      <c r="B147" s="1" t="s">
        <v>502</v>
      </c>
      <c r="H147"/>
      <c r="I147"/>
    </row>
    <row r="148" spans="1:9" x14ac:dyDescent="0.25">
      <c r="A148" s="114"/>
      <c r="B148" s="5" t="s">
        <v>1263</v>
      </c>
      <c r="C148" s="3" t="s">
        <v>1283</v>
      </c>
      <c r="D148" s="3" t="s">
        <v>546</v>
      </c>
      <c r="E148" s="36">
        <v>24</v>
      </c>
      <c r="F148" s="37" t="s">
        <v>916</v>
      </c>
      <c r="G148" s="29">
        <v>0</v>
      </c>
      <c r="H148" s="11">
        <v>29.9</v>
      </c>
      <c r="I148" s="11">
        <v>29.9</v>
      </c>
    </row>
    <row r="149" spans="1:9" x14ac:dyDescent="0.25">
      <c r="A149" s="113" t="s">
        <v>294</v>
      </c>
      <c r="B149" s="1" t="s">
        <v>301</v>
      </c>
      <c r="H149"/>
      <c r="I149"/>
    </row>
    <row r="150" spans="1:9" x14ac:dyDescent="0.25">
      <c r="A150" s="114"/>
      <c r="B150" s="5" t="s">
        <v>294</v>
      </c>
      <c r="C150" s="3" t="s">
        <v>315</v>
      </c>
      <c r="D150" s="3" t="s">
        <v>546</v>
      </c>
      <c r="E150" s="36">
        <v>48</v>
      </c>
      <c r="F150" s="37" t="s">
        <v>916</v>
      </c>
      <c r="G150" s="29">
        <v>0</v>
      </c>
      <c r="H150" s="11">
        <v>19.899999999999999</v>
      </c>
      <c r="I150" s="11">
        <v>19.899999999999999</v>
      </c>
    </row>
    <row r="151" spans="1:9" x14ac:dyDescent="0.25">
      <c r="A151" s="113" t="s">
        <v>295</v>
      </c>
      <c r="B151" s="1" t="s">
        <v>163</v>
      </c>
      <c r="H151"/>
      <c r="I151"/>
    </row>
    <row r="152" spans="1:9" x14ac:dyDescent="0.25">
      <c r="A152" s="114"/>
      <c r="B152" s="5" t="s">
        <v>295</v>
      </c>
      <c r="C152" s="3" t="s">
        <v>316</v>
      </c>
      <c r="D152" s="3" t="s">
        <v>546</v>
      </c>
      <c r="E152" s="36">
        <v>48</v>
      </c>
      <c r="F152" s="37" t="s">
        <v>916</v>
      </c>
      <c r="G152" s="29">
        <v>0</v>
      </c>
      <c r="H152" s="11">
        <v>27.9</v>
      </c>
      <c r="I152" s="11">
        <v>27.9</v>
      </c>
    </row>
    <row r="153" spans="1:9" x14ac:dyDescent="0.25">
      <c r="A153" s="113" t="s">
        <v>296</v>
      </c>
      <c r="B153" s="1" t="s">
        <v>162</v>
      </c>
      <c r="H153"/>
      <c r="I153"/>
    </row>
    <row r="154" spans="1:9" x14ac:dyDescent="0.25">
      <c r="A154" s="114"/>
      <c r="B154" s="5" t="s">
        <v>296</v>
      </c>
      <c r="C154" s="3" t="s">
        <v>317</v>
      </c>
      <c r="D154" s="3" t="s">
        <v>546</v>
      </c>
      <c r="E154" s="36">
        <v>24</v>
      </c>
      <c r="F154" s="37" t="s">
        <v>916</v>
      </c>
      <c r="G154" s="29">
        <v>0</v>
      </c>
      <c r="H154" s="11">
        <v>34.9</v>
      </c>
      <c r="I154" s="11">
        <v>34.9</v>
      </c>
    </row>
    <row r="155" spans="1:9" x14ac:dyDescent="0.25">
      <c r="A155" s="113" t="s">
        <v>297</v>
      </c>
      <c r="B155" s="1" t="s">
        <v>302</v>
      </c>
      <c r="H155"/>
      <c r="I155"/>
    </row>
    <row r="156" spans="1:9" x14ac:dyDescent="0.25">
      <c r="A156" s="114"/>
      <c r="B156" s="5" t="s">
        <v>297</v>
      </c>
      <c r="C156" s="3" t="s">
        <v>318</v>
      </c>
      <c r="D156" s="3" t="s">
        <v>546</v>
      </c>
      <c r="E156" s="36">
        <v>24</v>
      </c>
      <c r="F156" s="37" t="s">
        <v>916</v>
      </c>
      <c r="G156" s="29">
        <v>0</v>
      </c>
      <c r="H156" s="11">
        <v>44.9</v>
      </c>
      <c r="I156" s="11">
        <v>44.9</v>
      </c>
    </row>
    <row r="157" spans="1:9" x14ac:dyDescent="0.25">
      <c r="A157" s="113" t="s">
        <v>298</v>
      </c>
      <c r="B157" s="1" t="s">
        <v>165</v>
      </c>
      <c r="H157"/>
      <c r="I157"/>
    </row>
    <row r="158" spans="1:9" x14ac:dyDescent="0.25">
      <c r="A158" s="114"/>
      <c r="B158" s="5" t="s">
        <v>298</v>
      </c>
      <c r="C158" s="3" t="s">
        <v>319</v>
      </c>
      <c r="D158" s="3" t="s">
        <v>546</v>
      </c>
      <c r="E158" s="36">
        <v>24</v>
      </c>
      <c r="F158" s="37" t="s">
        <v>916</v>
      </c>
      <c r="G158" s="29">
        <v>0</v>
      </c>
      <c r="H158" s="11">
        <v>39.9</v>
      </c>
      <c r="I158" s="11">
        <v>39.9</v>
      </c>
    </row>
    <row r="159" spans="1:9" x14ac:dyDescent="0.25">
      <c r="A159" s="113" t="s">
        <v>299</v>
      </c>
      <c r="B159" s="1" t="s">
        <v>303</v>
      </c>
      <c r="H159"/>
      <c r="I159"/>
    </row>
    <row r="160" spans="1:9" x14ac:dyDescent="0.25">
      <c r="A160" s="114"/>
      <c r="B160" s="5" t="s">
        <v>299</v>
      </c>
      <c r="C160" s="3" t="s">
        <v>320</v>
      </c>
      <c r="D160" s="3" t="s">
        <v>546</v>
      </c>
      <c r="E160" s="36">
        <v>24</v>
      </c>
      <c r="F160" s="37" t="s">
        <v>916</v>
      </c>
      <c r="G160" s="29">
        <v>0</v>
      </c>
      <c r="H160" s="11">
        <v>59.9</v>
      </c>
      <c r="I160" s="11">
        <v>59.9</v>
      </c>
    </row>
    <row r="161" spans="1:9" x14ac:dyDescent="0.25">
      <c r="A161" s="113" t="s">
        <v>300</v>
      </c>
      <c r="B161" s="1" t="s">
        <v>304</v>
      </c>
      <c r="H161"/>
      <c r="I161"/>
    </row>
    <row r="162" spans="1:9" x14ac:dyDescent="0.25">
      <c r="A162" s="114"/>
      <c r="B162" s="5" t="s">
        <v>300</v>
      </c>
      <c r="C162" s="3" t="s">
        <v>321</v>
      </c>
      <c r="D162" s="3" t="s">
        <v>546</v>
      </c>
      <c r="E162" s="36">
        <v>24</v>
      </c>
      <c r="F162" s="37" t="s">
        <v>916</v>
      </c>
      <c r="G162" s="29">
        <v>0</v>
      </c>
      <c r="H162" s="11">
        <v>69.900000000000006</v>
      </c>
      <c r="I162" s="11">
        <v>69.900000000000006</v>
      </c>
    </row>
    <row r="163" spans="1:9" x14ac:dyDescent="0.25">
      <c r="A163" s="113" t="s">
        <v>1264</v>
      </c>
      <c r="B163" s="1" t="s">
        <v>304</v>
      </c>
      <c r="H163"/>
      <c r="I163"/>
    </row>
    <row r="164" spans="1:9" x14ac:dyDescent="0.25">
      <c r="A164" s="114"/>
      <c r="B164" s="5" t="s">
        <v>1264</v>
      </c>
      <c r="C164" s="3" t="s">
        <v>1284</v>
      </c>
      <c r="D164" s="3" t="s">
        <v>546</v>
      </c>
      <c r="E164" s="36">
        <v>24</v>
      </c>
      <c r="F164" s="37" t="s">
        <v>916</v>
      </c>
      <c r="G164" s="29">
        <v>0</v>
      </c>
      <c r="H164" s="11">
        <v>69.900000000000006</v>
      </c>
      <c r="I164" s="11">
        <v>69.900000000000006</v>
      </c>
    </row>
    <row r="165" spans="1:9" x14ac:dyDescent="0.25">
      <c r="A165" s="10" t="s">
        <v>484</v>
      </c>
      <c r="B165" s="7"/>
      <c r="C165" s="7"/>
      <c r="D165" s="7"/>
      <c r="E165" s="7"/>
      <c r="F165" s="7"/>
      <c r="G165" s="7"/>
      <c r="H165" s="7"/>
      <c r="I165" s="7"/>
    </row>
    <row r="166" spans="1:9" x14ac:dyDescent="0.25">
      <c r="A166" s="113" t="s">
        <v>7</v>
      </c>
      <c r="B166" s="1" t="s">
        <v>171</v>
      </c>
      <c r="H166"/>
      <c r="I166"/>
    </row>
    <row r="167" spans="1:9" x14ac:dyDescent="0.25">
      <c r="A167" s="114"/>
      <c r="B167" s="5" t="s">
        <v>7</v>
      </c>
      <c r="C167" s="3" t="s">
        <v>322</v>
      </c>
      <c r="D167" s="3" t="s">
        <v>572</v>
      </c>
      <c r="E167" s="36">
        <v>1</v>
      </c>
      <c r="F167" s="37" t="s">
        <v>916</v>
      </c>
      <c r="G167" s="29">
        <v>0</v>
      </c>
      <c r="H167" s="11">
        <v>1514.9</v>
      </c>
      <c r="I167" s="11">
        <v>1514.9</v>
      </c>
    </row>
    <row r="168" spans="1:9" x14ac:dyDescent="0.25">
      <c r="A168" s="114"/>
      <c r="B168" s="6" t="s">
        <v>131</v>
      </c>
      <c r="C168" s="4" t="s">
        <v>324</v>
      </c>
      <c r="D168" s="4" t="s">
        <v>562</v>
      </c>
      <c r="E168" s="41">
        <v>1</v>
      </c>
      <c r="F168" s="38" t="s">
        <v>916</v>
      </c>
      <c r="G168" s="30">
        <v>0</v>
      </c>
      <c r="H168" s="12">
        <v>1514.9</v>
      </c>
      <c r="I168" s="12">
        <v>1514.9</v>
      </c>
    </row>
    <row r="169" spans="1:9" x14ac:dyDescent="0.25">
      <c r="A169" s="114"/>
      <c r="B169" s="6" t="s">
        <v>573</v>
      </c>
      <c r="C169" s="4" t="s">
        <v>574</v>
      </c>
      <c r="D169" s="4" t="s">
        <v>575</v>
      </c>
      <c r="E169" s="41" t="s">
        <v>546</v>
      </c>
      <c r="F169" s="38" t="s">
        <v>916</v>
      </c>
      <c r="G169" s="30">
        <v>0</v>
      </c>
      <c r="H169" s="12">
        <v>1514.9</v>
      </c>
      <c r="I169" s="12">
        <v>1514.9</v>
      </c>
    </row>
    <row r="170" spans="1:9" x14ac:dyDescent="0.25">
      <c r="A170" s="114"/>
      <c r="B170" s="6" t="s">
        <v>1090</v>
      </c>
      <c r="C170" s="4" t="s">
        <v>323</v>
      </c>
      <c r="D170" s="4" t="s">
        <v>1091</v>
      </c>
      <c r="E170" s="41">
        <v>1</v>
      </c>
      <c r="F170" s="38" t="s">
        <v>916</v>
      </c>
      <c r="G170" s="30">
        <v>0</v>
      </c>
      <c r="H170" s="12">
        <v>1514.9</v>
      </c>
      <c r="I170" s="12">
        <v>1514.9</v>
      </c>
    </row>
    <row r="171" spans="1:9" x14ac:dyDescent="0.25">
      <c r="A171" s="113" t="s">
        <v>8</v>
      </c>
      <c r="B171" s="1" t="s">
        <v>172</v>
      </c>
      <c r="H171"/>
      <c r="I171"/>
    </row>
    <row r="172" spans="1:9" x14ac:dyDescent="0.25">
      <c r="A172" s="114"/>
      <c r="B172" s="5" t="s">
        <v>8</v>
      </c>
      <c r="C172" s="3" t="s">
        <v>325</v>
      </c>
      <c r="D172" s="3" t="s">
        <v>572</v>
      </c>
      <c r="E172" s="36">
        <v>1</v>
      </c>
      <c r="F172" s="37" t="s">
        <v>916</v>
      </c>
      <c r="G172" s="29">
        <v>0</v>
      </c>
      <c r="H172" s="11">
        <v>1009.9</v>
      </c>
      <c r="I172" s="11">
        <v>1009.9</v>
      </c>
    </row>
    <row r="173" spans="1:9" x14ac:dyDescent="0.25">
      <c r="A173" s="114"/>
      <c r="B173" s="6" t="s">
        <v>132</v>
      </c>
      <c r="C173" s="4" t="s">
        <v>327</v>
      </c>
      <c r="D173" s="4" t="s">
        <v>562</v>
      </c>
      <c r="E173" s="41">
        <v>1</v>
      </c>
      <c r="F173" s="38" t="s">
        <v>916</v>
      </c>
      <c r="G173" s="30">
        <v>0</v>
      </c>
      <c r="H173" s="12">
        <v>1009.9</v>
      </c>
      <c r="I173" s="12">
        <v>1009.9</v>
      </c>
    </row>
    <row r="174" spans="1:9" x14ac:dyDescent="0.25">
      <c r="A174" s="114"/>
      <c r="B174" s="6" t="s">
        <v>576</v>
      </c>
      <c r="C174" s="4" t="s">
        <v>577</v>
      </c>
      <c r="D174" s="4" t="s">
        <v>575</v>
      </c>
      <c r="E174" s="41" t="s">
        <v>546</v>
      </c>
      <c r="F174" s="38" t="s">
        <v>916</v>
      </c>
      <c r="G174" s="30">
        <v>0</v>
      </c>
      <c r="H174" s="12">
        <v>1009.9</v>
      </c>
      <c r="I174" s="12">
        <v>1009.9</v>
      </c>
    </row>
    <row r="175" spans="1:9" x14ac:dyDescent="0.25">
      <c r="A175" s="114"/>
      <c r="B175" s="6" t="s">
        <v>1089</v>
      </c>
      <c r="C175" s="4" t="s">
        <v>326</v>
      </c>
      <c r="D175" s="4" t="s">
        <v>1091</v>
      </c>
      <c r="E175" s="41">
        <v>1</v>
      </c>
      <c r="F175" s="38" t="s">
        <v>916</v>
      </c>
      <c r="G175" s="30">
        <v>0</v>
      </c>
      <c r="H175" s="12">
        <v>1009.9</v>
      </c>
      <c r="I175" s="12">
        <v>1009.9</v>
      </c>
    </row>
    <row r="176" spans="1:9" x14ac:dyDescent="0.25">
      <c r="A176" s="113" t="s">
        <v>9</v>
      </c>
      <c r="B176" s="1" t="s">
        <v>173</v>
      </c>
      <c r="H176"/>
      <c r="I176"/>
    </row>
    <row r="177" spans="1:9" x14ac:dyDescent="0.25">
      <c r="A177" s="114"/>
      <c r="B177" s="5" t="s">
        <v>9</v>
      </c>
      <c r="C177" s="3" t="s">
        <v>328</v>
      </c>
      <c r="D177" s="3" t="s">
        <v>572</v>
      </c>
      <c r="E177" s="36">
        <v>1</v>
      </c>
      <c r="F177" s="37" t="s">
        <v>916</v>
      </c>
      <c r="G177" s="29">
        <v>0</v>
      </c>
      <c r="H177" s="11">
        <v>393.9</v>
      </c>
      <c r="I177" s="11">
        <v>393.9</v>
      </c>
    </row>
    <row r="178" spans="1:9" x14ac:dyDescent="0.25">
      <c r="A178" s="114"/>
      <c r="B178" s="6" t="s">
        <v>133</v>
      </c>
      <c r="C178" s="4" t="s">
        <v>330</v>
      </c>
      <c r="D178" s="4" t="s">
        <v>562</v>
      </c>
      <c r="E178" s="41">
        <v>1</v>
      </c>
      <c r="F178" s="38" t="s">
        <v>916</v>
      </c>
      <c r="G178" s="30">
        <v>0</v>
      </c>
      <c r="H178" s="12">
        <v>393.9</v>
      </c>
      <c r="I178" s="12">
        <v>393.9</v>
      </c>
    </row>
    <row r="179" spans="1:9" x14ac:dyDescent="0.25">
      <c r="A179" s="114"/>
      <c r="B179" s="6" t="s">
        <v>1088</v>
      </c>
      <c r="C179" s="4" t="s">
        <v>329</v>
      </c>
      <c r="D179" s="4" t="s">
        <v>1091</v>
      </c>
      <c r="E179" s="41">
        <v>1</v>
      </c>
      <c r="F179" s="38" t="s">
        <v>916</v>
      </c>
      <c r="G179" s="30">
        <v>0</v>
      </c>
      <c r="H179" s="12">
        <v>393.9</v>
      </c>
      <c r="I179" s="12">
        <v>393.9</v>
      </c>
    </row>
    <row r="180" spans="1:9" x14ac:dyDescent="0.25">
      <c r="A180" s="113" t="s">
        <v>10</v>
      </c>
      <c r="B180" s="1" t="s">
        <v>174</v>
      </c>
      <c r="H180"/>
      <c r="I180"/>
    </row>
    <row r="181" spans="1:9" x14ac:dyDescent="0.25">
      <c r="A181" s="114"/>
      <c r="B181" s="5" t="s">
        <v>10</v>
      </c>
      <c r="C181" s="3" t="s">
        <v>331</v>
      </c>
      <c r="D181" s="3" t="s">
        <v>572</v>
      </c>
      <c r="E181" s="36">
        <v>1</v>
      </c>
      <c r="F181" s="37" t="s">
        <v>916</v>
      </c>
      <c r="G181" s="29">
        <v>0</v>
      </c>
      <c r="H181" s="11">
        <v>241.9</v>
      </c>
      <c r="I181" s="11">
        <v>241.9</v>
      </c>
    </row>
    <row r="182" spans="1:9" x14ac:dyDescent="0.25">
      <c r="A182" s="114"/>
      <c r="B182" s="6" t="s">
        <v>134</v>
      </c>
      <c r="C182" s="4" t="s">
        <v>333</v>
      </c>
      <c r="D182" s="4" t="s">
        <v>562</v>
      </c>
      <c r="E182" s="41">
        <v>1</v>
      </c>
      <c r="F182" s="38" t="s">
        <v>916</v>
      </c>
      <c r="G182" s="30">
        <v>0</v>
      </c>
      <c r="H182" s="12">
        <v>241.9</v>
      </c>
      <c r="I182" s="12">
        <v>241.9</v>
      </c>
    </row>
    <row r="183" spans="1:9" x14ac:dyDescent="0.25">
      <c r="A183" s="114"/>
      <c r="B183" s="6" t="s">
        <v>1087</v>
      </c>
      <c r="C183" s="4" t="s">
        <v>332</v>
      </c>
      <c r="D183" s="4" t="s">
        <v>1091</v>
      </c>
      <c r="E183" s="41" t="s">
        <v>546</v>
      </c>
      <c r="F183" s="38" t="s">
        <v>916</v>
      </c>
      <c r="G183" s="30">
        <v>0</v>
      </c>
      <c r="H183" s="12">
        <v>241.9</v>
      </c>
      <c r="I183" s="12">
        <v>241.9</v>
      </c>
    </row>
    <row r="184" spans="1:9" x14ac:dyDescent="0.25">
      <c r="A184" s="113" t="s">
        <v>16</v>
      </c>
      <c r="B184" s="1" t="s">
        <v>179</v>
      </c>
      <c r="H184"/>
      <c r="I184"/>
    </row>
    <row r="185" spans="1:9" x14ac:dyDescent="0.25">
      <c r="A185" s="114"/>
      <c r="B185" s="5" t="s">
        <v>16</v>
      </c>
      <c r="C185" s="3" t="s">
        <v>339</v>
      </c>
      <c r="D185" s="3" t="s">
        <v>546</v>
      </c>
      <c r="E185" s="36">
        <v>1</v>
      </c>
      <c r="F185" s="37" t="s">
        <v>916</v>
      </c>
      <c r="G185" s="29">
        <v>0</v>
      </c>
      <c r="H185" s="11">
        <v>120.89999999999999</v>
      </c>
      <c r="I185" s="11">
        <v>120.89999999999999</v>
      </c>
    </row>
    <row r="186" spans="1:9" x14ac:dyDescent="0.25">
      <c r="A186" s="113" t="s">
        <v>17</v>
      </c>
      <c r="B186" s="1" t="s">
        <v>180</v>
      </c>
      <c r="H186"/>
      <c r="I186"/>
    </row>
    <row r="187" spans="1:9" x14ac:dyDescent="0.25">
      <c r="A187" s="114"/>
      <c r="B187" s="5" t="s">
        <v>17</v>
      </c>
      <c r="C187" s="3" t="s">
        <v>340</v>
      </c>
      <c r="D187" s="3" t="s">
        <v>546</v>
      </c>
      <c r="E187" s="36">
        <v>1</v>
      </c>
      <c r="F187" s="37" t="s">
        <v>916</v>
      </c>
      <c r="G187" s="29">
        <v>0</v>
      </c>
      <c r="H187" s="11">
        <v>201.9</v>
      </c>
      <c r="I187" s="11">
        <v>201.9</v>
      </c>
    </row>
    <row r="188" spans="1:9" x14ac:dyDescent="0.25">
      <c r="A188" s="113" t="s">
        <v>18</v>
      </c>
      <c r="B188" s="1" t="s">
        <v>181</v>
      </c>
      <c r="H188"/>
      <c r="I188"/>
    </row>
    <row r="189" spans="1:9" x14ac:dyDescent="0.25">
      <c r="A189" s="114"/>
      <c r="B189" s="5" t="s">
        <v>18</v>
      </c>
      <c r="C189" s="3" t="s">
        <v>341</v>
      </c>
      <c r="D189" s="3" t="s">
        <v>546</v>
      </c>
      <c r="E189" s="36">
        <v>1</v>
      </c>
      <c r="F189" s="37" t="s">
        <v>916</v>
      </c>
      <c r="G189" s="29">
        <v>0</v>
      </c>
      <c r="H189" s="11">
        <v>231.89999999999998</v>
      </c>
      <c r="I189" s="11">
        <v>231.89999999999998</v>
      </c>
    </row>
    <row r="190" spans="1:9" x14ac:dyDescent="0.25">
      <c r="A190" s="113" t="s">
        <v>19</v>
      </c>
      <c r="B190" s="1" t="s">
        <v>182</v>
      </c>
      <c r="H190"/>
      <c r="I190"/>
    </row>
    <row r="191" spans="1:9" x14ac:dyDescent="0.25">
      <c r="A191" s="114"/>
      <c r="B191" s="5" t="s">
        <v>19</v>
      </c>
      <c r="C191" s="3" t="s">
        <v>342</v>
      </c>
      <c r="D191" s="3" t="s">
        <v>546</v>
      </c>
      <c r="E191" s="36">
        <v>1</v>
      </c>
      <c r="F191" s="37" t="s">
        <v>916</v>
      </c>
      <c r="G191" s="29">
        <v>0</v>
      </c>
      <c r="H191" s="11">
        <v>272.90000000000003</v>
      </c>
      <c r="I191" s="11">
        <v>272.90000000000003</v>
      </c>
    </row>
    <row r="192" spans="1:9" x14ac:dyDescent="0.25">
      <c r="A192" s="113" t="s">
        <v>20</v>
      </c>
      <c r="B192" s="1" t="s">
        <v>183</v>
      </c>
      <c r="H192"/>
      <c r="I192"/>
    </row>
    <row r="193" spans="1:9" x14ac:dyDescent="0.25">
      <c r="A193" s="114"/>
      <c r="B193" s="5" t="s">
        <v>20</v>
      </c>
      <c r="C193" s="3" t="s">
        <v>343</v>
      </c>
      <c r="D193" s="3" t="s">
        <v>572</v>
      </c>
      <c r="E193" s="36">
        <v>1</v>
      </c>
      <c r="F193" s="37" t="s">
        <v>916</v>
      </c>
      <c r="G193" s="29">
        <v>0</v>
      </c>
      <c r="H193" s="11">
        <v>403.90000000000003</v>
      </c>
      <c r="I193" s="11">
        <v>403.90000000000003</v>
      </c>
    </row>
    <row r="194" spans="1:9" x14ac:dyDescent="0.25">
      <c r="A194" s="114"/>
      <c r="B194" s="6" t="s">
        <v>135</v>
      </c>
      <c r="C194" s="4" t="s">
        <v>345</v>
      </c>
      <c r="D194" s="4" t="s">
        <v>562</v>
      </c>
      <c r="E194" s="41">
        <v>1</v>
      </c>
      <c r="F194" s="38" t="s">
        <v>916</v>
      </c>
      <c r="G194" s="30">
        <v>0</v>
      </c>
      <c r="H194" s="12">
        <v>403.90000000000003</v>
      </c>
      <c r="I194" s="12">
        <v>403.90000000000003</v>
      </c>
    </row>
    <row r="195" spans="1:9" x14ac:dyDescent="0.25">
      <c r="A195" s="114"/>
      <c r="B195" s="6" t="s">
        <v>1086</v>
      </c>
      <c r="C195" s="4" t="s">
        <v>344</v>
      </c>
      <c r="D195" s="4" t="s">
        <v>1091</v>
      </c>
      <c r="E195" s="41" t="s">
        <v>546</v>
      </c>
      <c r="F195" s="38" t="s">
        <v>916</v>
      </c>
      <c r="G195" s="30">
        <v>0</v>
      </c>
      <c r="H195" s="12">
        <v>403.90000000000003</v>
      </c>
      <c r="I195" s="12">
        <v>403.90000000000003</v>
      </c>
    </row>
    <row r="196" spans="1:9" x14ac:dyDescent="0.25">
      <c r="A196" s="113" t="s">
        <v>34</v>
      </c>
      <c r="B196" s="1" t="s">
        <v>184</v>
      </c>
      <c r="H196"/>
      <c r="I196"/>
    </row>
    <row r="197" spans="1:9" x14ac:dyDescent="0.25">
      <c r="A197" s="114"/>
      <c r="B197" s="5" t="s">
        <v>34</v>
      </c>
      <c r="C197" s="3" t="s">
        <v>346</v>
      </c>
      <c r="D197" s="3" t="s">
        <v>572</v>
      </c>
      <c r="E197" s="36">
        <v>1</v>
      </c>
      <c r="F197" s="37" t="s">
        <v>916</v>
      </c>
      <c r="G197" s="29">
        <v>0</v>
      </c>
      <c r="H197" s="11">
        <v>31.5</v>
      </c>
      <c r="I197" s="11">
        <v>31.5</v>
      </c>
    </row>
    <row r="198" spans="1:9" x14ac:dyDescent="0.25">
      <c r="A198" s="113" t="s">
        <v>31</v>
      </c>
      <c r="B198" s="1" t="s">
        <v>185</v>
      </c>
      <c r="H198"/>
      <c r="I198"/>
    </row>
    <row r="199" spans="1:9" x14ac:dyDescent="0.25">
      <c r="A199" s="114"/>
      <c r="B199" s="5" t="s">
        <v>31</v>
      </c>
      <c r="C199" s="3" t="s">
        <v>347</v>
      </c>
      <c r="D199" s="3" t="s">
        <v>572</v>
      </c>
      <c r="E199" s="36">
        <v>1</v>
      </c>
      <c r="F199" s="37" t="s">
        <v>916</v>
      </c>
      <c r="G199" s="29">
        <v>0</v>
      </c>
      <c r="H199" s="11">
        <v>169.9</v>
      </c>
      <c r="I199" s="11">
        <v>169.9</v>
      </c>
    </row>
    <row r="200" spans="1:9" x14ac:dyDescent="0.25">
      <c r="A200" s="114"/>
      <c r="B200" s="6" t="s">
        <v>160</v>
      </c>
      <c r="C200" s="4" t="s">
        <v>348</v>
      </c>
      <c r="D200" s="4" t="s">
        <v>571</v>
      </c>
      <c r="E200" s="41">
        <v>1</v>
      </c>
      <c r="F200" s="38" t="s">
        <v>916</v>
      </c>
      <c r="G200" s="30">
        <v>0</v>
      </c>
      <c r="H200" s="12">
        <v>169.9</v>
      </c>
      <c r="I200" s="12">
        <v>169.9</v>
      </c>
    </row>
    <row r="201" spans="1:9" x14ac:dyDescent="0.25">
      <c r="A201" s="114"/>
      <c r="B201" s="6" t="s">
        <v>136</v>
      </c>
      <c r="C201" s="4" t="s">
        <v>580</v>
      </c>
      <c r="D201" s="4" t="s">
        <v>562</v>
      </c>
      <c r="E201" s="41">
        <v>1</v>
      </c>
      <c r="F201" s="38" t="s">
        <v>916</v>
      </c>
      <c r="G201" s="30">
        <v>0</v>
      </c>
      <c r="H201" s="12">
        <v>169.9</v>
      </c>
      <c r="I201" s="12">
        <v>169.9</v>
      </c>
    </row>
    <row r="202" spans="1:9" x14ac:dyDescent="0.25">
      <c r="A202" s="114"/>
      <c r="B202" s="6" t="s">
        <v>578</v>
      </c>
      <c r="C202" s="4" t="s">
        <v>579</v>
      </c>
      <c r="D202" s="4" t="s">
        <v>575</v>
      </c>
      <c r="E202" s="41" t="s">
        <v>546</v>
      </c>
      <c r="F202" s="38" t="s">
        <v>916</v>
      </c>
      <c r="G202" s="30">
        <v>0</v>
      </c>
      <c r="H202" s="12">
        <v>169.9</v>
      </c>
      <c r="I202" s="12">
        <v>169.9</v>
      </c>
    </row>
    <row r="203" spans="1:9" x14ac:dyDescent="0.25">
      <c r="A203" s="114"/>
      <c r="B203" s="6" t="s">
        <v>1092</v>
      </c>
      <c r="C203" s="4" t="s">
        <v>349</v>
      </c>
      <c r="D203" s="4" t="s">
        <v>1091</v>
      </c>
      <c r="E203" s="41">
        <v>1</v>
      </c>
      <c r="F203" s="38" t="s">
        <v>916</v>
      </c>
      <c r="G203" s="30">
        <v>0</v>
      </c>
      <c r="H203" s="12">
        <v>169.9</v>
      </c>
      <c r="I203" s="12">
        <v>169.9</v>
      </c>
    </row>
    <row r="204" spans="1:9" x14ac:dyDescent="0.25">
      <c r="A204" s="113" t="s">
        <v>35</v>
      </c>
      <c r="B204" s="1" t="s">
        <v>186</v>
      </c>
      <c r="H204"/>
      <c r="I204"/>
    </row>
    <row r="205" spans="1:9" x14ac:dyDescent="0.25">
      <c r="A205" s="114"/>
      <c r="B205" s="5" t="s">
        <v>35</v>
      </c>
      <c r="C205" s="3" t="s">
        <v>350</v>
      </c>
      <c r="D205" s="3" t="s">
        <v>572</v>
      </c>
      <c r="E205" s="36">
        <v>1</v>
      </c>
      <c r="F205" s="37" t="s">
        <v>916</v>
      </c>
      <c r="G205" s="29">
        <v>0</v>
      </c>
      <c r="H205" s="11">
        <v>104.89999999999999</v>
      </c>
      <c r="I205" s="11">
        <v>104.89999999999999</v>
      </c>
    </row>
    <row r="206" spans="1:9" x14ac:dyDescent="0.25">
      <c r="A206" s="114"/>
      <c r="B206" s="6" t="s">
        <v>139</v>
      </c>
      <c r="C206" s="4" t="s">
        <v>351</v>
      </c>
      <c r="D206" s="4" t="s">
        <v>571</v>
      </c>
      <c r="E206" s="41">
        <v>1</v>
      </c>
      <c r="F206" s="38" t="s">
        <v>916</v>
      </c>
      <c r="G206" s="30">
        <v>0</v>
      </c>
      <c r="H206" s="12">
        <v>104.89999999999999</v>
      </c>
      <c r="I206" s="12">
        <v>104.89999999999999</v>
      </c>
    </row>
    <row r="207" spans="1:9" x14ac:dyDescent="0.25">
      <c r="A207" s="114"/>
      <c r="B207" s="6" t="s">
        <v>137</v>
      </c>
      <c r="C207" s="4" t="s">
        <v>583</v>
      </c>
      <c r="D207" s="4" t="s">
        <v>562</v>
      </c>
      <c r="E207" s="41">
        <v>1</v>
      </c>
      <c r="F207" s="38" t="s">
        <v>916</v>
      </c>
      <c r="G207" s="30">
        <v>0</v>
      </c>
      <c r="H207" s="12">
        <v>104.89999999999999</v>
      </c>
      <c r="I207" s="12">
        <v>104.89999999999999</v>
      </c>
    </row>
    <row r="208" spans="1:9" x14ac:dyDescent="0.25">
      <c r="A208" s="114"/>
      <c r="B208" s="6" t="s">
        <v>581</v>
      </c>
      <c r="C208" s="4" t="s">
        <v>582</v>
      </c>
      <c r="D208" s="4" t="s">
        <v>575</v>
      </c>
      <c r="E208" s="41" t="s">
        <v>546</v>
      </c>
      <c r="F208" s="38" t="s">
        <v>916</v>
      </c>
      <c r="G208" s="30">
        <v>0</v>
      </c>
      <c r="H208" s="12">
        <v>104.89999999999999</v>
      </c>
      <c r="I208" s="12">
        <v>104.89999999999999</v>
      </c>
    </row>
    <row r="209" spans="1:9" x14ac:dyDescent="0.25">
      <c r="A209" s="114"/>
      <c r="B209" s="6" t="s">
        <v>1093</v>
      </c>
      <c r="C209" s="4" t="s">
        <v>352</v>
      </c>
      <c r="D209" s="4" t="s">
        <v>1091</v>
      </c>
      <c r="E209" s="41">
        <v>1</v>
      </c>
      <c r="F209" s="38" t="s">
        <v>916</v>
      </c>
      <c r="G209" s="30">
        <v>0</v>
      </c>
      <c r="H209" s="12">
        <v>104.89999999999999</v>
      </c>
      <c r="I209" s="12">
        <v>104.89999999999999</v>
      </c>
    </row>
    <row r="210" spans="1:9" x14ac:dyDescent="0.25">
      <c r="A210" s="113" t="s">
        <v>36</v>
      </c>
      <c r="B210" s="1" t="s">
        <v>187</v>
      </c>
      <c r="H210"/>
      <c r="I210"/>
    </row>
    <row r="211" spans="1:9" x14ac:dyDescent="0.25">
      <c r="A211" s="114"/>
      <c r="B211" s="5" t="s">
        <v>36</v>
      </c>
      <c r="C211" s="3" t="s">
        <v>353</v>
      </c>
      <c r="D211" s="3" t="s">
        <v>546</v>
      </c>
      <c r="E211" s="36">
        <v>1</v>
      </c>
      <c r="F211" s="37" t="s">
        <v>916</v>
      </c>
      <c r="G211" s="29">
        <v>0</v>
      </c>
      <c r="H211" s="11">
        <v>92.899999999999991</v>
      </c>
      <c r="I211" s="11">
        <v>92.899999999999991</v>
      </c>
    </row>
    <row r="212" spans="1:9" x14ac:dyDescent="0.25">
      <c r="A212" s="114"/>
      <c r="B212" s="6" t="s">
        <v>138</v>
      </c>
      <c r="C212" s="4" t="s">
        <v>584</v>
      </c>
      <c r="D212" s="4" t="s">
        <v>562</v>
      </c>
      <c r="E212" s="41">
        <v>1</v>
      </c>
      <c r="F212" s="38" t="s">
        <v>916</v>
      </c>
      <c r="G212" s="30">
        <v>0</v>
      </c>
      <c r="H212" s="12">
        <v>92.899999999999991</v>
      </c>
      <c r="I212" s="12">
        <v>92.899999999999991</v>
      </c>
    </row>
    <row r="213" spans="1:9" x14ac:dyDescent="0.25">
      <c r="A213" s="113" t="s">
        <v>50</v>
      </c>
      <c r="B213" s="1" t="s">
        <v>189</v>
      </c>
      <c r="H213"/>
      <c r="I213"/>
    </row>
    <row r="214" spans="1:9" x14ac:dyDescent="0.25">
      <c r="A214" s="114"/>
      <c r="B214" s="5" t="s">
        <v>50</v>
      </c>
      <c r="C214" s="3" t="s">
        <v>355</v>
      </c>
      <c r="D214" s="3" t="s">
        <v>546</v>
      </c>
      <c r="E214" s="36">
        <v>1</v>
      </c>
      <c r="F214" s="37" t="s">
        <v>916</v>
      </c>
      <c r="G214" s="29">
        <v>0</v>
      </c>
      <c r="H214" s="11">
        <v>70.899999999999991</v>
      </c>
      <c r="I214" s="11">
        <v>70.899999999999991</v>
      </c>
    </row>
    <row r="215" spans="1:9" x14ac:dyDescent="0.25">
      <c r="A215" s="113" t="s">
        <v>1244</v>
      </c>
      <c r="B215" s="1" t="s">
        <v>1342</v>
      </c>
      <c r="H215"/>
      <c r="I215"/>
    </row>
    <row r="216" spans="1:9" x14ac:dyDescent="0.25">
      <c r="A216" s="114"/>
      <c r="B216" s="5" t="s">
        <v>1244</v>
      </c>
      <c r="C216" s="3" t="s">
        <v>1270</v>
      </c>
      <c r="D216" s="3" t="s">
        <v>546</v>
      </c>
      <c r="E216" s="36">
        <v>1</v>
      </c>
      <c r="F216" s="37" t="s">
        <v>916</v>
      </c>
      <c r="G216" s="29">
        <v>0</v>
      </c>
      <c r="H216" s="11">
        <v>74.900000000000006</v>
      </c>
      <c r="I216" s="11">
        <v>74.900000000000006</v>
      </c>
    </row>
    <row r="217" spans="1:9" x14ac:dyDescent="0.25">
      <c r="A217" s="113" t="s">
        <v>1426</v>
      </c>
      <c r="B217" s="1" t="s">
        <v>1427</v>
      </c>
      <c r="H217"/>
      <c r="I217"/>
    </row>
    <row r="218" spans="1:9" x14ac:dyDescent="0.25">
      <c r="A218" s="114"/>
      <c r="B218" s="5" t="s">
        <v>1426</v>
      </c>
      <c r="C218" s="3" t="s">
        <v>1428</v>
      </c>
      <c r="D218" s="3" t="s">
        <v>546</v>
      </c>
      <c r="E218" s="36" t="s">
        <v>546</v>
      </c>
      <c r="F218" s="37" t="s">
        <v>916</v>
      </c>
      <c r="G218" s="29">
        <v>0</v>
      </c>
      <c r="H218" s="11">
        <v>51.9</v>
      </c>
      <c r="I218" s="11">
        <v>51.9</v>
      </c>
    </row>
    <row r="219" spans="1:9" x14ac:dyDescent="0.25">
      <c r="A219" s="113" t="s">
        <v>1651</v>
      </c>
      <c r="B219" s="1" t="s">
        <v>1652</v>
      </c>
      <c r="H219"/>
      <c r="I219"/>
    </row>
    <row r="220" spans="1:9" x14ac:dyDescent="0.25">
      <c r="A220" s="114"/>
      <c r="B220" s="5" t="s">
        <v>1651</v>
      </c>
      <c r="C220" s="3" t="s">
        <v>1653</v>
      </c>
      <c r="D220" s="3" t="s">
        <v>546</v>
      </c>
      <c r="E220" s="36" t="s">
        <v>546</v>
      </c>
      <c r="F220" s="37" t="s">
        <v>916</v>
      </c>
      <c r="G220" s="29">
        <v>0</v>
      </c>
      <c r="H220" s="11">
        <v>35.9</v>
      </c>
      <c r="I220" s="11">
        <v>35.9</v>
      </c>
    </row>
    <row r="221" spans="1:9" x14ac:dyDescent="0.25">
      <c r="A221" s="10" t="s">
        <v>734</v>
      </c>
      <c r="B221" s="7"/>
      <c r="C221" s="7"/>
      <c r="D221" s="7"/>
      <c r="E221" s="7"/>
      <c r="F221" s="7"/>
      <c r="G221" s="7"/>
      <c r="H221" s="7"/>
      <c r="I221" s="7"/>
    </row>
    <row r="222" spans="1:9" x14ac:dyDescent="0.25">
      <c r="A222" s="113" t="s">
        <v>44</v>
      </c>
      <c r="B222" s="1" t="s">
        <v>233</v>
      </c>
      <c r="H222"/>
      <c r="I222"/>
    </row>
    <row r="223" spans="1:9" x14ac:dyDescent="0.25">
      <c r="A223" s="114"/>
      <c r="B223" s="5" t="s">
        <v>44</v>
      </c>
      <c r="C223" s="3" t="s">
        <v>369</v>
      </c>
      <c r="D223" s="3" t="s">
        <v>572</v>
      </c>
      <c r="E223" s="36">
        <v>4</v>
      </c>
      <c r="F223" s="37" t="s">
        <v>918</v>
      </c>
      <c r="G223" s="29">
        <v>0</v>
      </c>
      <c r="H223" s="11">
        <v>164.9</v>
      </c>
      <c r="I223" s="11">
        <v>164.9</v>
      </c>
    </row>
    <row r="224" spans="1:9" x14ac:dyDescent="0.25">
      <c r="A224" s="114"/>
      <c r="B224" s="6" t="s">
        <v>1751</v>
      </c>
      <c r="C224" s="4" t="s">
        <v>735</v>
      </c>
      <c r="D224" s="4" t="s">
        <v>903</v>
      </c>
      <c r="E224" s="41">
        <v>4</v>
      </c>
      <c r="F224" s="38" t="s">
        <v>918</v>
      </c>
      <c r="G224" s="30">
        <v>0</v>
      </c>
      <c r="H224" s="12">
        <v>164.9</v>
      </c>
      <c r="I224" s="12">
        <v>164.9</v>
      </c>
    </row>
    <row r="225" spans="1:9" x14ac:dyDescent="0.25">
      <c r="A225" s="117" t="s">
        <v>546</v>
      </c>
      <c r="B225" s="117"/>
      <c r="C225" s="117"/>
      <c r="D225" s="117"/>
      <c r="E225" s="117"/>
      <c r="F225" s="117"/>
      <c r="G225" s="117"/>
      <c r="H225" s="117"/>
      <c r="I225" s="117"/>
    </row>
    <row r="226" spans="1:9" x14ac:dyDescent="0.25">
      <c r="A226" s="113" t="s">
        <v>1838</v>
      </c>
      <c r="B226" s="1" t="s">
        <v>1208</v>
      </c>
      <c r="H226"/>
      <c r="I226"/>
    </row>
    <row r="227" spans="1:9" x14ac:dyDescent="0.25">
      <c r="A227" s="114"/>
      <c r="B227" s="5" t="s">
        <v>1838</v>
      </c>
      <c r="C227" s="3" t="s">
        <v>1839</v>
      </c>
      <c r="D227" s="3" t="s">
        <v>546</v>
      </c>
      <c r="E227" s="36" t="s">
        <v>546</v>
      </c>
      <c r="F227" s="37" t="s">
        <v>916</v>
      </c>
      <c r="G227" s="29">
        <v>0</v>
      </c>
      <c r="H227" s="11">
        <v>89.9</v>
      </c>
      <c r="I227" s="11">
        <v>89.9</v>
      </c>
    </row>
    <row r="228" spans="1:9" x14ac:dyDescent="0.25">
      <c r="A228" s="10" t="s">
        <v>1205</v>
      </c>
      <c r="B228" s="7"/>
      <c r="C228" s="7"/>
      <c r="D228" s="7"/>
      <c r="E228" s="7"/>
      <c r="F228" s="7"/>
      <c r="G228" s="7"/>
      <c r="H228" s="7"/>
      <c r="I228" s="7"/>
    </row>
    <row r="229" spans="1:9" x14ac:dyDescent="0.25">
      <c r="A229" s="113" t="s">
        <v>1677</v>
      </c>
      <c r="B229" s="1" t="s">
        <v>1678</v>
      </c>
      <c r="H229"/>
      <c r="I229"/>
    </row>
    <row r="230" spans="1:9" x14ac:dyDescent="0.25">
      <c r="A230" s="114"/>
      <c r="B230" s="5" t="s">
        <v>1677</v>
      </c>
      <c r="C230" s="3" t="s">
        <v>1679</v>
      </c>
      <c r="D230" s="3" t="s">
        <v>1382</v>
      </c>
      <c r="E230" s="36" t="s">
        <v>546</v>
      </c>
      <c r="F230" s="37" t="s">
        <v>924</v>
      </c>
      <c r="G230" s="29">
        <v>0</v>
      </c>
      <c r="H230" s="11">
        <v>419.9</v>
      </c>
      <c r="I230" s="11">
        <v>419.9</v>
      </c>
    </row>
    <row r="231" spans="1:9" x14ac:dyDescent="0.25">
      <c r="A231" s="114"/>
      <c r="B231" s="6" t="s">
        <v>1745</v>
      </c>
      <c r="C231" s="4" t="s">
        <v>1746</v>
      </c>
      <c r="D231" s="4" t="s">
        <v>903</v>
      </c>
      <c r="E231" s="41" t="s">
        <v>546</v>
      </c>
      <c r="F231" s="38" t="s">
        <v>924</v>
      </c>
      <c r="G231" s="30">
        <v>0</v>
      </c>
      <c r="H231" s="12">
        <v>419.9</v>
      </c>
      <c r="I231" s="12">
        <v>419.9</v>
      </c>
    </row>
    <row r="232" spans="1:9" x14ac:dyDescent="0.25">
      <c r="A232" s="114"/>
      <c r="B232" s="6" t="s">
        <v>1747</v>
      </c>
      <c r="C232" s="4" t="s">
        <v>1748</v>
      </c>
      <c r="D232" s="4" t="s">
        <v>570</v>
      </c>
      <c r="E232" s="41" t="s">
        <v>546</v>
      </c>
      <c r="F232" s="38" t="s">
        <v>924</v>
      </c>
      <c r="G232" s="30">
        <v>0</v>
      </c>
      <c r="H232" s="12">
        <v>419.9</v>
      </c>
      <c r="I232" s="12">
        <v>419.9</v>
      </c>
    </row>
    <row r="233" spans="1:9" x14ac:dyDescent="0.25">
      <c r="A233" s="113" t="s">
        <v>1683</v>
      </c>
      <c r="B233" s="1" t="s">
        <v>1686</v>
      </c>
      <c r="H233"/>
      <c r="I233"/>
    </row>
    <row r="234" spans="1:9" x14ac:dyDescent="0.25">
      <c r="A234" s="114"/>
      <c r="B234" s="5" t="s">
        <v>1683</v>
      </c>
      <c r="C234" s="3" t="s">
        <v>1690</v>
      </c>
      <c r="D234" s="3" t="s">
        <v>1382</v>
      </c>
      <c r="E234" s="36" t="s">
        <v>546</v>
      </c>
      <c r="F234" s="37" t="s">
        <v>1689</v>
      </c>
      <c r="G234" s="29" t="s">
        <v>546</v>
      </c>
      <c r="H234" s="11" t="s">
        <v>1693</v>
      </c>
      <c r="I234" s="11" t="s">
        <v>1693</v>
      </c>
    </row>
    <row r="235" spans="1:9" x14ac:dyDescent="0.25">
      <c r="A235" s="114"/>
      <c r="B235" s="6" t="s">
        <v>1739</v>
      </c>
      <c r="C235" s="4" t="s">
        <v>1742</v>
      </c>
      <c r="D235" s="4" t="s">
        <v>903</v>
      </c>
      <c r="E235" s="41" t="s">
        <v>546</v>
      </c>
      <c r="F235" s="38" t="s">
        <v>1689</v>
      </c>
      <c r="G235" s="30" t="s">
        <v>546</v>
      </c>
      <c r="H235" s="12" t="s">
        <v>1693</v>
      </c>
      <c r="I235" s="12" t="s">
        <v>1693</v>
      </c>
    </row>
    <row r="236" spans="1:9" x14ac:dyDescent="0.25">
      <c r="A236" s="113" t="s">
        <v>1684</v>
      </c>
      <c r="B236" s="1" t="s">
        <v>1687</v>
      </c>
      <c r="H236"/>
      <c r="I236"/>
    </row>
    <row r="237" spans="1:9" x14ac:dyDescent="0.25">
      <c r="A237" s="114"/>
      <c r="B237" s="5" t="s">
        <v>1684</v>
      </c>
      <c r="C237" s="3" t="s">
        <v>1691</v>
      </c>
      <c r="D237" s="3" t="s">
        <v>1382</v>
      </c>
      <c r="E237" s="36" t="s">
        <v>546</v>
      </c>
      <c r="F237" s="37" t="s">
        <v>1689</v>
      </c>
      <c r="G237" s="29" t="s">
        <v>546</v>
      </c>
      <c r="H237" s="11" t="s">
        <v>1693</v>
      </c>
      <c r="I237" s="11" t="s">
        <v>1693</v>
      </c>
    </row>
    <row r="238" spans="1:9" x14ac:dyDescent="0.25">
      <c r="A238" s="114"/>
      <c r="B238" s="6" t="s">
        <v>1740</v>
      </c>
      <c r="C238" s="4" t="s">
        <v>1743</v>
      </c>
      <c r="D238" s="4" t="s">
        <v>903</v>
      </c>
      <c r="E238" s="41" t="s">
        <v>546</v>
      </c>
      <c r="F238" s="38" t="s">
        <v>1689</v>
      </c>
      <c r="G238" s="30" t="s">
        <v>546</v>
      </c>
      <c r="H238" s="12" t="s">
        <v>1693</v>
      </c>
      <c r="I238" s="12" t="s">
        <v>1693</v>
      </c>
    </row>
    <row r="239" spans="1:9" x14ac:dyDescent="0.25">
      <c r="A239" s="113" t="s">
        <v>1685</v>
      </c>
      <c r="B239" s="1" t="s">
        <v>1688</v>
      </c>
      <c r="H239"/>
      <c r="I239"/>
    </row>
    <row r="240" spans="1:9" x14ac:dyDescent="0.25">
      <c r="A240" s="114"/>
      <c r="B240" s="5" t="s">
        <v>1685</v>
      </c>
      <c r="C240" s="3" t="s">
        <v>1692</v>
      </c>
      <c r="D240" s="3" t="s">
        <v>1382</v>
      </c>
      <c r="E240" s="36" t="s">
        <v>546</v>
      </c>
      <c r="F240" s="37" t="s">
        <v>1689</v>
      </c>
      <c r="G240" s="29" t="s">
        <v>546</v>
      </c>
      <c r="H240" s="11" t="s">
        <v>1693</v>
      </c>
      <c r="I240" s="11" t="s">
        <v>1693</v>
      </c>
    </row>
    <row r="241" spans="1:9" x14ac:dyDescent="0.25">
      <c r="A241" s="114"/>
      <c r="B241" s="6" t="s">
        <v>1741</v>
      </c>
      <c r="C241" s="4" t="s">
        <v>1744</v>
      </c>
      <c r="D241" s="4" t="s">
        <v>903</v>
      </c>
      <c r="E241" s="41" t="s">
        <v>546</v>
      </c>
      <c r="F241" s="38" t="s">
        <v>1689</v>
      </c>
      <c r="G241" s="30" t="s">
        <v>546</v>
      </c>
      <c r="H241" s="12" t="s">
        <v>1693</v>
      </c>
      <c r="I241" s="12" t="s">
        <v>1693</v>
      </c>
    </row>
    <row r="242" spans="1:9" x14ac:dyDescent="0.25">
      <c r="A242" s="115" t="s">
        <v>1011</v>
      </c>
      <c r="B242" s="116"/>
      <c r="C242" s="116"/>
      <c r="D242" s="116"/>
      <c r="E242" s="116"/>
      <c r="F242" s="116"/>
      <c r="G242" s="116"/>
      <c r="H242" s="116"/>
      <c r="I242" s="116"/>
    </row>
    <row r="243" spans="1:9" x14ac:dyDescent="0.25">
      <c r="A243" s="10" t="s">
        <v>482</v>
      </c>
      <c r="B243" s="7"/>
      <c r="C243" s="7"/>
      <c r="D243" s="7"/>
      <c r="E243" s="7"/>
      <c r="F243" s="7"/>
      <c r="G243" s="7"/>
      <c r="H243" s="7"/>
      <c r="I243" s="7"/>
    </row>
    <row r="244" spans="1:9" x14ac:dyDescent="0.25">
      <c r="A244" s="113" t="s">
        <v>986</v>
      </c>
      <c r="B244" s="1" t="s">
        <v>1016</v>
      </c>
      <c r="H244"/>
      <c r="I244"/>
    </row>
    <row r="245" spans="1:9" x14ac:dyDescent="0.25">
      <c r="A245" s="114"/>
      <c r="B245" s="5" t="s">
        <v>986</v>
      </c>
      <c r="C245" s="3" t="s">
        <v>1017</v>
      </c>
      <c r="D245" s="3" t="s">
        <v>546</v>
      </c>
      <c r="E245" s="36">
        <v>6</v>
      </c>
      <c r="F245" s="37" t="s">
        <v>919</v>
      </c>
      <c r="G245" s="29">
        <v>0</v>
      </c>
      <c r="H245" s="11">
        <v>99.9</v>
      </c>
      <c r="I245" s="11">
        <v>99.9</v>
      </c>
    </row>
    <row r="246" spans="1:9" x14ac:dyDescent="0.25">
      <c r="A246" s="113" t="s">
        <v>987</v>
      </c>
      <c r="B246" s="1" t="s">
        <v>1018</v>
      </c>
      <c r="H246"/>
      <c r="I246"/>
    </row>
    <row r="247" spans="1:9" x14ac:dyDescent="0.25">
      <c r="A247" s="114"/>
      <c r="B247" s="5" t="s">
        <v>987</v>
      </c>
      <c r="C247" s="3" t="s">
        <v>1019</v>
      </c>
      <c r="D247" s="3" t="s">
        <v>546</v>
      </c>
      <c r="E247" s="36">
        <v>4</v>
      </c>
      <c r="F247" s="37" t="s">
        <v>919</v>
      </c>
      <c r="G247" s="29">
        <v>0</v>
      </c>
      <c r="H247" s="11">
        <v>189.9</v>
      </c>
      <c r="I247" s="11">
        <v>189.9</v>
      </c>
    </row>
    <row r="248" spans="1:9" x14ac:dyDescent="0.25">
      <c r="A248" s="113" t="s">
        <v>988</v>
      </c>
      <c r="B248" s="1" t="s">
        <v>1020</v>
      </c>
      <c r="H248"/>
      <c r="I248"/>
    </row>
    <row r="249" spans="1:9" x14ac:dyDescent="0.25">
      <c r="A249" s="114"/>
      <c r="B249" s="5" t="s">
        <v>988</v>
      </c>
      <c r="C249" s="3" t="s">
        <v>1021</v>
      </c>
      <c r="D249" s="3" t="s">
        <v>546</v>
      </c>
      <c r="E249" s="36">
        <v>3</v>
      </c>
      <c r="F249" s="37" t="s">
        <v>919</v>
      </c>
      <c r="G249" s="29">
        <v>0</v>
      </c>
      <c r="H249" s="11">
        <v>299.89999999999998</v>
      </c>
      <c r="I249" s="11">
        <v>299.89999999999998</v>
      </c>
    </row>
    <row r="250" spans="1:9" x14ac:dyDescent="0.25">
      <c r="A250" s="10" t="s">
        <v>899</v>
      </c>
      <c r="B250" s="7"/>
      <c r="C250" s="7"/>
      <c r="D250" s="7"/>
      <c r="E250" s="7"/>
      <c r="F250" s="7"/>
      <c r="G250" s="7"/>
      <c r="H250" s="7"/>
      <c r="I250" s="7"/>
    </row>
    <row r="251" spans="1:9" x14ac:dyDescent="0.25">
      <c r="A251" s="113" t="s">
        <v>990</v>
      </c>
      <c r="B251" s="1" t="s">
        <v>1024</v>
      </c>
      <c r="H251"/>
      <c r="I251"/>
    </row>
    <row r="252" spans="1:9" x14ac:dyDescent="0.25">
      <c r="A252" s="114"/>
      <c r="B252" s="5" t="s">
        <v>990</v>
      </c>
      <c r="C252" s="3" t="s">
        <v>1025</v>
      </c>
      <c r="D252" s="3" t="s">
        <v>546</v>
      </c>
      <c r="E252" s="36">
        <v>3</v>
      </c>
      <c r="F252" s="37" t="s">
        <v>919</v>
      </c>
      <c r="G252" s="29">
        <v>0</v>
      </c>
      <c r="H252" s="11">
        <v>304.89999999999998</v>
      </c>
      <c r="I252" s="11">
        <v>304.89999999999998</v>
      </c>
    </row>
    <row r="253" spans="1:9" x14ac:dyDescent="0.25">
      <c r="A253" s="113" t="s">
        <v>989</v>
      </c>
      <c r="B253" s="1" t="s">
        <v>1022</v>
      </c>
      <c r="H253"/>
      <c r="I253"/>
    </row>
    <row r="254" spans="1:9" x14ac:dyDescent="0.25">
      <c r="A254" s="114"/>
      <c r="B254" s="5" t="s">
        <v>989</v>
      </c>
      <c r="C254" s="3" t="s">
        <v>1023</v>
      </c>
      <c r="D254" s="3" t="s">
        <v>546</v>
      </c>
      <c r="E254" s="36">
        <v>4</v>
      </c>
      <c r="F254" s="37" t="s">
        <v>919</v>
      </c>
      <c r="G254" s="29">
        <v>0</v>
      </c>
      <c r="H254" s="11">
        <v>179.9</v>
      </c>
      <c r="I254" s="11">
        <v>179.9</v>
      </c>
    </row>
    <row r="255" spans="1:9" x14ac:dyDescent="0.25">
      <c r="A255" s="10" t="s">
        <v>1013</v>
      </c>
      <c r="B255" s="7"/>
      <c r="C255" s="7"/>
      <c r="D255" s="7"/>
      <c r="E255" s="7"/>
      <c r="F255" s="7"/>
      <c r="G255" s="7"/>
      <c r="H255" s="7"/>
      <c r="I255" s="7"/>
    </row>
    <row r="256" spans="1:9" x14ac:dyDescent="0.25">
      <c r="A256" s="113" t="s">
        <v>991</v>
      </c>
      <c r="B256" s="1" t="s">
        <v>1026</v>
      </c>
      <c r="H256"/>
      <c r="I256"/>
    </row>
    <row r="257" spans="1:9" x14ac:dyDescent="0.25">
      <c r="A257" s="114"/>
      <c r="B257" s="5" t="s">
        <v>991</v>
      </c>
      <c r="C257" s="3" t="s">
        <v>1027</v>
      </c>
      <c r="D257" s="3" t="s">
        <v>546</v>
      </c>
      <c r="E257" s="36">
        <v>4</v>
      </c>
      <c r="F257" s="37" t="s">
        <v>919</v>
      </c>
      <c r="G257" s="29">
        <v>0</v>
      </c>
      <c r="H257" s="11">
        <v>134.9</v>
      </c>
      <c r="I257" s="11">
        <v>134.9</v>
      </c>
    </row>
    <row r="258" spans="1:9" x14ac:dyDescent="0.25">
      <c r="A258" s="113" t="s">
        <v>992</v>
      </c>
      <c r="B258" s="1" t="s">
        <v>1028</v>
      </c>
      <c r="H258"/>
      <c r="I258"/>
    </row>
    <row r="259" spans="1:9" x14ac:dyDescent="0.25">
      <c r="A259" s="114"/>
      <c r="B259" s="5" t="s">
        <v>992</v>
      </c>
      <c r="C259" s="3" t="s">
        <v>1029</v>
      </c>
      <c r="D259" s="3" t="s">
        <v>546</v>
      </c>
      <c r="E259" s="36">
        <v>12</v>
      </c>
      <c r="F259" s="37" t="s">
        <v>919</v>
      </c>
      <c r="G259" s="29">
        <v>0</v>
      </c>
      <c r="H259" s="11">
        <v>84.9</v>
      </c>
      <c r="I259" s="11">
        <v>84.9</v>
      </c>
    </row>
    <row r="260" spans="1:9" x14ac:dyDescent="0.25">
      <c r="A260" s="10" t="s">
        <v>1014</v>
      </c>
      <c r="B260" s="7"/>
      <c r="C260" s="7"/>
      <c r="D260" s="7"/>
      <c r="E260" s="7"/>
      <c r="F260" s="7"/>
      <c r="G260" s="7"/>
      <c r="H260" s="7"/>
      <c r="I260" s="7"/>
    </row>
    <row r="261" spans="1:9" x14ac:dyDescent="0.25">
      <c r="A261" s="113" t="s">
        <v>1694</v>
      </c>
      <c r="B261" s="1" t="s">
        <v>1695</v>
      </c>
      <c r="H261"/>
      <c r="I261"/>
    </row>
    <row r="262" spans="1:9" x14ac:dyDescent="0.25">
      <c r="A262" s="114"/>
      <c r="B262" s="5" t="s">
        <v>1694</v>
      </c>
      <c r="C262" s="3" t="s">
        <v>1696</v>
      </c>
      <c r="D262" s="3" t="s">
        <v>546</v>
      </c>
      <c r="E262" s="36" t="s">
        <v>546</v>
      </c>
      <c r="F262" s="37" t="s">
        <v>919</v>
      </c>
      <c r="G262" s="29">
        <v>0</v>
      </c>
      <c r="H262" s="11">
        <v>269.89999999999998</v>
      </c>
      <c r="I262" s="11">
        <v>269.89999999999998</v>
      </c>
    </row>
    <row r="263" spans="1:9" x14ac:dyDescent="0.25">
      <c r="A263" s="10" t="s">
        <v>1012</v>
      </c>
      <c r="B263" s="7"/>
      <c r="C263" s="7"/>
      <c r="D263" s="7"/>
      <c r="E263" s="7"/>
      <c r="F263" s="7"/>
      <c r="G263" s="7"/>
      <c r="H263" s="7"/>
      <c r="I263" s="7"/>
    </row>
    <row r="264" spans="1:9" x14ac:dyDescent="0.25">
      <c r="A264" s="113" t="s">
        <v>995</v>
      </c>
      <c r="B264" s="1" t="s">
        <v>1034</v>
      </c>
      <c r="H264"/>
      <c r="I264"/>
    </row>
    <row r="265" spans="1:9" x14ac:dyDescent="0.25">
      <c r="A265" s="114"/>
      <c r="B265" s="5" t="s">
        <v>995</v>
      </c>
      <c r="C265" s="3" t="s">
        <v>1035</v>
      </c>
      <c r="D265" s="3" t="s">
        <v>546</v>
      </c>
      <c r="E265" s="36">
        <v>48</v>
      </c>
      <c r="F265" s="37" t="s">
        <v>919</v>
      </c>
      <c r="G265" s="29">
        <v>0</v>
      </c>
      <c r="H265" s="11">
        <v>9.9</v>
      </c>
      <c r="I265" s="11">
        <v>9.9</v>
      </c>
    </row>
    <row r="266" spans="1:9" x14ac:dyDescent="0.25">
      <c r="A266" s="113" t="s">
        <v>996</v>
      </c>
      <c r="B266" s="1" t="s">
        <v>1036</v>
      </c>
      <c r="H266"/>
      <c r="I266"/>
    </row>
    <row r="267" spans="1:9" x14ac:dyDescent="0.25">
      <c r="A267" s="114"/>
      <c r="B267" s="5" t="s">
        <v>996</v>
      </c>
      <c r="C267" s="3" t="s">
        <v>1037</v>
      </c>
      <c r="D267" s="3" t="s">
        <v>546</v>
      </c>
      <c r="E267" s="36">
        <v>48</v>
      </c>
      <c r="F267" s="37" t="s">
        <v>919</v>
      </c>
      <c r="G267" s="29">
        <v>0</v>
      </c>
      <c r="H267" s="11">
        <v>9.9</v>
      </c>
      <c r="I267" s="11">
        <v>9.9</v>
      </c>
    </row>
    <row r="268" spans="1:9" x14ac:dyDescent="0.25">
      <c r="A268" s="113" t="s">
        <v>997</v>
      </c>
      <c r="B268" s="1" t="s">
        <v>1038</v>
      </c>
      <c r="H268"/>
      <c r="I268"/>
    </row>
    <row r="269" spans="1:9" x14ac:dyDescent="0.25">
      <c r="A269" s="114"/>
      <c r="B269" s="5" t="s">
        <v>997</v>
      </c>
      <c r="C269" s="3" t="s">
        <v>1039</v>
      </c>
      <c r="D269" s="3" t="s">
        <v>546</v>
      </c>
      <c r="E269" s="36">
        <v>48</v>
      </c>
      <c r="F269" s="37" t="s">
        <v>919</v>
      </c>
      <c r="G269" s="29">
        <v>0</v>
      </c>
      <c r="H269" s="11">
        <v>9.9</v>
      </c>
      <c r="I269" s="11">
        <v>9.9</v>
      </c>
    </row>
    <row r="270" spans="1:9" x14ac:dyDescent="0.25">
      <c r="A270" s="113" t="s">
        <v>998</v>
      </c>
      <c r="B270" s="1" t="s">
        <v>1040</v>
      </c>
      <c r="H270"/>
      <c r="I270"/>
    </row>
    <row r="271" spans="1:9" x14ac:dyDescent="0.25">
      <c r="A271" s="114"/>
      <c r="B271" s="5" t="s">
        <v>998</v>
      </c>
      <c r="C271" s="3" t="s">
        <v>1041</v>
      </c>
      <c r="D271" s="3" t="s">
        <v>546</v>
      </c>
      <c r="E271" s="36">
        <v>48</v>
      </c>
      <c r="F271" s="37" t="s">
        <v>919</v>
      </c>
      <c r="G271" s="29">
        <v>0</v>
      </c>
      <c r="H271" s="11">
        <v>9.9</v>
      </c>
      <c r="I271" s="11">
        <v>9.9</v>
      </c>
    </row>
    <row r="272" spans="1:9" x14ac:dyDescent="0.25">
      <c r="A272" s="113" t="s">
        <v>999</v>
      </c>
      <c r="B272" s="1" t="s">
        <v>1042</v>
      </c>
      <c r="H272"/>
      <c r="I272"/>
    </row>
    <row r="273" spans="1:9" x14ac:dyDescent="0.25">
      <c r="A273" s="114"/>
      <c r="B273" s="5" t="s">
        <v>999</v>
      </c>
      <c r="C273" s="3" t="s">
        <v>1043</v>
      </c>
      <c r="D273" s="3" t="s">
        <v>546</v>
      </c>
      <c r="E273" s="36">
        <v>48</v>
      </c>
      <c r="F273" s="37" t="s">
        <v>919</v>
      </c>
      <c r="G273" s="29">
        <v>0</v>
      </c>
      <c r="H273" s="11">
        <v>9.9</v>
      </c>
      <c r="I273" s="11">
        <v>9.9</v>
      </c>
    </row>
    <row r="274" spans="1:9" x14ac:dyDescent="0.25">
      <c r="A274" s="113" t="s">
        <v>1000</v>
      </c>
      <c r="B274" s="1" t="s">
        <v>1044</v>
      </c>
      <c r="H274"/>
      <c r="I274"/>
    </row>
    <row r="275" spans="1:9" x14ac:dyDescent="0.25">
      <c r="A275" s="114"/>
      <c r="B275" s="5" t="s">
        <v>1000</v>
      </c>
      <c r="C275" s="3" t="s">
        <v>1045</v>
      </c>
      <c r="D275" s="3" t="s">
        <v>546</v>
      </c>
      <c r="E275" s="36">
        <v>48</v>
      </c>
      <c r="F275" s="37" t="s">
        <v>919</v>
      </c>
      <c r="G275" s="29">
        <v>0</v>
      </c>
      <c r="H275" s="11">
        <v>9.9</v>
      </c>
      <c r="I275" s="11">
        <v>9.9</v>
      </c>
    </row>
    <row r="276" spans="1:9" x14ac:dyDescent="0.25">
      <c r="A276" s="113" t="s">
        <v>1001</v>
      </c>
      <c r="B276" s="1" t="s">
        <v>1046</v>
      </c>
      <c r="H276"/>
      <c r="I276"/>
    </row>
    <row r="277" spans="1:9" x14ac:dyDescent="0.25">
      <c r="A277" s="114"/>
      <c r="B277" s="5" t="s">
        <v>1001</v>
      </c>
      <c r="C277" s="3" t="s">
        <v>1047</v>
      </c>
      <c r="D277" s="3" t="s">
        <v>546</v>
      </c>
      <c r="E277" s="36">
        <v>48</v>
      </c>
      <c r="F277" s="37" t="s">
        <v>919</v>
      </c>
      <c r="G277" s="29">
        <v>0</v>
      </c>
      <c r="H277" s="11">
        <v>9.9</v>
      </c>
      <c r="I277" s="11">
        <v>9.9</v>
      </c>
    </row>
    <row r="278" spans="1:9" x14ac:dyDescent="0.25">
      <c r="A278" s="113" t="s">
        <v>1002</v>
      </c>
      <c r="B278" s="1" t="s">
        <v>1048</v>
      </c>
      <c r="H278"/>
      <c r="I278"/>
    </row>
    <row r="279" spans="1:9" x14ac:dyDescent="0.25">
      <c r="A279" s="114"/>
      <c r="B279" s="5" t="s">
        <v>1002</v>
      </c>
      <c r="C279" s="3" t="s">
        <v>1049</v>
      </c>
      <c r="D279" s="3" t="s">
        <v>546</v>
      </c>
      <c r="E279" s="36">
        <v>48</v>
      </c>
      <c r="F279" s="37" t="s">
        <v>919</v>
      </c>
      <c r="G279" s="29">
        <v>0</v>
      </c>
      <c r="H279" s="11">
        <v>9.9</v>
      </c>
      <c r="I279" s="11">
        <v>9.9</v>
      </c>
    </row>
    <row r="280" spans="1:9" x14ac:dyDescent="0.25">
      <c r="A280" s="113" t="s">
        <v>1003</v>
      </c>
      <c r="B280" s="1" t="s">
        <v>1050</v>
      </c>
      <c r="H280"/>
      <c r="I280"/>
    </row>
    <row r="281" spans="1:9" x14ac:dyDescent="0.25">
      <c r="A281" s="114"/>
      <c r="B281" s="5" t="s">
        <v>1003</v>
      </c>
      <c r="C281" s="3" t="s">
        <v>1051</v>
      </c>
      <c r="D281" s="3" t="s">
        <v>546</v>
      </c>
      <c r="E281" s="36">
        <v>48</v>
      </c>
      <c r="F281" s="37" t="s">
        <v>919</v>
      </c>
      <c r="G281" s="29">
        <v>0</v>
      </c>
      <c r="H281" s="11">
        <v>9.9</v>
      </c>
      <c r="I281" s="11">
        <v>9.9</v>
      </c>
    </row>
    <row r="282" spans="1:9" x14ac:dyDescent="0.25">
      <c r="A282" s="113" t="s">
        <v>1004</v>
      </c>
      <c r="B282" s="1" t="s">
        <v>1052</v>
      </c>
      <c r="H282"/>
      <c r="I282"/>
    </row>
    <row r="283" spans="1:9" x14ac:dyDescent="0.25">
      <c r="A283" s="114"/>
      <c r="B283" s="5" t="s">
        <v>1004</v>
      </c>
      <c r="C283" s="3" t="s">
        <v>1053</v>
      </c>
      <c r="D283" s="3" t="s">
        <v>546</v>
      </c>
      <c r="E283" s="36">
        <v>48</v>
      </c>
      <c r="F283" s="37" t="s">
        <v>919</v>
      </c>
      <c r="G283" s="29">
        <v>0</v>
      </c>
      <c r="H283" s="11">
        <v>9.9</v>
      </c>
      <c r="I283" s="11">
        <v>9.9</v>
      </c>
    </row>
    <row r="284" spans="1:9" x14ac:dyDescent="0.25">
      <c r="A284" s="113" t="s">
        <v>1005</v>
      </c>
      <c r="B284" s="1" t="s">
        <v>1054</v>
      </c>
      <c r="H284"/>
      <c r="I284"/>
    </row>
    <row r="285" spans="1:9" x14ac:dyDescent="0.25">
      <c r="A285" s="114"/>
      <c r="B285" s="5" t="s">
        <v>1005</v>
      </c>
      <c r="C285" s="3" t="s">
        <v>1055</v>
      </c>
      <c r="D285" s="3" t="s">
        <v>546</v>
      </c>
      <c r="E285" s="36">
        <v>48</v>
      </c>
      <c r="F285" s="37" t="s">
        <v>919</v>
      </c>
      <c r="G285" s="29">
        <v>0</v>
      </c>
      <c r="H285" s="11">
        <v>9.9</v>
      </c>
      <c r="I285" s="11">
        <v>9.9</v>
      </c>
    </row>
    <row r="286" spans="1:9" x14ac:dyDescent="0.25">
      <c r="A286" s="113" t="s">
        <v>1006</v>
      </c>
      <c r="B286" s="1" t="s">
        <v>1056</v>
      </c>
      <c r="H286"/>
      <c r="I286"/>
    </row>
    <row r="287" spans="1:9" x14ac:dyDescent="0.25">
      <c r="A287" s="114"/>
      <c r="B287" s="5" t="s">
        <v>1006</v>
      </c>
      <c r="C287" s="3" t="s">
        <v>1057</v>
      </c>
      <c r="D287" s="3" t="s">
        <v>546</v>
      </c>
      <c r="E287" s="36">
        <v>48</v>
      </c>
      <c r="F287" s="37" t="s">
        <v>919</v>
      </c>
      <c r="G287" s="29">
        <v>0</v>
      </c>
      <c r="H287" s="11">
        <v>9.9</v>
      </c>
      <c r="I287" s="11">
        <v>9.9</v>
      </c>
    </row>
    <row r="288" spans="1:9" x14ac:dyDescent="0.25">
      <c r="A288" s="113" t="s">
        <v>1007</v>
      </c>
      <c r="B288" s="1" t="s">
        <v>1058</v>
      </c>
      <c r="H288"/>
      <c r="I288"/>
    </row>
    <row r="289" spans="1:9" x14ac:dyDescent="0.25">
      <c r="A289" s="114"/>
      <c r="B289" s="5" t="s">
        <v>1007</v>
      </c>
      <c r="C289" s="3" t="s">
        <v>1059</v>
      </c>
      <c r="D289" s="3" t="s">
        <v>546</v>
      </c>
      <c r="E289" s="36">
        <v>48</v>
      </c>
      <c r="F289" s="37" t="s">
        <v>919</v>
      </c>
      <c r="G289" s="29">
        <v>0</v>
      </c>
      <c r="H289" s="11">
        <v>9.9</v>
      </c>
      <c r="I289" s="11">
        <v>9.9</v>
      </c>
    </row>
    <row r="290" spans="1:9" x14ac:dyDescent="0.25">
      <c r="A290" s="113" t="s">
        <v>1008</v>
      </c>
      <c r="B290" s="1" t="s">
        <v>1060</v>
      </c>
      <c r="H290"/>
      <c r="I290"/>
    </row>
    <row r="291" spans="1:9" x14ac:dyDescent="0.25">
      <c r="A291" s="114"/>
      <c r="B291" s="5" t="s">
        <v>1008</v>
      </c>
      <c r="C291" s="3" t="s">
        <v>1061</v>
      </c>
      <c r="D291" s="3" t="s">
        <v>546</v>
      </c>
      <c r="E291" s="36">
        <v>48</v>
      </c>
      <c r="F291" s="37" t="s">
        <v>919</v>
      </c>
      <c r="G291" s="29">
        <v>0</v>
      </c>
      <c r="H291" s="11">
        <v>9.9</v>
      </c>
      <c r="I291" s="11">
        <v>9.9</v>
      </c>
    </row>
    <row r="292" spans="1:9" x14ac:dyDescent="0.25">
      <c r="A292" s="113" t="s">
        <v>1009</v>
      </c>
      <c r="B292" s="1" t="s">
        <v>1062</v>
      </c>
      <c r="H292"/>
      <c r="I292"/>
    </row>
    <row r="293" spans="1:9" x14ac:dyDescent="0.25">
      <c r="A293" s="114"/>
      <c r="B293" s="5" t="s">
        <v>1009</v>
      </c>
      <c r="C293" s="3" t="s">
        <v>1063</v>
      </c>
      <c r="D293" s="3" t="s">
        <v>546</v>
      </c>
      <c r="E293" s="36">
        <v>48</v>
      </c>
      <c r="F293" s="37" t="s">
        <v>919</v>
      </c>
      <c r="G293" s="29">
        <v>0</v>
      </c>
      <c r="H293" s="11">
        <v>9.9</v>
      </c>
      <c r="I293" s="11">
        <v>9.9</v>
      </c>
    </row>
    <row r="294" spans="1:9" x14ac:dyDescent="0.25">
      <c r="A294" s="113" t="s">
        <v>1010</v>
      </c>
      <c r="B294" s="1" t="s">
        <v>1064</v>
      </c>
      <c r="H294"/>
      <c r="I294"/>
    </row>
    <row r="295" spans="1:9" x14ac:dyDescent="0.25">
      <c r="A295" s="114"/>
      <c r="B295" s="5" t="s">
        <v>1010</v>
      </c>
      <c r="C295" s="3" t="s">
        <v>1065</v>
      </c>
      <c r="D295" s="3" t="s">
        <v>546</v>
      </c>
      <c r="E295" s="36">
        <v>48</v>
      </c>
      <c r="F295" s="37" t="s">
        <v>919</v>
      </c>
      <c r="G295" s="29">
        <v>0</v>
      </c>
      <c r="H295" s="11">
        <v>9.9</v>
      </c>
      <c r="I295" s="11">
        <v>9.9</v>
      </c>
    </row>
    <row r="296" spans="1:9" x14ac:dyDescent="0.25">
      <c r="A296" s="113" t="s">
        <v>1172</v>
      </c>
      <c r="B296" s="1" t="s">
        <v>1173</v>
      </c>
      <c r="H296"/>
      <c r="I296"/>
    </row>
    <row r="297" spans="1:9" x14ac:dyDescent="0.25">
      <c r="A297" s="114"/>
      <c r="B297" s="5" t="s">
        <v>1172</v>
      </c>
      <c r="C297" s="3" t="s">
        <v>1174</v>
      </c>
      <c r="D297" s="3" t="s">
        <v>546</v>
      </c>
      <c r="E297" s="36">
        <v>48</v>
      </c>
      <c r="F297" s="37" t="s">
        <v>919</v>
      </c>
      <c r="G297" s="29">
        <v>0</v>
      </c>
      <c r="H297" s="11">
        <v>9.9</v>
      </c>
      <c r="I297" s="11">
        <v>9.9</v>
      </c>
    </row>
    <row r="298" spans="1:9" x14ac:dyDescent="0.25">
      <c r="A298" s="113" t="s">
        <v>1212</v>
      </c>
      <c r="B298" s="1" t="s">
        <v>1214</v>
      </c>
      <c r="H298"/>
      <c r="I298"/>
    </row>
    <row r="299" spans="1:9" x14ac:dyDescent="0.25">
      <c r="A299" s="114"/>
      <c r="B299" s="5" t="s">
        <v>1212</v>
      </c>
      <c r="C299" s="3" t="s">
        <v>1213</v>
      </c>
      <c r="D299" s="3" t="s">
        <v>546</v>
      </c>
      <c r="E299" s="36" t="s">
        <v>546</v>
      </c>
      <c r="F299" s="37" t="s">
        <v>919</v>
      </c>
      <c r="G299" s="29">
        <v>0</v>
      </c>
      <c r="H299" s="11">
        <v>24.9</v>
      </c>
      <c r="I299" s="11">
        <v>24.9</v>
      </c>
    </row>
    <row r="300" spans="1:9" x14ac:dyDescent="0.25">
      <c r="A300" s="113" t="s">
        <v>1217</v>
      </c>
      <c r="B300" s="1" t="s">
        <v>1216</v>
      </c>
      <c r="H300"/>
      <c r="I300"/>
    </row>
    <row r="301" spans="1:9" x14ac:dyDescent="0.25">
      <c r="A301" s="114"/>
      <c r="B301" s="5" t="s">
        <v>1217</v>
      </c>
      <c r="C301" s="3" t="s">
        <v>1215</v>
      </c>
      <c r="D301" s="3" t="s">
        <v>546</v>
      </c>
      <c r="E301" s="36">
        <v>48</v>
      </c>
      <c r="F301" s="37" t="s">
        <v>919</v>
      </c>
      <c r="G301" s="29">
        <v>0</v>
      </c>
      <c r="H301" s="11">
        <v>9.9</v>
      </c>
      <c r="I301" s="11">
        <v>9.9</v>
      </c>
    </row>
    <row r="302" spans="1:9" x14ac:dyDescent="0.25">
      <c r="A302" s="113" t="s">
        <v>1411</v>
      </c>
      <c r="B302" s="1" t="s">
        <v>1412</v>
      </c>
      <c r="H302"/>
      <c r="I302"/>
    </row>
    <row r="303" spans="1:9" x14ac:dyDescent="0.25">
      <c r="A303" s="114"/>
      <c r="B303" s="5" t="s">
        <v>1411</v>
      </c>
      <c r="C303" s="3" t="s">
        <v>1413</v>
      </c>
      <c r="D303" s="3" t="s">
        <v>546</v>
      </c>
      <c r="E303" s="36">
        <v>48</v>
      </c>
      <c r="F303" s="37" t="s">
        <v>919</v>
      </c>
      <c r="G303" s="29">
        <v>0</v>
      </c>
      <c r="H303" s="11">
        <v>9.9</v>
      </c>
      <c r="I303" s="11">
        <v>9.9</v>
      </c>
    </row>
    <row r="304" spans="1:9" x14ac:dyDescent="0.25">
      <c r="A304" s="10" t="s">
        <v>1418</v>
      </c>
      <c r="B304" s="7"/>
      <c r="C304" s="7"/>
      <c r="D304" s="7"/>
      <c r="E304" s="7"/>
      <c r="F304" s="7"/>
      <c r="G304" s="7"/>
      <c r="H304" s="7"/>
      <c r="I304" s="7"/>
    </row>
    <row r="305" spans="1:9" x14ac:dyDescent="0.25">
      <c r="A305" s="113" t="s">
        <v>1117</v>
      </c>
      <c r="B305" s="1" t="s">
        <v>1118</v>
      </c>
      <c r="H305"/>
      <c r="I305"/>
    </row>
    <row r="306" spans="1:9" x14ac:dyDescent="0.25">
      <c r="A306" s="114"/>
      <c r="B306" s="5" t="s">
        <v>1117</v>
      </c>
      <c r="C306" s="3" t="s">
        <v>1119</v>
      </c>
      <c r="D306" s="3" t="s">
        <v>546</v>
      </c>
      <c r="E306" s="36">
        <v>6</v>
      </c>
      <c r="F306" s="37" t="s">
        <v>919</v>
      </c>
      <c r="G306" s="29">
        <v>0</v>
      </c>
      <c r="H306" s="11">
        <v>89.9</v>
      </c>
      <c r="I306" s="11">
        <v>89.9</v>
      </c>
    </row>
    <row r="307" spans="1:9" x14ac:dyDescent="0.25">
      <c r="A307" s="113" t="s">
        <v>1120</v>
      </c>
      <c r="B307" s="1" t="s">
        <v>1121</v>
      </c>
      <c r="H307"/>
      <c r="I307"/>
    </row>
    <row r="308" spans="1:9" x14ac:dyDescent="0.25">
      <c r="A308" s="114"/>
      <c r="B308" s="5" t="s">
        <v>1120</v>
      </c>
      <c r="C308" s="3" t="s">
        <v>1122</v>
      </c>
      <c r="D308" s="3" t="s">
        <v>546</v>
      </c>
      <c r="E308" s="36">
        <v>6</v>
      </c>
      <c r="F308" s="37" t="s">
        <v>919</v>
      </c>
      <c r="G308" s="29">
        <v>0</v>
      </c>
      <c r="H308" s="11">
        <v>94.9</v>
      </c>
      <c r="I308" s="11">
        <v>94.9</v>
      </c>
    </row>
    <row r="309" spans="1:9" x14ac:dyDescent="0.25">
      <c r="A309" s="113" t="s">
        <v>1114</v>
      </c>
      <c r="B309" s="1" t="s">
        <v>1115</v>
      </c>
      <c r="H309"/>
      <c r="I309"/>
    </row>
    <row r="310" spans="1:9" x14ac:dyDescent="0.25">
      <c r="A310" s="114"/>
      <c r="B310" s="5" t="s">
        <v>1114</v>
      </c>
      <c r="C310" s="3" t="s">
        <v>1116</v>
      </c>
      <c r="D310" s="3" t="s">
        <v>546</v>
      </c>
      <c r="E310" s="36">
        <v>6</v>
      </c>
      <c r="F310" s="37" t="s">
        <v>919</v>
      </c>
      <c r="G310" s="29">
        <v>0</v>
      </c>
      <c r="H310" s="11">
        <v>89.9</v>
      </c>
      <c r="I310" s="11">
        <v>89.9</v>
      </c>
    </row>
    <row r="311" spans="1:9" x14ac:dyDescent="0.25">
      <c r="A311" s="113" t="s">
        <v>1123</v>
      </c>
      <c r="B311" s="1" t="s">
        <v>1124</v>
      </c>
      <c r="H311"/>
      <c r="I311"/>
    </row>
    <row r="312" spans="1:9" x14ac:dyDescent="0.25">
      <c r="A312" s="114"/>
      <c r="B312" s="5" t="s">
        <v>1123</v>
      </c>
      <c r="C312" s="3" t="s">
        <v>1125</v>
      </c>
      <c r="D312" s="3" t="s">
        <v>546</v>
      </c>
      <c r="E312" s="36">
        <v>12</v>
      </c>
      <c r="F312" s="37" t="s">
        <v>919</v>
      </c>
      <c r="G312" s="29">
        <v>0</v>
      </c>
      <c r="H312" s="11">
        <v>54.9</v>
      </c>
      <c r="I312" s="11">
        <v>54.9</v>
      </c>
    </row>
    <row r="313" spans="1:9" x14ac:dyDescent="0.25">
      <c r="A313" s="113" t="s">
        <v>1129</v>
      </c>
      <c r="B313" s="1" t="s">
        <v>1130</v>
      </c>
      <c r="H313"/>
      <c r="I313"/>
    </row>
    <row r="314" spans="1:9" x14ac:dyDescent="0.25">
      <c r="A314" s="114"/>
      <c r="B314" s="5" t="s">
        <v>1129</v>
      </c>
      <c r="C314" s="3" t="s">
        <v>1131</v>
      </c>
      <c r="D314" s="3" t="s">
        <v>546</v>
      </c>
      <c r="E314" s="36">
        <v>24</v>
      </c>
      <c r="F314" s="37" t="s">
        <v>919</v>
      </c>
      <c r="G314" s="29">
        <v>0</v>
      </c>
      <c r="H314" s="11">
        <v>44.9</v>
      </c>
      <c r="I314" s="11">
        <v>44.9</v>
      </c>
    </row>
    <row r="315" spans="1:9" x14ac:dyDescent="0.25">
      <c r="A315" s="113" t="s">
        <v>1132</v>
      </c>
      <c r="B315" s="1" t="s">
        <v>1133</v>
      </c>
      <c r="H315"/>
      <c r="I315"/>
    </row>
    <row r="316" spans="1:9" x14ac:dyDescent="0.25">
      <c r="A316" s="114"/>
      <c r="B316" s="5" t="s">
        <v>1132</v>
      </c>
      <c r="C316" s="3" t="s">
        <v>1134</v>
      </c>
      <c r="D316" s="3" t="s">
        <v>546</v>
      </c>
      <c r="E316" s="36">
        <v>24</v>
      </c>
      <c r="F316" s="37" t="s">
        <v>919</v>
      </c>
      <c r="G316" s="29">
        <v>0</v>
      </c>
      <c r="H316" s="11">
        <v>49.9</v>
      </c>
      <c r="I316" s="11">
        <v>49.9</v>
      </c>
    </row>
    <row r="317" spans="1:9" x14ac:dyDescent="0.25">
      <c r="A317" s="113" t="s">
        <v>1126</v>
      </c>
      <c r="B317" s="1" t="s">
        <v>1127</v>
      </c>
      <c r="H317"/>
      <c r="I317"/>
    </row>
    <row r="318" spans="1:9" x14ac:dyDescent="0.25">
      <c r="A318" s="114"/>
      <c r="B318" s="5" t="s">
        <v>1126</v>
      </c>
      <c r="C318" s="3" t="s">
        <v>1128</v>
      </c>
      <c r="D318" s="3" t="s">
        <v>546</v>
      </c>
      <c r="E318" s="36">
        <v>48</v>
      </c>
      <c r="F318" s="37" t="s">
        <v>919</v>
      </c>
      <c r="G318" s="29">
        <v>0</v>
      </c>
      <c r="H318" s="11">
        <v>44.9</v>
      </c>
      <c r="I318" s="11">
        <v>44.9</v>
      </c>
    </row>
    <row r="319" spans="1:9" x14ac:dyDescent="0.25">
      <c r="A319" s="113" t="s">
        <v>1201</v>
      </c>
      <c r="B319" s="1" t="s">
        <v>1191</v>
      </c>
      <c r="H319"/>
      <c r="I319"/>
    </row>
    <row r="320" spans="1:9" x14ac:dyDescent="0.25">
      <c r="A320" s="114"/>
      <c r="B320" s="5" t="s">
        <v>1201</v>
      </c>
      <c r="C320" s="3" t="s">
        <v>1192</v>
      </c>
      <c r="D320" s="3" t="s">
        <v>546</v>
      </c>
      <c r="E320" s="36" t="s">
        <v>546</v>
      </c>
      <c r="F320" s="37" t="s">
        <v>919</v>
      </c>
      <c r="G320" s="29">
        <v>0</v>
      </c>
      <c r="H320" s="11">
        <v>69.900000000000006</v>
      </c>
      <c r="I320" s="11">
        <v>69.900000000000006</v>
      </c>
    </row>
    <row r="321" spans="1:9" x14ac:dyDescent="0.25">
      <c r="A321" s="113" t="s">
        <v>1218</v>
      </c>
      <c r="B321" s="1" t="s">
        <v>1226</v>
      </c>
      <c r="H321"/>
      <c r="I321"/>
    </row>
    <row r="322" spans="1:9" x14ac:dyDescent="0.25">
      <c r="A322" s="114"/>
      <c r="B322" s="5" t="s">
        <v>1218</v>
      </c>
      <c r="C322" s="3" t="s">
        <v>1221</v>
      </c>
      <c r="D322" s="3" t="s">
        <v>546</v>
      </c>
      <c r="E322" s="36" t="s">
        <v>546</v>
      </c>
      <c r="F322" s="37" t="s">
        <v>918</v>
      </c>
      <c r="G322" s="29">
        <v>0</v>
      </c>
      <c r="H322" s="11">
        <v>24.9</v>
      </c>
      <c r="I322" s="11">
        <v>24.9</v>
      </c>
    </row>
    <row r="323" spans="1:9" x14ac:dyDescent="0.25">
      <c r="A323" s="113" t="s">
        <v>1219</v>
      </c>
      <c r="B323" s="1" t="s">
        <v>1220</v>
      </c>
      <c r="H323"/>
      <c r="I323"/>
    </row>
    <row r="324" spans="1:9" x14ac:dyDescent="0.25">
      <c r="A324" s="114"/>
      <c r="B324" s="5" t="s">
        <v>1219</v>
      </c>
      <c r="C324" s="3" t="s">
        <v>1222</v>
      </c>
      <c r="D324" s="3" t="s">
        <v>546</v>
      </c>
      <c r="E324" s="36" t="s">
        <v>546</v>
      </c>
      <c r="F324" s="37" t="s">
        <v>918</v>
      </c>
      <c r="G324" s="29">
        <v>0</v>
      </c>
      <c r="H324" s="11">
        <v>24.9</v>
      </c>
      <c r="I324" s="11">
        <v>24.9</v>
      </c>
    </row>
    <row r="325" spans="1:9" x14ac:dyDescent="0.25">
      <c r="A325" s="113" t="s">
        <v>1105</v>
      </c>
      <c r="B325" s="1" t="s">
        <v>1106</v>
      </c>
      <c r="H325"/>
      <c r="I325"/>
    </row>
    <row r="326" spans="1:9" x14ac:dyDescent="0.25">
      <c r="A326" s="114"/>
      <c r="B326" s="5" t="s">
        <v>1105</v>
      </c>
      <c r="C326" s="3" t="s">
        <v>1107</v>
      </c>
      <c r="D326" s="3" t="s">
        <v>546</v>
      </c>
      <c r="E326" s="36">
        <v>20</v>
      </c>
      <c r="F326" s="37" t="s">
        <v>919</v>
      </c>
      <c r="G326" s="29">
        <v>0</v>
      </c>
      <c r="H326" s="11">
        <v>59.9</v>
      </c>
      <c r="I326" s="11">
        <v>59.9</v>
      </c>
    </row>
    <row r="327" spans="1:9" x14ac:dyDescent="0.25">
      <c r="A327" s="113" t="s">
        <v>1111</v>
      </c>
      <c r="B327" s="1" t="s">
        <v>1112</v>
      </c>
      <c r="H327"/>
      <c r="I327"/>
    </row>
    <row r="328" spans="1:9" x14ac:dyDescent="0.25">
      <c r="A328" s="114"/>
      <c r="B328" s="5" t="s">
        <v>1111</v>
      </c>
      <c r="C328" s="3" t="s">
        <v>1113</v>
      </c>
      <c r="D328" s="3" t="s">
        <v>546</v>
      </c>
      <c r="E328" s="36">
        <v>6</v>
      </c>
      <c r="F328" s="37" t="s">
        <v>919</v>
      </c>
      <c r="G328" s="29">
        <v>0</v>
      </c>
      <c r="H328" s="11">
        <v>169.9</v>
      </c>
      <c r="I328" s="11">
        <v>169.9</v>
      </c>
    </row>
    <row r="329" spans="1:9" x14ac:dyDescent="0.25">
      <c r="A329" s="113" t="s">
        <v>1108</v>
      </c>
      <c r="B329" s="1" t="s">
        <v>1109</v>
      </c>
      <c r="H329"/>
      <c r="I329"/>
    </row>
    <row r="330" spans="1:9" x14ac:dyDescent="0.25">
      <c r="A330" s="114"/>
      <c r="B330" s="5" t="s">
        <v>1108</v>
      </c>
      <c r="C330" s="3" t="s">
        <v>1110</v>
      </c>
      <c r="D330" s="3" t="s">
        <v>546</v>
      </c>
      <c r="E330" s="36">
        <v>10</v>
      </c>
      <c r="F330" s="37" t="s">
        <v>919</v>
      </c>
      <c r="G330" s="29">
        <v>0</v>
      </c>
      <c r="H330" s="11">
        <v>79.900000000000006</v>
      </c>
      <c r="I330" s="11">
        <v>79.900000000000006</v>
      </c>
    </row>
    <row r="331" spans="1:9" x14ac:dyDescent="0.25">
      <c r="A331" s="113" t="s">
        <v>993</v>
      </c>
      <c r="B331" s="1" t="s">
        <v>1030</v>
      </c>
      <c r="H331"/>
      <c r="I331"/>
    </row>
    <row r="332" spans="1:9" x14ac:dyDescent="0.25">
      <c r="A332" s="114"/>
      <c r="B332" s="5" t="s">
        <v>993</v>
      </c>
      <c r="C332" s="3" t="s">
        <v>1031</v>
      </c>
      <c r="D332" s="3" t="s">
        <v>572</v>
      </c>
      <c r="E332" s="36">
        <v>10</v>
      </c>
      <c r="F332" s="37" t="s">
        <v>919</v>
      </c>
      <c r="G332" s="29">
        <v>0</v>
      </c>
      <c r="H332" s="11">
        <v>84.9</v>
      </c>
      <c r="I332" s="11">
        <v>84.9</v>
      </c>
    </row>
    <row r="333" spans="1:9" x14ac:dyDescent="0.25">
      <c r="A333" s="114"/>
      <c r="B333" s="6" t="s">
        <v>994</v>
      </c>
      <c r="C333" s="4" t="s">
        <v>1032</v>
      </c>
      <c r="D333" s="4" t="s">
        <v>570</v>
      </c>
      <c r="E333" s="41">
        <v>10</v>
      </c>
      <c r="F333" s="38" t="s">
        <v>919</v>
      </c>
      <c r="G333" s="30">
        <v>0</v>
      </c>
      <c r="H333" s="12">
        <v>84.9</v>
      </c>
      <c r="I333" s="12">
        <v>84.9</v>
      </c>
    </row>
    <row r="334" spans="1:9" x14ac:dyDescent="0.25">
      <c r="A334" s="114"/>
      <c r="B334" s="6" t="s">
        <v>1015</v>
      </c>
      <c r="C334" s="4" t="s">
        <v>1033</v>
      </c>
      <c r="D334" s="4" t="s">
        <v>903</v>
      </c>
      <c r="E334" s="41">
        <v>10</v>
      </c>
      <c r="F334" s="38" t="s">
        <v>919</v>
      </c>
      <c r="G334" s="30">
        <v>0</v>
      </c>
      <c r="H334" s="12">
        <v>84.9</v>
      </c>
      <c r="I334" s="12">
        <v>84.9</v>
      </c>
    </row>
    <row r="335" spans="1:9" x14ac:dyDescent="0.25">
      <c r="A335" s="114"/>
      <c r="B335" s="6" t="s">
        <v>1179</v>
      </c>
      <c r="C335" s="4" t="s">
        <v>1182</v>
      </c>
      <c r="D335" s="4" t="s">
        <v>571</v>
      </c>
      <c r="E335" s="41">
        <v>10</v>
      </c>
      <c r="F335" s="38" t="s">
        <v>919</v>
      </c>
      <c r="G335" s="30">
        <v>0</v>
      </c>
      <c r="H335" s="12">
        <v>84.9</v>
      </c>
      <c r="I335" s="12">
        <v>84.9</v>
      </c>
    </row>
    <row r="336" spans="1:9" x14ac:dyDescent="0.25">
      <c r="A336" s="114"/>
      <c r="B336" s="6" t="s">
        <v>1180</v>
      </c>
      <c r="C336" s="4" t="s">
        <v>1183</v>
      </c>
      <c r="D336" s="4" t="s">
        <v>1184</v>
      </c>
      <c r="E336" s="41">
        <v>10</v>
      </c>
      <c r="F336" s="38" t="s">
        <v>919</v>
      </c>
      <c r="G336" s="30">
        <v>0</v>
      </c>
      <c r="H336" s="12">
        <v>84.9</v>
      </c>
      <c r="I336" s="12">
        <v>84.9</v>
      </c>
    </row>
    <row r="337" spans="1:9" x14ac:dyDescent="0.25">
      <c r="A337" s="114"/>
      <c r="B337" s="6" t="s">
        <v>1178</v>
      </c>
      <c r="C337" s="4" t="s">
        <v>1181</v>
      </c>
      <c r="D337" s="4" t="s">
        <v>562</v>
      </c>
      <c r="E337" s="41">
        <v>10</v>
      </c>
      <c r="F337" s="38" t="s">
        <v>919</v>
      </c>
      <c r="G337" s="30">
        <v>0</v>
      </c>
      <c r="H337" s="12">
        <v>84.9</v>
      </c>
      <c r="I337" s="12">
        <v>84.9</v>
      </c>
    </row>
    <row r="338" spans="1:9" x14ac:dyDescent="0.25">
      <c r="A338" s="113" t="s">
        <v>1209</v>
      </c>
      <c r="B338" s="1" t="s">
        <v>1211</v>
      </c>
      <c r="H338"/>
      <c r="I338"/>
    </row>
    <row r="339" spans="1:9" x14ac:dyDescent="0.25">
      <c r="A339" s="114"/>
      <c r="B339" s="5" t="s">
        <v>1209</v>
      </c>
      <c r="C339" s="3" t="s">
        <v>1210</v>
      </c>
      <c r="D339" s="3" t="s">
        <v>546</v>
      </c>
      <c r="E339" s="36">
        <v>1</v>
      </c>
      <c r="F339" s="37" t="s">
        <v>1196</v>
      </c>
      <c r="G339" s="29" t="s">
        <v>1197</v>
      </c>
      <c r="H339" s="11">
        <v>179.9</v>
      </c>
      <c r="I339" s="11">
        <v>179.9</v>
      </c>
    </row>
    <row r="340" spans="1:9" x14ac:dyDescent="0.25">
      <c r="A340" s="113" t="s">
        <v>1649</v>
      </c>
      <c r="B340" s="1" t="s">
        <v>1831</v>
      </c>
      <c r="H340"/>
      <c r="I340"/>
    </row>
    <row r="341" spans="1:9" x14ac:dyDescent="0.25">
      <c r="A341" s="114"/>
      <c r="B341" s="5" t="s">
        <v>1649</v>
      </c>
      <c r="C341" s="3" t="s">
        <v>1650</v>
      </c>
      <c r="D341" s="3" t="s">
        <v>546</v>
      </c>
      <c r="E341" s="36" t="s">
        <v>546</v>
      </c>
      <c r="F341" s="37" t="s">
        <v>919</v>
      </c>
      <c r="G341" s="29">
        <v>0</v>
      </c>
      <c r="H341" s="11">
        <v>159.9</v>
      </c>
      <c r="I341" s="11">
        <v>159.9</v>
      </c>
    </row>
    <row r="342" spans="1:9" x14ac:dyDescent="0.25">
      <c r="A342" s="115" t="s">
        <v>309</v>
      </c>
      <c r="B342" s="116"/>
      <c r="C342" s="116"/>
      <c r="D342" s="116"/>
      <c r="E342" s="116"/>
      <c r="F342" s="116"/>
      <c r="G342" s="116"/>
      <c r="H342" s="116"/>
      <c r="I342" s="116"/>
    </row>
    <row r="343" spans="1:9" x14ac:dyDescent="0.25">
      <c r="A343" s="10" t="s">
        <v>1418</v>
      </c>
      <c r="B343" s="7"/>
      <c r="C343" s="7"/>
      <c r="D343" s="7"/>
      <c r="E343" s="7"/>
      <c r="F343" s="7"/>
      <c r="G343" s="7"/>
      <c r="H343" s="7"/>
      <c r="I343" s="7"/>
    </row>
    <row r="344" spans="1:9" x14ac:dyDescent="0.25">
      <c r="A344" s="113" t="s">
        <v>30</v>
      </c>
      <c r="B344" s="1" t="s">
        <v>216</v>
      </c>
      <c r="H344"/>
      <c r="I344"/>
    </row>
    <row r="345" spans="1:9" x14ac:dyDescent="0.25">
      <c r="A345" s="114"/>
      <c r="B345" s="5" t="s">
        <v>30</v>
      </c>
      <c r="C345" s="3" t="s">
        <v>370</v>
      </c>
      <c r="D345" s="3" t="s">
        <v>546</v>
      </c>
      <c r="E345" s="36">
        <v>50</v>
      </c>
      <c r="F345" s="37" t="s">
        <v>920</v>
      </c>
      <c r="G345" s="29">
        <v>0</v>
      </c>
      <c r="H345" s="11">
        <v>42.9</v>
      </c>
      <c r="I345" s="11">
        <v>42.9</v>
      </c>
    </row>
    <row r="346" spans="1:9" x14ac:dyDescent="0.25">
      <c r="A346" s="113" t="s">
        <v>120</v>
      </c>
      <c r="B346" s="1" t="s">
        <v>217</v>
      </c>
      <c r="H346"/>
      <c r="I346"/>
    </row>
    <row r="347" spans="1:9" x14ac:dyDescent="0.25">
      <c r="A347" s="114"/>
      <c r="B347" s="5" t="s">
        <v>120</v>
      </c>
      <c r="C347" s="3" t="s">
        <v>371</v>
      </c>
      <c r="D347" s="3" t="s">
        <v>546</v>
      </c>
      <c r="E347" s="36">
        <v>50</v>
      </c>
      <c r="F347" s="37" t="s">
        <v>920</v>
      </c>
      <c r="G347" s="29">
        <v>0</v>
      </c>
      <c r="H347" s="11">
        <v>54.9</v>
      </c>
      <c r="I347" s="11">
        <v>54.9</v>
      </c>
    </row>
    <row r="348" spans="1:9" x14ac:dyDescent="0.25">
      <c r="A348" s="113" t="s">
        <v>1824</v>
      </c>
      <c r="B348" s="1" t="s">
        <v>1825</v>
      </c>
      <c r="H348"/>
      <c r="I348"/>
    </row>
    <row r="349" spans="1:9" x14ac:dyDescent="0.25">
      <c r="A349" s="114"/>
      <c r="B349" s="5" t="s">
        <v>1824</v>
      </c>
      <c r="C349" s="3" t="s">
        <v>1826</v>
      </c>
      <c r="D349" s="3" t="s">
        <v>546</v>
      </c>
      <c r="E349" s="36" t="s">
        <v>546</v>
      </c>
      <c r="F349" s="37" t="s">
        <v>920</v>
      </c>
      <c r="G349" s="29">
        <v>0</v>
      </c>
      <c r="H349" s="11">
        <v>249.9</v>
      </c>
      <c r="I349" s="11">
        <v>249.9</v>
      </c>
    </row>
    <row r="350" spans="1:9" x14ac:dyDescent="0.25">
      <c r="A350" s="113" t="s">
        <v>121</v>
      </c>
      <c r="B350" s="1" t="s">
        <v>218</v>
      </c>
      <c r="H350"/>
      <c r="I350"/>
    </row>
    <row r="351" spans="1:9" x14ac:dyDescent="0.25">
      <c r="A351" s="114"/>
      <c r="B351" s="5" t="s">
        <v>121</v>
      </c>
      <c r="C351" s="3" t="s">
        <v>372</v>
      </c>
      <c r="D351" s="3" t="s">
        <v>546</v>
      </c>
      <c r="E351" s="36">
        <v>24</v>
      </c>
      <c r="F351" s="37" t="s">
        <v>920</v>
      </c>
      <c r="G351" s="29">
        <v>0</v>
      </c>
      <c r="H351" s="11">
        <v>94.9</v>
      </c>
      <c r="I351" s="11">
        <v>94.9</v>
      </c>
    </row>
    <row r="352" spans="1:9" x14ac:dyDescent="0.25">
      <c r="A352" s="113" t="s">
        <v>1081</v>
      </c>
      <c r="B352" s="1" t="s">
        <v>1082</v>
      </c>
      <c r="H352"/>
      <c r="I352"/>
    </row>
    <row r="353" spans="1:9" x14ac:dyDescent="0.25">
      <c r="A353" s="114"/>
      <c r="B353" s="5" t="s">
        <v>1081</v>
      </c>
      <c r="C353" s="3" t="s">
        <v>1083</v>
      </c>
      <c r="D353" s="3" t="s">
        <v>546</v>
      </c>
      <c r="E353" s="36">
        <v>24</v>
      </c>
      <c r="F353" s="37" t="s">
        <v>920</v>
      </c>
      <c r="G353" s="29">
        <v>0</v>
      </c>
      <c r="H353" s="11">
        <v>139.9</v>
      </c>
      <c r="I353" s="11">
        <v>139.9</v>
      </c>
    </row>
    <row r="354" spans="1:9" x14ac:dyDescent="0.25">
      <c r="A354" s="113" t="s">
        <v>1084</v>
      </c>
      <c r="B354" s="1" t="s">
        <v>219</v>
      </c>
      <c r="H354"/>
      <c r="I354"/>
    </row>
    <row r="355" spans="1:9" x14ac:dyDescent="0.25">
      <c r="A355" s="114"/>
      <c r="B355" s="5" t="s">
        <v>1084</v>
      </c>
      <c r="C355" s="3" t="s">
        <v>1085</v>
      </c>
      <c r="D355" s="3" t="s">
        <v>546</v>
      </c>
      <c r="E355" s="36">
        <v>6</v>
      </c>
      <c r="F355" s="37" t="s">
        <v>920</v>
      </c>
      <c r="G355" s="29">
        <v>0</v>
      </c>
      <c r="H355" s="11">
        <v>134.9</v>
      </c>
      <c r="I355" s="11">
        <v>134.9</v>
      </c>
    </row>
    <row r="356" spans="1:9" x14ac:dyDescent="0.25">
      <c r="A356" s="113" t="s">
        <v>1223</v>
      </c>
      <c r="B356" s="1" t="s">
        <v>1225</v>
      </c>
      <c r="H356"/>
      <c r="I356"/>
    </row>
    <row r="357" spans="1:9" x14ac:dyDescent="0.25">
      <c r="A357" s="114"/>
      <c r="B357" s="5" t="s">
        <v>1223</v>
      </c>
      <c r="C357" s="3" t="s">
        <v>1224</v>
      </c>
      <c r="D357" s="3" t="s">
        <v>546</v>
      </c>
      <c r="E357" s="36" t="s">
        <v>546</v>
      </c>
      <c r="F357" s="37" t="s">
        <v>920</v>
      </c>
      <c r="G357" s="29">
        <v>0</v>
      </c>
      <c r="H357" s="11">
        <v>69.900000000000006</v>
      </c>
      <c r="I357" s="11">
        <v>69.900000000000006</v>
      </c>
    </row>
    <row r="358" spans="1:9" x14ac:dyDescent="0.25">
      <c r="A358" s="113" t="s">
        <v>1697</v>
      </c>
      <c r="B358" s="1" t="s">
        <v>1699</v>
      </c>
      <c r="H358"/>
      <c r="I358"/>
    </row>
    <row r="359" spans="1:9" x14ac:dyDescent="0.25">
      <c r="A359" s="114"/>
      <c r="B359" s="5" t="s">
        <v>1697</v>
      </c>
      <c r="C359" s="3" t="s">
        <v>1698</v>
      </c>
      <c r="D359" s="3" t="s">
        <v>546</v>
      </c>
      <c r="E359" s="36">
        <v>24</v>
      </c>
      <c r="F359" s="37" t="s">
        <v>920</v>
      </c>
      <c r="G359" s="29">
        <v>0</v>
      </c>
      <c r="H359" s="11">
        <v>84.9</v>
      </c>
      <c r="I359" s="11">
        <v>84.9</v>
      </c>
    </row>
    <row r="360" spans="1:9" x14ac:dyDescent="0.25">
      <c r="A360" s="113" t="s">
        <v>1430</v>
      </c>
      <c r="B360" s="1" t="s">
        <v>1432</v>
      </c>
      <c r="H360"/>
      <c r="I360"/>
    </row>
    <row r="361" spans="1:9" x14ac:dyDescent="0.25">
      <c r="A361" s="114"/>
      <c r="B361" s="5" t="s">
        <v>1430</v>
      </c>
      <c r="C361" s="3" t="s">
        <v>1434</v>
      </c>
      <c r="D361" s="3" t="s">
        <v>572</v>
      </c>
      <c r="E361" s="36" t="s">
        <v>546</v>
      </c>
      <c r="F361" s="37" t="s">
        <v>920</v>
      </c>
      <c r="G361" s="29">
        <v>0</v>
      </c>
      <c r="H361" s="11">
        <v>274.89999999999998</v>
      </c>
      <c r="I361" s="11">
        <v>274.89999999999998</v>
      </c>
    </row>
    <row r="362" spans="1:9" x14ac:dyDescent="0.25">
      <c r="A362" s="114"/>
      <c r="B362" s="6" t="s">
        <v>1752</v>
      </c>
      <c r="C362" s="4" t="s">
        <v>1757</v>
      </c>
      <c r="D362" s="4" t="s">
        <v>571</v>
      </c>
      <c r="E362" s="41" t="s">
        <v>546</v>
      </c>
      <c r="F362" s="38" t="s">
        <v>920</v>
      </c>
      <c r="G362" s="30">
        <v>0</v>
      </c>
      <c r="H362" s="12">
        <v>274.89999999999998</v>
      </c>
      <c r="I362" s="12">
        <v>274.89999999999998</v>
      </c>
    </row>
    <row r="363" spans="1:9" x14ac:dyDescent="0.25">
      <c r="A363" s="114"/>
      <c r="B363" s="6" t="s">
        <v>1753</v>
      </c>
      <c r="C363" s="4" t="s">
        <v>1758</v>
      </c>
      <c r="D363" s="4" t="s">
        <v>903</v>
      </c>
      <c r="E363" s="41" t="s">
        <v>546</v>
      </c>
      <c r="F363" s="38" t="s">
        <v>920</v>
      </c>
      <c r="G363" s="30">
        <v>0</v>
      </c>
      <c r="H363" s="12">
        <v>274.89999999999998</v>
      </c>
      <c r="I363" s="12">
        <v>274.89999999999998</v>
      </c>
    </row>
    <row r="364" spans="1:9" x14ac:dyDescent="0.25">
      <c r="A364" s="114"/>
      <c r="B364" s="6" t="s">
        <v>1754</v>
      </c>
      <c r="C364" s="4" t="s">
        <v>1759</v>
      </c>
      <c r="D364" s="4" t="s">
        <v>1184</v>
      </c>
      <c r="E364" s="41" t="s">
        <v>546</v>
      </c>
      <c r="F364" s="38" t="s">
        <v>920</v>
      </c>
      <c r="G364" s="30">
        <v>0</v>
      </c>
      <c r="H364" s="12">
        <v>274.89999999999998</v>
      </c>
      <c r="I364" s="12">
        <v>274.89999999999998</v>
      </c>
    </row>
    <row r="365" spans="1:9" x14ac:dyDescent="0.25">
      <c r="A365" s="114"/>
      <c r="B365" s="6" t="s">
        <v>1755</v>
      </c>
      <c r="C365" s="4" t="s">
        <v>1760</v>
      </c>
      <c r="D365" s="4" t="s">
        <v>570</v>
      </c>
      <c r="E365" s="41" t="s">
        <v>546</v>
      </c>
      <c r="F365" s="38" t="s">
        <v>920</v>
      </c>
      <c r="G365" s="30">
        <v>0</v>
      </c>
      <c r="H365" s="12">
        <v>274.89999999999998</v>
      </c>
      <c r="I365" s="12">
        <v>274.89999999999998</v>
      </c>
    </row>
    <row r="366" spans="1:9" x14ac:dyDescent="0.25">
      <c r="A366" s="114"/>
      <c r="B366" s="6" t="s">
        <v>1756</v>
      </c>
      <c r="C366" s="4" t="s">
        <v>1761</v>
      </c>
      <c r="D366" s="4" t="s">
        <v>562</v>
      </c>
      <c r="E366" s="41" t="s">
        <v>546</v>
      </c>
      <c r="F366" s="38" t="s">
        <v>920</v>
      </c>
      <c r="G366" s="30">
        <v>0</v>
      </c>
      <c r="H366" s="12">
        <v>274.89999999999998</v>
      </c>
      <c r="I366" s="12">
        <v>274.89999999999998</v>
      </c>
    </row>
    <row r="367" spans="1:9" x14ac:dyDescent="0.25">
      <c r="A367" s="113" t="s">
        <v>1232</v>
      </c>
      <c r="B367" s="1" t="s">
        <v>1234</v>
      </c>
      <c r="H367"/>
      <c r="I367"/>
    </row>
    <row r="368" spans="1:9" x14ac:dyDescent="0.25">
      <c r="A368" s="114"/>
      <c r="B368" s="5" t="s">
        <v>1232</v>
      </c>
      <c r="C368" s="3" t="s">
        <v>1271</v>
      </c>
      <c r="D368" s="3" t="s">
        <v>546</v>
      </c>
      <c r="E368" s="36" t="s">
        <v>546</v>
      </c>
      <c r="F368" s="37" t="s">
        <v>920</v>
      </c>
      <c r="G368" s="29">
        <v>0</v>
      </c>
      <c r="H368" s="11">
        <v>219.9</v>
      </c>
      <c r="I368" s="11">
        <v>219.9</v>
      </c>
    </row>
    <row r="369" spans="1:9" x14ac:dyDescent="0.25">
      <c r="A369" s="113" t="s">
        <v>1233</v>
      </c>
      <c r="B369" s="1" t="s">
        <v>1235</v>
      </c>
      <c r="H369"/>
      <c r="I369"/>
    </row>
    <row r="370" spans="1:9" x14ac:dyDescent="0.25">
      <c r="A370" s="114"/>
      <c r="B370" s="5" t="s">
        <v>1233</v>
      </c>
      <c r="C370" s="3" t="s">
        <v>1272</v>
      </c>
      <c r="D370" s="3" t="s">
        <v>546</v>
      </c>
      <c r="E370" s="36" t="s">
        <v>546</v>
      </c>
      <c r="F370" s="37" t="s">
        <v>920</v>
      </c>
      <c r="G370" s="29">
        <v>0</v>
      </c>
      <c r="H370" s="11">
        <v>329.9</v>
      </c>
      <c r="I370" s="11">
        <v>329.9</v>
      </c>
    </row>
    <row r="371" spans="1:9" x14ac:dyDescent="0.25">
      <c r="A371" s="113" t="s">
        <v>1654</v>
      </c>
      <c r="B371" s="1" t="s">
        <v>1656</v>
      </c>
      <c r="H371"/>
      <c r="I371"/>
    </row>
    <row r="372" spans="1:9" x14ac:dyDescent="0.25">
      <c r="A372" s="114"/>
      <c r="B372" s="5" t="s">
        <v>1654</v>
      </c>
      <c r="C372" s="3" t="s">
        <v>1655</v>
      </c>
      <c r="D372" s="3" t="s">
        <v>546</v>
      </c>
      <c r="E372" s="36" t="s">
        <v>546</v>
      </c>
      <c r="F372" s="37" t="s">
        <v>920</v>
      </c>
      <c r="G372" s="29">
        <v>0</v>
      </c>
      <c r="H372" s="11">
        <v>139.9</v>
      </c>
      <c r="I372" s="11">
        <v>139.9</v>
      </c>
    </row>
    <row r="373" spans="1:9" x14ac:dyDescent="0.25">
      <c r="A373" s="113" t="s">
        <v>1431</v>
      </c>
      <c r="B373" s="1" t="s">
        <v>1433</v>
      </c>
      <c r="H373"/>
      <c r="I373"/>
    </row>
    <row r="374" spans="1:9" x14ac:dyDescent="0.25">
      <c r="A374" s="114"/>
      <c r="B374" s="5" t="s">
        <v>1431</v>
      </c>
      <c r="C374" s="3" t="s">
        <v>1435</v>
      </c>
      <c r="D374" s="3" t="s">
        <v>572</v>
      </c>
      <c r="E374" s="36" t="s">
        <v>546</v>
      </c>
      <c r="F374" s="37" t="s">
        <v>920</v>
      </c>
      <c r="G374" s="29">
        <v>0</v>
      </c>
      <c r="H374" s="11">
        <v>379.9</v>
      </c>
      <c r="I374" s="11">
        <v>379.9</v>
      </c>
    </row>
    <row r="375" spans="1:9" x14ac:dyDescent="0.25">
      <c r="A375" s="114"/>
      <c r="B375" s="6" t="s">
        <v>1762</v>
      </c>
      <c r="C375" s="4" t="s">
        <v>1767</v>
      </c>
      <c r="D375" s="4" t="s">
        <v>571</v>
      </c>
      <c r="E375" s="41" t="s">
        <v>546</v>
      </c>
      <c r="F375" s="38" t="s">
        <v>920</v>
      </c>
      <c r="G375" s="30">
        <v>0</v>
      </c>
      <c r="H375" s="12">
        <v>379.9</v>
      </c>
      <c r="I375" s="12">
        <v>379.9</v>
      </c>
    </row>
    <row r="376" spans="1:9" x14ac:dyDescent="0.25">
      <c r="A376" s="114"/>
      <c r="B376" s="6" t="s">
        <v>1763</v>
      </c>
      <c r="C376" s="4" t="s">
        <v>1768</v>
      </c>
      <c r="D376" s="4" t="s">
        <v>903</v>
      </c>
      <c r="E376" s="41" t="s">
        <v>546</v>
      </c>
      <c r="F376" s="38" t="s">
        <v>920</v>
      </c>
      <c r="G376" s="30">
        <v>0</v>
      </c>
      <c r="H376" s="12">
        <v>379.9</v>
      </c>
      <c r="I376" s="12">
        <v>379.9</v>
      </c>
    </row>
    <row r="377" spans="1:9" x14ac:dyDescent="0.25">
      <c r="A377" s="114"/>
      <c r="B377" s="6" t="s">
        <v>1764</v>
      </c>
      <c r="C377" s="4" t="s">
        <v>1770</v>
      </c>
      <c r="D377" s="4" t="s">
        <v>1184</v>
      </c>
      <c r="E377" s="41" t="s">
        <v>546</v>
      </c>
      <c r="F377" s="38" t="s">
        <v>920</v>
      </c>
      <c r="G377" s="30">
        <v>0</v>
      </c>
      <c r="H377" s="12">
        <v>379.9</v>
      </c>
      <c r="I377" s="12">
        <v>379.9</v>
      </c>
    </row>
    <row r="378" spans="1:9" x14ac:dyDescent="0.25">
      <c r="A378" s="114"/>
      <c r="B378" s="6" t="s">
        <v>1765</v>
      </c>
      <c r="C378" s="4" t="s">
        <v>1769</v>
      </c>
      <c r="D378" s="4" t="s">
        <v>570</v>
      </c>
      <c r="E378" s="41" t="s">
        <v>546</v>
      </c>
      <c r="F378" s="38" t="s">
        <v>920</v>
      </c>
      <c r="G378" s="30">
        <v>0</v>
      </c>
      <c r="H378" s="12">
        <v>379.9</v>
      </c>
      <c r="I378" s="12">
        <v>379.9</v>
      </c>
    </row>
    <row r="379" spans="1:9" x14ac:dyDescent="0.25">
      <c r="A379" s="114"/>
      <c r="B379" s="6" t="s">
        <v>1766</v>
      </c>
      <c r="C379" s="4" t="s">
        <v>1771</v>
      </c>
      <c r="D379" s="4" t="s">
        <v>562</v>
      </c>
      <c r="E379" s="41" t="s">
        <v>546</v>
      </c>
      <c r="F379" s="38" t="s">
        <v>920</v>
      </c>
      <c r="G379" s="30">
        <v>0</v>
      </c>
      <c r="H379" s="12">
        <v>379.9</v>
      </c>
      <c r="I379" s="12">
        <v>379.9</v>
      </c>
    </row>
    <row r="380" spans="1:9" x14ac:dyDescent="0.25">
      <c r="A380" s="113" t="s">
        <v>122</v>
      </c>
      <c r="B380" s="1" t="s">
        <v>220</v>
      </c>
      <c r="H380"/>
      <c r="I380"/>
    </row>
    <row r="381" spans="1:9" x14ac:dyDescent="0.25">
      <c r="A381" s="114"/>
      <c r="B381" s="5" t="s">
        <v>122</v>
      </c>
      <c r="C381" s="3" t="s">
        <v>373</v>
      </c>
      <c r="D381" s="3" t="s">
        <v>546</v>
      </c>
      <c r="E381" s="36">
        <v>1</v>
      </c>
      <c r="F381" s="37" t="s">
        <v>920</v>
      </c>
      <c r="G381" s="29">
        <v>0</v>
      </c>
      <c r="H381" s="11">
        <v>319.89999999999998</v>
      </c>
      <c r="I381" s="11">
        <v>319.89999999999998</v>
      </c>
    </row>
    <row r="382" spans="1:9" x14ac:dyDescent="0.25">
      <c r="A382" s="115" t="s">
        <v>791</v>
      </c>
      <c r="B382" s="116"/>
      <c r="C382" s="116"/>
      <c r="D382" s="116"/>
      <c r="E382" s="116"/>
      <c r="F382" s="116"/>
      <c r="G382" s="116"/>
      <c r="H382" s="116"/>
      <c r="I382" s="116"/>
    </row>
    <row r="383" spans="1:9" x14ac:dyDescent="0.25">
      <c r="A383" s="10" t="s">
        <v>1418</v>
      </c>
      <c r="B383" s="7"/>
      <c r="C383" s="7"/>
      <c r="D383" s="7"/>
      <c r="E383" s="7"/>
      <c r="F383" s="7"/>
      <c r="G383" s="7"/>
      <c r="H383" s="7"/>
      <c r="I383" s="7"/>
    </row>
    <row r="384" spans="1:9" x14ac:dyDescent="0.25">
      <c r="A384" s="113" t="s">
        <v>1150</v>
      </c>
      <c r="B384" s="1" t="s">
        <v>1151</v>
      </c>
      <c r="H384"/>
      <c r="I384"/>
    </row>
    <row r="385" spans="1:9" x14ac:dyDescent="0.25">
      <c r="A385" s="114"/>
      <c r="B385" s="5" t="s">
        <v>1150</v>
      </c>
      <c r="C385" s="3" t="s">
        <v>1152</v>
      </c>
      <c r="D385" s="3" t="s">
        <v>572</v>
      </c>
      <c r="E385" s="36" t="s">
        <v>546</v>
      </c>
      <c r="F385" s="37" t="s">
        <v>921</v>
      </c>
      <c r="G385" s="29">
        <v>0</v>
      </c>
      <c r="H385" s="11">
        <v>2184.9</v>
      </c>
      <c r="I385" s="11">
        <v>2184.9</v>
      </c>
    </row>
    <row r="386" spans="1:9" x14ac:dyDescent="0.25">
      <c r="A386" s="113" t="s">
        <v>1153</v>
      </c>
      <c r="B386" s="1" t="s">
        <v>1154</v>
      </c>
      <c r="H386"/>
      <c r="I386"/>
    </row>
    <row r="387" spans="1:9" x14ac:dyDescent="0.25">
      <c r="A387" s="114"/>
      <c r="B387" s="5" t="s">
        <v>1153</v>
      </c>
      <c r="C387" s="3" t="s">
        <v>1155</v>
      </c>
      <c r="D387" s="3" t="s">
        <v>572</v>
      </c>
      <c r="E387" s="36" t="s">
        <v>546</v>
      </c>
      <c r="F387" s="37" t="s">
        <v>921</v>
      </c>
      <c r="G387" s="29">
        <v>0</v>
      </c>
      <c r="H387" s="11">
        <v>3374.9</v>
      </c>
      <c r="I387" s="11">
        <v>3374.9</v>
      </c>
    </row>
    <row r="388" spans="1:9" x14ac:dyDescent="0.25">
      <c r="A388" s="113" t="s">
        <v>1202</v>
      </c>
      <c r="B388" s="1" t="s">
        <v>1204</v>
      </c>
      <c r="H388"/>
      <c r="I388"/>
    </row>
    <row r="389" spans="1:9" x14ac:dyDescent="0.25">
      <c r="A389" s="114"/>
      <c r="B389" s="5" t="s">
        <v>1202</v>
      </c>
      <c r="C389" s="3" t="s">
        <v>1203</v>
      </c>
      <c r="D389" s="3" t="s">
        <v>546</v>
      </c>
      <c r="E389" s="36">
        <v>6</v>
      </c>
      <c r="F389" s="37" t="s">
        <v>921</v>
      </c>
      <c r="G389" s="29">
        <v>0</v>
      </c>
      <c r="H389" s="11">
        <v>84.9</v>
      </c>
      <c r="I389" s="11">
        <v>84.9</v>
      </c>
    </row>
    <row r="390" spans="1:9" x14ac:dyDescent="0.25">
      <c r="A390" s="113" t="s">
        <v>790</v>
      </c>
      <c r="B390" s="1" t="s">
        <v>887</v>
      </c>
      <c r="H390"/>
      <c r="I390"/>
    </row>
    <row r="391" spans="1:9" x14ac:dyDescent="0.25">
      <c r="A391" s="114"/>
      <c r="B391" s="5" t="s">
        <v>790</v>
      </c>
      <c r="C391" s="3" t="s">
        <v>792</v>
      </c>
      <c r="D391" s="3" t="s">
        <v>546</v>
      </c>
      <c r="E391" s="36" t="s">
        <v>546</v>
      </c>
      <c r="F391" s="37" t="s">
        <v>921</v>
      </c>
      <c r="G391" s="29">
        <v>0</v>
      </c>
      <c r="H391" s="11">
        <v>22.9</v>
      </c>
      <c r="I391" s="11">
        <v>22.9</v>
      </c>
    </row>
    <row r="392" spans="1:9" x14ac:dyDescent="0.25">
      <c r="A392" s="113" t="s">
        <v>118</v>
      </c>
      <c r="B392" s="1" t="s">
        <v>221</v>
      </c>
      <c r="H392"/>
      <c r="I392"/>
    </row>
    <row r="393" spans="1:9" x14ac:dyDescent="0.25">
      <c r="A393" s="114"/>
      <c r="B393" s="5" t="s">
        <v>118</v>
      </c>
      <c r="C393" s="3" t="s">
        <v>376</v>
      </c>
      <c r="D393" s="3" t="s">
        <v>546</v>
      </c>
      <c r="E393" s="36">
        <v>24</v>
      </c>
      <c r="F393" s="37" t="s">
        <v>921</v>
      </c>
      <c r="G393" s="29">
        <v>0</v>
      </c>
      <c r="H393" s="11">
        <v>187.9</v>
      </c>
      <c r="I393" s="11">
        <v>187.9</v>
      </c>
    </row>
    <row r="394" spans="1:9" x14ac:dyDescent="0.25">
      <c r="A394" s="113" t="s">
        <v>119</v>
      </c>
      <c r="B394" s="1" t="s">
        <v>222</v>
      </c>
      <c r="H394"/>
      <c r="I394"/>
    </row>
    <row r="395" spans="1:9" x14ac:dyDescent="0.25">
      <c r="A395" s="114"/>
      <c r="B395" s="5" t="s">
        <v>119</v>
      </c>
      <c r="C395" s="3" t="s">
        <v>377</v>
      </c>
      <c r="D395" s="3" t="s">
        <v>546</v>
      </c>
      <c r="E395" s="36">
        <v>6</v>
      </c>
      <c r="F395" s="37" t="s">
        <v>921</v>
      </c>
      <c r="G395" s="29">
        <v>0</v>
      </c>
      <c r="H395" s="11">
        <v>439.9</v>
      </c>
      <c r="I395" s="11">
        <v>439.9</v>
      </c>
    </row>
    <row r="396" spans="1:9" x14ac:dyDescent="0.25">
      <c r="A396" s="113" t="s">
        <v>522</v>
      </c>
      <c r="B396" s="1" t="s">
        <v>803</v>
      </c>
      <c r="H396"/>
      <c r="I396"/>
    </row>
    <row r="397" spans="1:9" x14ac:dyDescent="0.25">
      <c r="A397" s="114"/>
      <c r="B397" s="5" t="s">
        <v>522</v>
      </c>
      <c r="C397" s="3" t="s">
        <v>523</v>
      </c>
      <c r="D397" s="3" t="s">
        <v>572</v>
      </c>
      <c r="E397" s="36">
        <v>3</v>
      </c>
      <c r="F397" s="37" t="s">
        <v>921</v>
      </c>
      <c r="G397" s="29">
        <v>0</v>
      </c>
      <c r="H397" s="11">
        <v>1379.9</v>
      </c>
      <c r="I397" s="11">
        <v>1379.9</v>
      </c>
    </row>
    <row r="398" spans="1:9" x14ac:dyDescent="0.25">
      <c r="A398" s="114"/>
      <c r="B398" s="6" t="s">
        <v>524</v>
      </c>
      <c r="C398" s="4" t="s">
        <v>527</v>
      </c>
      <c r="D398" s="4" t="s">
        <v>570</v>
      </c>
      <c r="E398" s="41">
        <v>3</v>
      </c>
      <c r="F398" s="38" t="s">
        <v>921</v>
      </c>
      <c r="G398" s="30">
        <v>0</v>
      </c>
      <c r="H398" s="12">
        <v>1379.9</v>
      </c>
      <c r="I398" s="12">
        <v>1379.9</v>
      </c>
    </row>
    <row r="399" spans="1:9" x14ac:dyDescent="0.25">
      <c r="A399" s="114"/>
      <c r="B399" s="6" t="s">
        <v>525</v>
      </c>
      <c r="C399" s="4" t="s">
        <v>526</v>
      </c>
      <c r="D399" s="4" t="s">
        <v>571</v>
      </c>
      <c r="E399" s="41">
        <v>3</v>
      </c>
      <c r="F399" s="38" t="s">
        <v>921</v>
      </c>
      <c r="G399" s="30">
        <v>0</v>
      </c>
      <c r="H399" s="12">
        <v>1379.9</v>
      </c>
      <c r="I399" s="12">
        <v>1379.9</v>
      </c>
    </row>
    <row r="400" spans="1:9" x14ac:dyDescent="0.25">
      <c r="A400" s="114"/>
      <c r="B400" s="6" t="s">
        <v>804</v>
      </c>
      <c r="C400" s="4" t="s">
        <v>805</v>
      </c>
      <c r="D400" s="4" t="s">
        <v>562</v>
      </c>
      <c r="E400" s="41">
        <v>3</v>
      </c>
      <c r="F400" s="38" t="s">
        <v>921</v>
      </c>
      <c r="G400" s="30">
        <v>0</v>
      </c>
      <c r="H400" s="12">
        <v>1379.9</v>
      </c>
      <c r="I400" s="12">
        <v>1379.9</v>
      </c>
    </row>
    <row r="401" spans="1:9" x14ac:dyDescent="0.25">
      <c r="A401" s="114"/>
      <c r="B401" s="6" t="s">
        <v>1292</v>
      </c>
      <c r="C401" s="4" t="s">
        <v>1293</v>
      </c>
      <c r="D401" s="4" t="s">
        <v>1184</v>
      </c>
      <c r="E401" s="41">
        <v>3</v>
      </c>
      <c r="F401" s="38" t="s">
        <v>921</v>
      </c>
      <c r="G401" s="30">
        <v>0</v>
      </c>
      <c r="H401" s="12">
        <v>1379.9</v>
      </c>
      <c r="I401" s="12">
        <v>1379.9</v>
      </c>
    </row>
    <row r="402" spans="1:9" x14ac:dyDescent="0.25">
      <c r="A402" s="114"/>
      <c r="B402" s="6" t="s">
        <v>1772</v>
      </c>
      <c r="C402" s="4" t="s">
        <v>1773</v>
      </c>
      <c r="D402" s="4" t="s">
        <v>575</v>
      </c>
      <c r="E402" s="41" t="s">
        <v>546</v>
      </c>
      <c r="F402" s="38" t="s">
        <v>921</v>
      </c>
      <c r="G402" s="30">
        <v>0</v>
      </c>
      <c r="H402" s="12">
        <v>1379.9</v>
      </c>
      <c r="I402" s="12">
        <v>1379.9</v>
      </c>
    </row>
    <row r="403" spans="1:9" x14ac:dyDescent="0.25">
      <c r="A403" s="113" t="s">
        <v>1175</v>
      </c>
      <c r="B403" s="1" t="s">
        <v>1176</v>
      </c>
      <c r="H403"/>
      <c r="I403"/>
    </row>
    <row r="404" spans="1:9" x14ac:dyDescent="0.25">
      <c r="A404" s="114"/>
      <c r="B404" s="5" t="s">
        <v>1175</v>
      </c>
      <c r="C404" s="3" t="s">
        <v>1177</v>
      </c>
      <c r="D404" s="3" t="s">
        <v>546</v>
      </c>
      <c r="E404" s="36" t="s">
        <v>546</v>
      </c>
      <c r="F404" s="37" t="s">
        <v>921</v>
      </c>
      <c r="G404" s="29">
        <v>0</v>
      </c>
      <c r="H404" s="11">
        <v>64.900000000000006</v>
      </c>
      <c r="I404" s="11">
        <v>64.900000000000006</v>
      </c>
    </row>
    <row r="405" spans="1:9" x14ac:dyDescent="0.25">
      <c r="A405" s="115" t="s">
        <v>306</v>
      </c>
      <c r="B405" s="116"/>
      <c r="C405" s="116"/>
      <c r="D405" s="116"/>
      <c r="E405" s="116"/>
      <c r="F405" s="116"/>
      <c r="G405" s="116"/>
      <c r="H405" s="116"/>
      <c r="I405" s="116"/>
    </row>
    <row r="406" spans="1:9" x14ac:dyDescent="0.25">
      <c r="A406" s="10" t="s">
        <v>1418</v>
      </c>
      <c r="B406" s="7"/>
      <c r="C406" s="7"/>
      <c r="D406" s="7"/>
      <c r="E406" s="7"/>
      <c r="F406" s="7"/>
      <c r="G406" s="7"/>
      <c r="H406" s="7"/>
      <c r="I406" s="7"/>
    </row>
    <row r="407" spans="1:9" x14ac:dyDescent="0.25">
      <c r="A407" s="113" t="s">
        <v>116</v>
      </c>
      <c r="B407" s="1" t="s">
        <v>226</v>
      </c>
      <c r="H407"/>
      <c r="I407"/>
    </row>
    <row r="408" spans="1:9" x14ac:dyDescent="0.25">
      <c r="A408" s="114"/>
      <c r="B408" s="5" t="s">
        <v>116</v>
      </c>
      <c r="C408" s="3" t="s">
        <v>378</v>
      </c>
      <c r="D408" s="3" t="s">
        <v>545</v>
      </c>
      <c r="E408" s="36">
        <v>24</v>
      </c>
      <c r="F408" s="37" t="s">
        <v>922</v>
      </c>
      <c r="G408" s="29">
        <v>0</v>
      </c>
      <c r="H408" s="11">
        <v>104.9</v>
      </c>
      <c r="I408" s="11">
        <v>104.9</v>
      </c>
    </row>
    <row r="409" spans="1:9" x14ac:dyDescent="0.25">
      <c r="A409" s="113" t="s">
        <v>42</v>
      </c>
      <c r="B409" s="1" t="s">
        <v>227</v>
      </c>
      <c r="H409"/>
      <c r="I409"/>
    </row>
    <row r="410" spans="1:9" x14ac:dyDescent="0.25">
      <c r="A410" s="114"/>
      <c r="B410" s="5" t="s">
        <v>42</v>
      </c>
      <c r="C410" s="3" t="s">
        <v>379</v>
      </c>
      <c r="D410" s="3" t="s">
        <v>546</v>
      </c>
      <c r="E410" s="36">
        <v>1</v>
      </c>
      <c r="F410" s="37" t="s">
        <v>922</v>
      </c>
      <c r="G410" s="29">
        <v>0</v>
      </c>
      <c r="H410" s="11">
        <v>145.9</v>
      </c>
      <c r="I410" s="11">
        <v>145.9</v>
      </c>
    </row>
    <row r="411" spans="1:9" x14ac:dyDescent="0.25">
      <c r="A411" s="113" t="s">
        <v>43</v>
      </c>
      <c r="B411" s="1" t="s">
        <v>237</v>
      </c>
      <c r="H411"/>
      <c r="I411"/>
    </row>
    <row r="412" spans="1:9" x14ac:dyDescent="0.25">
      <c r="A412" s="114"/>
      <c r="B412" s="5" t="s">
        <v>43</v>
      </c>
      <c r="C412" s="3" t="s">
        <v>380</v>
      </c>
      <c r="D412" s="3" t="s">
        <v>546</v>
      </c>
      <c r="E412" s="36">
        <v>1</v>
      </c>
      <c r="F412" s="37" t="s">
        <v>922</v>
      </c>
      <c r="G412" s="29">
        <v>0</v>
      </c>
      <c r="H412" s="11">
        <v>41.9</v>
      </c>
      <c r="I412" s="11">
        <v>41.9</v>
      </c>
    </row>
    <row r="413" spans="1:9" x14ac:dyDescent="0.25">
      <c r="A413" s="113" t="s">
        <v>117</v>
      </c>
      <c r="B413" s="1" t="s">
        <v>228</v>
      </c>
      <c r="H413"/>
      <c r="I413"/>
    </row>
    <row r="414" spans="1:9" x14ac:dyDescent="0.25">
      <c r="A414" s="114"/>
      <c r="B414" s="5" t="s">
        <v>117</v>
      </c>
      <c r="C414" s="3" t="s">
        <v>381</v>
      </c>
      <c r="D414" s="3" t="s">
        <v>545</v>
      </c>
      <c r="E414" s="36">
        <v>24</v>
      </c>
      <c r="F414" s="37" t="s">
        <v>922</v>
      </c>
      <c r="G414" s="29">
        <v>0</v>
      </c>
      <c r="H414" s="11">
        <v>104.9</v>
      </c>
      <c r="I414" s="11">
        <v>104.9</v>
      </c>
    </row>
    <row r="415" spans="1:9" x14ac:dyDescent="0.25">
      <c r="A415" s="113" t="s">
        <v>157</v>
      </c>
      <c r="B415" s="1" t="s">
        <v>229</v>
      </c>
      <c r="H415"/>
      <c r="I415"/>
    </row>
    <row r="416" spans="1:9" x14ac:dyDescent="0.25">
      <c r="A416" s="114"/>
      <c r="B416" s="5" t="s">
        <v>157</v>
      </c>
      <c r="C416" s="3" t="s">
        <v>382</v>
      </c>
      <c r="D416" s="3" t="s">
        <v>546</v>
      </c>
      <c r="E416" s="36" t="s">
        <v>546</v>
      </c>
      <c r="F416" s="37" t="s">
        <v>922</v>
      </c>
      <c r="G416" s="29">
        <v>0</v>
      </c>
      <c r="H416" s="11">
        <v>62.9</v>
      </c>
      <c r="I416" s="11">
        <v>62.9</v>
      </c>
    </row>
    <row r="417" spans="1:9" x14ac:dyDescent="0.25">
      <c r="A417" s="113" t="s">
        <v>929</v>
      </c>
      <c r="B417" s="1" t="s">
        <v>223</v>
      </c>
      <c r="H417"/>
      <c r="I417"/>
    </row>
    <row r="418" spans="1:9" x14ac:dyDescent="0.25">
      <c r="A418" s="114"/>
      <c r="B418" s="5" t="s">
        <v>929</v>
      </c>
      <c r="C418" s="3" t="s">
        <v>941</v>
      </c>
      <c r="D418" s="3" t="s">
        <v>545</v>
      </c>
      <c r="E418" s="36">
        <v>12</v>
      </c>
      <c r="F418" s="37" t="s">
        <v>922</v>
      </c>
      <c r="G418" s="29">
        <v>0</v>
      </c>
      <c r="H418" s="11">
        <v>279.89999999999998</v>
      </c>
      <c r="I418" s="11">
        <v>279.89999999999998</v>
      </c>
    </row>
    <row r="419" spans="1:9" x14ac:dyDescent="0.25">
      <c r="A419" s="114"/>
      <c r="B419" s="6" t="s">
        <v>1366</v>
      </c>
      <c r="C419" s="4" t="s">
        <v>1385</v>
      </c>
      <c r="D419" s="4" t="s">
        <v>1380</v>
      </c>
      <c r="E419" s="41">
        <v>12</v>
      </c>
      <c r="F419" s="38" t="s">
        <v>922</v>
      </c>
      <c r="G419" s="30">
        <v>0</v>
      </c>
      <c r="H419" s="12">
        <v>279.89999999999998</v>
      </c>
      <c r="I419" s="12">
        <v>279.89999999999998</v>
      </c>
    </row>
    <row r="420" spans="1:9" x14ac:dyDescent="0.25">
      <c r="A420" s="114"/>
      <c r="B420" s="6" t="s">
        <v>1647</v>
      </c>
      <c r="C420" s="4" t="s">
        <v>1648</v>
      </c>
      <c r="D420" s="4" t="s">
        <v>571</v>
      </c>
      <c r="E420" s="41">
        <v>12</v>
      </c>
      <c r="F420" s="38" t="s">
        <v>922</v>
      </c>
      <c r="G420" s="30">
        <v>0</v>
      </c>
      <c r="H420" s="12">
        <v>279.89999999999998</v>
      </c>
      <c r="I420" s="12">
        <v>279.89999999999998</v>
      </c>
    </row>
    <row r="421" spans="1:9" x14ac:dyDescent="0.25">
      <c r="A421" s="113" t="s">
        <v>732</v>
      </c>
      <c r="B421" s="1" t="s">
        <v>224</v>
      </c>
      <c r="H421"/>
      <c r="I421"/>
    </row>
    <row r="422" spans="1:9" x14ac:dyDescent="0.25">
      <c r="A422" s="114"/>
      <c r="B422" s="5" t="s">
        <v>732</v>
      </c>
      <c r="C422" s="3" t="s">
        <v>733</v>
      </c>
      <c r="D422" s="3" t="s">
        <v>572</v>
      </c>
      <c r="E422" s="36">
        <v>3</v>
      </c>
      <c r="F422" s="37" t="s">
        <v>922</v>
      </c>
      <c r="G422" s="29">
        <v>0</v>
      </c>
      <c r="H422" s="11">
        <v>769.9</v>
      </c>
      <c r="I422" s="11">
        <v>769.9</v>
      </c>
    </row>
    <row r="423" spans="1:9" x14ac:dyDescent="0.25">
      <c r="A423" s="114"/>
      <c r="B423" s="6" t="s">
        <v>1425</v>
      </c>
      <c r="C423" s="4" t="s">
        <v>580</v>
      </c>
      <c r="D423" s="4" t="s">
        <v>575</v>
      </c>
      <c r="E423" s="41" t="s">
        <v>546</v>
      </c>
      <c r="F423" s="38" t="s">
        <v>922</v>
      </c>
      <c r="G423" s="30">
        <v>0</v>
      </c>
      <c r="H423" s="12">
        <v>769.9</v>
      </c>
      <c r="I423" s="12">
        <v>769.9</v>
      </c>
    </row>
    <row r="424" spans="1:9" x14ac:dyDescent="0.25">
      <c r="A424" s="114"/>
      <c r="B424" s="6" t="s">
        <v>1774</v>
      </c>
      <c r="C424" s="4" t="s">
        <v>1775</v>
      </c>
      <c r="D424" s="4" t="s">
        <v>570</v>
      </c>
      <c r="E424" s="41" t="s">
        <v>546</v>
      </c>
      <c r="F424" s="38" t="s">
        <v>922</v>
      </c>
      <c r="G424" s="30">
        <v>0</v>
      </c>
      <c r="H424" s="12">
        <v>769.9</v>
      </c>
      <c r="I424" s="12">
        <v>769.9</v>
      </c>
    </row>
    <row r="425" spans="1:9" x14ac:dyDescent="0.25">
      <c r="A425" s="113" t="s">
        <v>895</v>
      </c>
      <c r="B425" s="1" t="s">
        <v>225</v>
      </c>
      <c r="H425"/>
      <c r="I425"/>
    </row>
    <row r="426" spans="1:9" x14ac:dyDescent="0.25">
      <c r="A426" s="114"/>
      <c r="B426" s="5" t="s">
        <v>895</v>
      </c>
      <c r="C426" s="3" t="s">
        <v>896</v>
      </c>
      <c r="D426" s="3" t="s">
        <v>572</v>
      </c>
      <c r="E426" s="36">
        <v>3</v>
      </c>
      <c r="F426" s="37" t="s">
        <v>922</v>
      </c>
      <c r="G426" s="29">
        <v>0</v>
      </c>
      <c r="H426" s="11">
        <v>479.9</v>
      </c>
      <c r="I426" s="11">
        <v>479.9</v>
      </c>
    </row>
    <row r="427" spans="1:9" x14ac:dyDescent="0.25">
      <c r="A427" s="114"/>
      <c r="B427" s="6" t="s">
        <v>1414</v>
      </c>
      <c r="C427" s="4" t="s">
        <v>1417</v>
      </c>
      <c r="D427" s="4" t="s">
        <v>570</v>
      </c>
      <c r="E427" s="41">
        <v>3</v>
      </c>
      <c r="F427" s="38" t="s">
        <v>922</v>
      </c>
      <c r="G427" s="30">
        <v>0</v>
      </c>
      <c r="H427" s="12">
        <v>479.9</v>
      </c>
      <c r="I427" s="12">
        <v>479.9</v>
      </c>
    </row>
    <row r="428" spans="1:9" x14ac:dyDescent="0.25">
      <c r="A428" s="114"/>
      <c r="B428" s="6" t="s">
        <v>1415</v>
      </c>
      <c r="C428" s="4" t="s">
        <v>1416</v>
      </c>
      <c r="D428" s="4" t="s">
        <v>575</v>
      </c>
      <c r="E428" s="41">
        <v>3</v>
      </c>
      <c r="F428" s="38" t="s">
        <v>922</v>
      </c>
      <c r="G428" s="30">
        <v>0</v>
      </c>
      <c r="H428" s="12">
        <v>479.9</v>
      </c>
      <c r="I428" s="12">
        <v>479.9</v>
      </c>
    </row>
    <row r="429" spans="1:9" x14ac:dyDescent="0.25">
      <c r="A429" s="115" t="s">
        <v>310</v>
      </c>
      <c r="B429" s="116"/>
      <c r="C429" s="116"/>
      <c r="D429" s="116"/>
      <c r="E429" s="116"/>
      <c r="F429" s="116"/>
      <c r="G429" s="116"/>
      <c r="H429" s="116"/>
      <c r="I429" s="116"/>
    </row>
    <row r="430" spans="1:9" x14ac:dyDescent="0.25">
      <c r="A430" s="10" t="s">
        <v>1418</v>
      </c>
      <c r="B430" s="7"/>
      <c r="C430" s="7"/>
      <c r="D430" s="7"/>
      <c r="E430" s="7"/>
      <c r="F430" s="7"/>
      <c r="G430" s="7"/>
      <c r="H430" s="7"/>
      <c r="I430" s="7"/>
    </row>
    <row r="431" spans="1:9" x14ac:dyDescent="0.25">
      <c r="A431" s="113" t="s">
        <v>1835</v>
      </c>
      <c r="B431" s="1" t="s">
        <v>1836</v>
      </c>
      <c r="H431"/>
      <c r="I431"/>
    </row>
    <row r="432" spans="1:9" x14ac:dyDescent="0.25">
      <c r="A432" s="114"/>
      <c r="B432" s="5" t="s">
        <v>1835</v>
      </c>
      <c r="C432" s="3" t="s">
        <v>1837</v>
      </c>
      <c r="D432" s="3" t="s">
        <v>546</v>
      </c>
      <c r="E432" s="36" t="s">
        <v>546</v>
      </c>
      <c r="F432" s="37" t="s">
        <v>1196</v>
      </c>
      <c r="G432" s="29" t="s">
        <v>546</v>
      </c>
      <c r="H432" s="11">
        <v>45.9</v>
      </c>
      <c r="I432" s="11">
        <v>45.9</v>
      </c>
    </row>
    <row r="433" spans="1:9" x14ac:dyDescent="0.25">
      <c r="A433" s="113" t="s">
        <v>1783</v>
      </c>
      <c r="B433" s="1" t="s">
        <v>1797</v>
      </c>
      <c r="H433"/>
      <c r="I433"/>
    </row>
    <row r="434" spans="1:9" x14ac:dyDescent="0.25">
      <c r="A434" s="114"/>
      <c r="B434" s="5" t="s">
        <v>1783</v>
      </c>
      <c r="C434" s="3" t="s">
        <v>1811</v>
      </c>
      <c r="D434" s="3" t="s">
        <v>546</v>
      </c>
      <c r="E434" s="36" t="s">
        <v>546</v>
      </c>
      <c r="F434" s="37" t="s">
        <v>1196</v>
      </c>
      <c r="G434" s="29" t="s">
        <v>1197</v>
      </c>
      <c r="H434" s="11">
        <v>19.899999999999999</v>
      </c>
      <c r="I434" s="11">
        <v>19.899999999999999</v>
      </c>
    </row>
    <row r="435" spans="1:9" x14ac:dyDescent="0.25">
      <c r="A435" s="113" t="s">
        <v>1785</v>
      </c>
      <c r="B435" s="1" t="s">
        <v>1799</v>
      </c>
      <c r="H435"/>
      <c r="I435"/>
    </row>
    <row r="436" spans="1:9" x14ac:dyDescent="0.25">
      <c r="A436" s="114"/>
      <c r="B436" s="5" t="s">
        <v>1785</v>
      </c>
      <c r="C436" s="3" t="s">
        <v>1813</v>
      </c>
      <c r="D436" s="3" t="s">
        <v>546</v>
      </c>
      <c r="E436" s="36" t="s">
        <v>546</v>
      </c>
      <c r="F436" s="37" t="s">
        <v>1196</v>
      </c>
      <c r="G436" s="29" t="s">
        <v>1197</v>
      </c>
      <c r="H436" s="11">
        <v>19.899999999999999</v>
      </c>
      <c r="I436" s="11">
        <v>19.899999999999999</v>
      </c>
    </row>
    <row r="437" spans="1:9" x14ac:dyDescent="0.25">
      <c r="A437" s="113" t="s">
        <v>1786</v>
      </c>
      <c r="B437" s="1" t="s">
        <v>1800</v>
      </c>
      <c r="H437"/>
      <c r="I437"/>
    </row>
    <row r="438" spans="1:9" x14ac:dyDescent="0.25">
      <c r="A438" s="114"/>
      <c r="B438" s="5" t="s">
        <v>1786</v>
      </c>
      <c r="C438" s="3" t="s">
        <v>1814</v>
      </c>
      <c r="D438" s="3" t="s">
        <v>546</v>
      </c>
      <c r="E438" s="36" t="s">
        <v>546</v>
      </c>
      <c r="F438" s="37" t="s">
        <v>1196</v>
      </c>
      <c r="G438" s="29" t="s">
        <v>1197</v>
      </c>
      <c r="H438" s="11">
        <v>19.899999999999999</v>
      </c>
      <c r="I438" s="11">
        <v>19.899999999999999</v>
      </c>
    </row>
    <row r="439" spans="1:9" x14ac:dyDescent="0.25">
      <c r="A439" s="113" t="s">
        <v>1787</v>
      </c>
      <c r="B439" s="1" t="s">
        <v>1801</v>
      </c>
      <c r="H439"/>
      <c r="I439"/>
    </row>
    <row r="440" spans="1:9" x14ac:dyDescent="0.25">
      <c r="A440" s="114"/>
      <c r="B440" s="5" t="s">
        <v>1787</v>
      </c>
      <c r="C440" s="3" t="s">
        <v>1815</v>
      </c>
      <c r="D440" s="3" t="s">
        <v>546</v>
      </c>
      <c r="E440" s="36" t="s">
        <v>546</v>
      </c>
      <c r="F440" s="37" t="s">
        <v>1196</v>
      </c>
      <c r="G440" s="29" t="s">
        <v>1197</v>
      </c>
      <c r="H440" s="11">
        <v>19.899999999999999</v>
      </c>
      <c r="I440" s="11">
        <v>19.899999999999999</v>
      </c>
    </row>
    <row r="441" spans="1:9" x14ac:dyDescent="0.25">
      <c r="A441" s="113" t="s">
        <v>1788</v>
      </c>
      <c r="B441" s="1" t="s">
        <v>1802</v>
      </c>
      <c r="H441"/>
      <c r="I441"/>
    </row>
    <row r="442" spans="1:9" x14ac:dyDescent="0.25">
      <c r="A442" s="114"/>
      <c r="B442" s="5" t="s">
        <v>1788</v>
      </c>
      <c r="C442" s="3" t="s">
        <v>1816</v>
      </c>
      <c r="D442" s="3" t="s">
        <v>546</v>
      </c>
      <c r="E442" s="36" t="s">
        <v>546</v>
      </c>
      <c r="F442" s="37" t="s">
        <v>1196</v>
      </c>
      <c r="G442" s="29" t="s">
        <v>1197</v>
      </c>
      <c r="H442" s="11">
        <v>39.9</v>
      </c>
      <c r="I442" s="11">
        <v>39.9</v>
      </c>
    </row>
    <row r="443" spans="1:9" x14ac:dyDescent="0.25">
      <c r="A443" s="113" t="s">
        <v>1789</v>
      </c>
      <c r="B443" s="1" t="s">
        <v>1804</v>
      </c>
      <c r="H443"/>
      <c r="I443"/>
    </row>
    <row r="444" spans="1:9" x14ac:dyDescent="0.25">
      <c r="A444" s="114"/>
      <c r="B444" s="5" t="s">
        <v>1789</v>
      </c>
      <c r="C444" s="3" t="s">
        <v>1817</v>
      </c>
      <c r="D444" s="3" t="s">
        <v>546</v>
      </c>
      <c r="E444" s="36" t="s">
        <v>546</v>
      </c>
      <c r="F444" s="37" t="s">
        <v>1196</v>
      </c>
      <c r="G444" s="29" t="s">
        <v>1197</v>
      </c>
      <c r="H444" s="11">
        <v>39.9</v>
      </c>
      <c r="I444" s="11">
        <v>39.9</v>
      </c>
    </row>
    <row r="445" spans="1:9" x14ac:dyDescent="0.25">
      <c r="A445" s="113" t="s">
        <v>1790</v>
      </c>
      <c r="B445" s="1" t="s">
        <v>1805</v>
      </c>
      <c r="H445"/>
      <c r="I445"/>
    </row>
    <row r="446" spans="1:9" x14ac:dyDescent="0.25">
      <c r="A446" s="114"/>
      <c r="B446" s="5" t="s">
        <v>1790</v>
      </c>
      <c r="C446" s="3" t="s">
        <v>1818</v>
      </c>
      <c r="D446" s="3" t="s">
        <v>546</v>
      </c>
      <c r="E446" s="36" t="s">
        <v>546</v>
      </c>
      <c r="F446" s="37" t="s">
        <v>1196</v>
      </c>
      <c r="G446" s="29" t="s">
        <v>1197</v>
      </c>
      <c r="H446" s="11">
        <v>39.9</v>
      </c>
      <c r="I446" s="11">
        <v>39.9</v>
      </c>
    </row>
    <row r="447" spans="1:9" x14ac:dyDescent="0.25">
      <c r="A447" s="113" t="s">
        <v>1791</v>
      </c>
      <c r="B447" s="1" t="s">
        <v>1806</v>
      </c>
      <c r="H447"/>
      <c r="I447"/>
    </row>
    <row r="448" spans="1:9" x14ac:dyDescent="0.25">
      <c r="A448" s="114"/>
      <c r="B448" s="5" t="s">
        <v>1791</v>
      </c>
      <c r="C448" s="3" t="s">
        <v>1819</v>
      </c>
      <c r="D448" s="3" t="s">
        <v>546</v>
      </c>
      <c r="E448" s="36" t="s">
        <v>546</v>
      </c>
      <c r="F448" s="37" t="s">
        <v>1196</v>
      </c>
      <c r="G448" s="29" t="s">
        <v>1197</v>
      </c>
      <c r="H448" s="11">
        <v>39.9</v>
      </c>
      <c r="I448" s="11">
        <v>39.9</v>
      </c>
    </row>
    <row r="449" spans="1:9" x14ac:dyDescent="0.25">
      <c r="A449" s="113" t="s">
        <v>1792</v>
      </c>
      <c r="B449" s="1" t="s">
        <v>1807</v>
      </c>
      <c r="H449"/>
      <c r="I449"/>
    </row>
    <row r="450" spans="1:9" x14ac:dyDescent="0.25">
      <c r="A450" s="114"/>
      <c r="B450" s="5" t="s">
        <v>1792</v>
      </c>
      <c r="C450" s="3" t="s">
        <v>1820</v>
      </c>
      <c r="D450" s="3" t="s">
        <v>546</v>
      </c>
      <c r="E450" s="36" t="s">
        <v>546</v>
      </c>
      <c r="F450" s="37" t="s">
        <v>1196</v>
      </c>
      <c r="G450" s="29" t="s">
        <v>1197</v>
      </c>
      <c r="H450" s="11">
        <v>39.9</v>
      </c>
      <c r="I450" s="11">
        <v>39.9</v>
      </c>
    </row>
    <row r="451" spans="1:9" x14ac:dyDescent="0.25">
      <c r="A451" s="113" t="s">
        <v>1793</v>
      </c>
      <c r="B451" s="1" t="s">
        <v>1808</v>
      </c>
      <c r="H451"/>
      <c r="I451"/>
    </row>
    <row r="452" spans="1:9" x14ac:dyDescent="0.25">
      <c r="A452" s="114"/>
      <c r="B452" s="5" t="s">
        <v>1793</v>
      </c>
      <c r="C452" s="3" t="s">
        <v>1821</v>
      </c>
      <c r="D452" s="3" t="s">
        <v>546</v>
      </c>
      <c r="E452" s="36" t="s">
        <v>546</v>
      </c>
      <c r="F452" s="37" t="s">
        <v>1196</v>
      </c>
      <c r="G452" s="29" t="s">
        <v>1197</v>
      </c>
      <c r="H452" s="11">
        <v>39.9</v>
      </c>
      <c r="I452" s="11">
        <v>39.9</v>
      </c>
    </row>
    <row r="453" spans="1:9" x14ac:dyDescent="0.25">
      <c r="A453" s="113" t="s">
        <v>1794</v>
      </c>
      <c r="B453" s="1" t="s">
        <v>1809</v>
      </c>
      <c r="H453"/>
      <c r="I453"/>
    </row>
    <row r="454" spans="1:9" x14ac:dyDescent="0.25">
      <c r="A454" s="114"/>
      <c r="B454" s="5" t="s">
        <v>1794</v>
      </c>
      <c r="C454" s="3" t="s">
        <v>1822</v>
      </c>
      <c r="D454" s="3" t="s">
        <v>546</v>
      </c>
      <c r="E454" s="36" t="s">
        <v>546</v>
      </c>
      <c r="F454" s="37" t="s">
        <v>1196</v>
      </c>
      <c r="G454" s="29" t="s">
        <v>1197</v>
      </c>
      <c r="H454" s="11">
        <v>39.9</v>
      </c>
      <c r="I454" s="11">
        <v>39.9</v>
      </c>
    </row>
    <row r="455" spans="1:9" x14ac:dyDescent="0.25">
      <c r="A455" s="113" t="s">
        <v>1795</v>
      </c>
      <c r="B455" s="1" t="s">
        <v>1803</v>
      </c>
      <c r="H455"/>
      <c r="I455"/>
    </row>
    <row r="456" spans="1:9" x14ac:dyDescent="0.25">
      <c r="A456" s="114"/>
      <c r="B456" s="5" t="s">
        <v>1795</v>
      </c>
      <c r="C456" s="3" t="s">
        <v>1823</v>
      </c>
      <c r="D456" s="3" t="s">
        <v>546</v>
      </c>
      <c r="E456" s="36" t="s">
        <v>546</v>
      </c>
      <c r="F456" s="37" t="s">
        <v>1196</v>
      </c>
      <c r="G456" s="29" t="s">
        <v>1197</v>
      </c>
      <c r="H456" s="11">
        <v>14.9</v>
      </c>
      <c r="I456" s="11">
        <v>14.9</v>
      </c>
    </row>
    <row r="457" spans="1:9" x14ac:dyDescent="0.25">
      <c r="A457" s="10" t="s">
        <v>546</v>
      </c>
      <c r="B457" s="7"/>
      <c r="C457" s="7"/>
      <c r="D457" s="7"/>
      <c r="E457" s="7"/>
      <c r="F457" s="7"/>
      <c r="G457" s="7"/>
      <c r="H457" s="7"/>
      <c r="I457" s="7"/>
    </row>
    <row r="458" spans="1:9" x14ac:dyDescent="0.25">
      <c r="A458" s="113" t="s">
        <v>3</v>
      </c>
      <c r="B458" s="1" t="s">
        <v>167</v>
      </c>
      <c r="H458"/>
      <c r="I458"/>
    </row>
    <row r="459" spans="1:9" x14ac:dyDescent="0.25">
      <c r="A459" s="114"/>
      <c r="B459" s="5" t="s">
        <v>3</v>
      </c>
      <c r="C459" s="3" t="s">
        <v>383</v>
      </c>
      <c r="D459" s="3" t="s">
        <v>570</v>
      </c>
      <c r="E459" s="36">
        <v>1</v>
      </c>
      <c r="F459" s="37" t="s">
        <v>918</v>
      </c>
      <c r="G459" s="29">
        <v>0</v>
      </c>
      <c r="H459" s="11">
        <v>6.5</v>
      </c>
      <c r="I459" s="11">
        <v>6.5</v>
      </c>
    </row>
    <row r="460" spans="1:9" x14ac:dyDescent="0.25">
      <c r="A460" s="113" t="s">
        <v>5</v>
      </c>
      <c r="B460" s="1" t="s">
        <v>168</v>
      </c>
      <c r="H460"/>
      <c r="I460"/>
    </row>
    <row r="461" spans="1:9" x14ac:dyDescent="0.25">
      <c r="A461" s="114"/>
      <c r="B461" s="5" t="s">
        <v>5</v>
      </c>
      <c r="C461" s="3" t="s">
        <v>384</v>
      </c>
      <c r="D461" s="3" t="s">
        <v>562</v>
      </c>
      <c r="E461" s="36">
        <v>1</v>
      </c>
      <c r="F461" s="37" t="s">
        <v>918</v>
      </c>
      <c r="G461" s="29">
        <v>0</v>
      </c>
      <c r="H461" s="11">
        <v>6.5</v>
      </c>
      <c r="I461" s="11">
        <v>6.5</v>
      </c>
    </row>
    <row r="462" spans="1:9" x14ac:dyDescent="0.25">
      <c r="A462" s="113" t="s">
        <v>130</v>
      </c>
      <c r="B462" s="1" t="s">
        <v>169</v>
      </c>
      <c r="H462"/>
      <c r="I462"/>
    </row>
    <row r="463" spans="1:9" x14ac:dyDescent="0.25">
      <c r="A463" s="114"/>
      <c r="B463" s="5" t="s">
        <v>130</v>
      </c>
      <c r="C463" s="3" t="s">
        <v>385</v>
      </c>
      <c r="D463" s="3" t="s">
        <v>571</v>
      </c>
      <c r="E463" s="36">
        <v>1</v>
      </c>
      <c r="F463" s="37" t="s">
        <v>918</v>
      </c>
      <c r="G463" s="29">
        <v>0</v>
      </c>
      <c r="H463" s="11">
        <v>6.5</v>
      </c>
      <c r="I463" s="11">
        <v>6.5</v>
      </c>
    </row>
    <row r="464" spans="1:9" x14ac:dyDescent="0.25">
      <c r="A464" s="113" t="s">
        <v>6</v>
      </c>
      <c r="B464" s="1" t="s">
        <v>170</v>
      </c>
      <c r="H464"/>
      <c r="I464"/>
    </row>
    <row r="465" spans="1:9" x14ac:dyDescent="0.25">
      <c r="A465" s="114"/>
      <c r="B465" s="5" t="s">
        <v>6</v>
      </c>
      <c r="C465" s="3" t="s">
        <v>386</v>
      </c>
      <c r="D465" s="3" t="s">
        <v>546</v>
      </c>
      <c r="E465" s="36">
        <v>1</v>
      </c>
      <c r="F465" s="37" t="s">
        <v>918</v>
      </c>
      <c r="G465" s="29">
        <v>0</v>
      </c>
      <c r="H465" s="11">
        <v>6.5</v>
      </c>
      <c r="I465" s="11">
        <v>6.5</v>
      </c>
    </row>
    <row r="466" spans="1:9" x14ac:dyDescent="0.25">
      <c r="A466" s="113" t="s">
        <v>934</v>
      </c>
      <c r="B466" s="1" t="s">
        <v>935</v>
      </c>
      <c r="H466"/>
      <c r="I466"/>
    </row>
    <row r="467" spans="1:9" x14ac:dyDescent="0.25">
      <c r="A467" s="114"/>
      <c r="B467" s="5" t="s">
        <v>934</v>
      </c>
      <c r="C467" s="3" t="s">
        <v>936</v>
      </c>
      <c r="D467" s="3" t="s">
        <v>546</v>
      </c>
      <c r="E467" s="36">
        <v>1</v>
      </c>
      <c r="F467" s="37" t="s">
        <v>918</v>
      </c>
      <c r="G467" s="29">
        <v>0</v>
      </c>
      <c r="H467" s="11">
        <v>4.1999999999999993</v>
      </c>
      <c r="I467" s="11">
        <v>4.1999999999999993</v>
      </c>
    </row>
    <row r="468" spans="1:9" x14ac:dyDescent="0.25">
      <c r="A468" s="113" t="s">
        <v>11</v>
      </c>
      <c r="B468" s="1" t="s">
        <v>175</v>
      </c>
      <c r="H468"/>
      <c r="I468"/>
    </row>
    <row r="469" spans="1:9" x14ac:dyDescent="0.25">
      <c r="A469" s="114"/>
      <c r="B469" s="5" t="s">
        <v>11</v>
      </c>
      <c r="C469" s="3" t="s">
        <v>334</v>
      </c>
      <c r="D469" s="3" t="s">
        <v>546</v>
      </c>
      <c r="E469" s="36">
        <v>1</v>
      </c>
      <c r="F469" s="37" t="s">
        <v>918</v>
      </c>
      <c r="G469" s="29">
        <v>0</v>
      </c>
      <c r="H469" s="11">
        <v>6.6999999999999993</v>
      </c>
      <c r="I469" s="11">
        <v>6.6999999999999993</v>
      </c>
    </row>
    <row r="470" spans="1:9" x14ac:dyDescent="0.25">
      <c r="A470" s="113" t="s">
        <v>12</v>
      </c>
      <c r="B470" s="1" t="s">
        <v>176</v>
      </c>
      <c r="H470"/>
      <c r="I470"/>
    </row>
    <row r="471" spans="1:9" x14ac:dyDescent="0.25">
      <c r="A471" s="114"/>
      <c r="B471" s="5" t="s">
        <v>12</v>
      </c>
      <c r="C471" s="3" t="s">
        <v>335</v>
      </c>
      <c r="D471" s="3" t="s">
        <v>546</v>
      </c>
      <c r="E471" s="36">
        <v>1</v>
      </c>
      <c r="F471" s="37" t="s">
        <v>918</v>
      </c>
      <c r="G471" s="29">
        <v>0</v>
      </c>
      <c r="H471" s="11">
        <v>8.5</v>
      </c>
      <c r="I471" s="11">
        <v>8.5</v>
      </c>
    </row>
    <row r="472" spans="1:9" x14ac:dyDescent="0.25">
      <c r="A472" s="114"/>
      <c r="B472" s="1" t="s">
        <v>588</v>
      </c>
      <c r="H472"/>
      <c r="I472"/>
    </row>
    <row r="473" spans="1:9" x14ac:dyDescent="0.25">
      <c r="A473" s="114"/>
      <c r="B473" s="5" t="s">
        <v>587</v>
      </c>
      <c r="C473" s="3" t="s">
        <v>829</v>
      </c>
      <c r="D473" s="3" t="s">
        <v>546</v>
      </c>
      <c r="E473" s="36" t="s">
        <v>546</v>
      </c>
      <c r="F473" s="37" t="s">
        <v>918</v>
      </c>
      <c r="G473" s="29">
        <v>0</v>
      </c>
      <c r="H473" s="11">
        <v>8.5</v>
      </c>
      <c r="I473" s="11">
        <v>8.5</v>
      </c>
    </row>
    <row r="474" spans="1:9" x14ac:dyDescent="0.25">
      <c r="A474" s="113" t="s">
        <v>13</v>
      </c>
      <c r="B474" s="1" t="s">
        <v>230</v>
      </c>
      <c r="H474"/>
      <c r="I474"/>
    </row>
    <row r="475" spans="1:9" x14ac:dyDescent="0.25">
      <c r="A475" s="114"/>
      <c r="B475" s="5" t="s">
        <v>13</v>
      </c>
      <c r="C475" s="3" t="s">
        <v>336</v>
      </c>
      <c r="D475" s="3" t="s">
        <v>546</v>
      </c>
      <c r="E475" s="36">
        <v>1</v>
      </c>
      <c r="F475" s="37" t="s">
        <v>918</v>
      </c>
      <c r="G475" s="29">
        <v>0</v>
      </c>
      <c r="H475" s="11">
        <v>23.9</v>
      </c>
      <c r="I475" s="11">
        <v>23.9</v>
      </c>
    </row>
    <row r="476" spans="1:9" x14ac:dyDescent="0.25">
      <c r="A476" s="113" t="s">
        <v>14</v>
      </c>
      <c r="B476" s="1" t="s">
        <v>177</v>
      </c>
      <c r="H476"/>
      <c r="I476"/>
    </row>
    <row r="477" spans="1:9" x14ac:dyDescent="0.25">
      <c r="A477" s="114"/>
      <c r="B477" s="5" t="s">
        <v>14</v>
      </c>
      <c r="C477" s="3" t="s">
        <v>337</v>
      </c>
      <c r="D477" s="3" t="s">
        <v>546</v>
      </c>
      <c r="E477" s="36">
        <v>1</v>
      </c>
      <c r="F477" s="37" t="s">
        <v>918</v>
      </c>
      <c r="G477" s="29">
        <v>0</v>
      </c>
      <c r="H477" s="11">
        <v>31.9</v>
      </c>
      <c r="I477" s="11">
        <v>31.9</v>
      </c>
    </row>
    <row r="478" spans="1:9" x14ac:dyDescent="0.25">
      <c r="A478" s="113" t="s">
        <v>15</v>
      </c>
      <c r="B478" s="1" t="s">
        <v>178</v>
      </c>
      <c r="H478"/>
      <c r="I478"/>
    </row>
    <row r="479" spans="1:9" x14ac:dyDescent="0.25">
      <c r="A479" s="114"/>
      <c r="B479" s="5" t="s">
        <v>15</v>
      </c>
      <c r="C479" s="3" t="s">
        <v>338</v>
      </c>
      <c r="D479" s="3" t="s">
        <v>546</v>
      </c>
      <c r="E479" s="36">
        <v>1</v>
      </c>
      <c r="F479" s="37" t="s">
        <v>918</v>
      </c>
      <c r="G479" s="29">
        <v>0</v>
      </c>
      <c r="H479" s="11">
        <v>26.9</v>
      </c>
      <c r="I479" s="11">
        <v>26.9</v>
      </c>
    </row>
    <row r="480" spans="1:9" x14ac:dyDescent="0.25">
      <c r="A480" s="113" t="s">
        <v>21</v>
      </c>
      <c r="B480" s="1" t="s">
        <v>188</v>
      </c>
      <c r="H480"/>
      <c r="I480"/>
    </row>
    <row r="481" spans="1:9" x14ac:dyDescent="0.25">
      <c r="A481" s="114"/>
      <c r="B481" s="5" t="s">
        <v>21</v>
      </c>
      <c r="C481" s="3" t="s">
        <v>354</v>
      </c>
      <c r="D481" s="3" t="s">
        <v>546</v>
      </c>
      <c r="E481" s="36">
        <v>1</v>
      </c>
      <c r="F481" s="37" t="s">
        <v>918</v>
      </c>
      <c r="G481" s="29">
        <v>0</v>
      </c>
      <c r="H481" s="11">
        <v>15.9</v>
      </c>
      <c r="I481" s="11">
        <v>15.9</v>
      </c>
    </row>
    <row r="482" spans="1:9" x14ac:dyDescent="0.25">
      <c r="A482" s="113" t="s">
        <v>585</v>
      </c>
      <c r="B482" s="1" t="s">
        <v>586</v>
      </c>
      <c r="H482"/>
      <c r="I482"/>
    </row>
    <row r="483" spans="1:9" x14ac:dyDescent="0.25">
      <c r="A483" s="114"/>
      <c r="B483" s="5" t="s">
        <v>585</v>
      </c>
      <c r="C483" s="3" t="s">
        <v>830</v>
      </c>
      <c r="D483" s="3" t="s">
        <v>562</v>
      </c>
      <c r="E483" s="36" t="s">
        <v>546</v>
      </c>
      <c r="F483" s="37" t="s">
        <v>918</v>
      </c>
      <c r="G483" s="29">
        <v>0</v>
      </c>
      <c r="H483" s="11">
        <v>59.9</v>
      </c>
      <c r="I483" s="11">
        <v>59.9</v>
      </c>
    </row>
    <row r="484" spans="1:9" x14ac:dyDescent="0.25">
      <c r="A484" s="113" t="s">
        <v>22</v>
      </c>
      <c r="B484" s="1" t="s">
        <v>231</v>
      </c>
      <c r="H484"/>
      <c r="I484"/>
    </row>
    <row r="485" spans="1:9" x14ac:dyDescent="0.25">
      <c r="A485" s="114"/>
      <c r="B485" s="5" t="s">
        <v>22</v>
      </c>
      <c r="C485" s="3" t="s">
        <v>387</v>
      </c>
      <c r="D485" s="3" t="s">
        <v>546</v>
      </c>
      <c r="E485" s="36">
        <v>1</v>
      </c>
      <c r="F485" s="37" t="s">
        <v>918</v>
      </c>
      <c r="G485" s="29">
        <v>0</v>
      </c>
      <c r="H485" s="11">
        <v>42.9</v>
      </c>
      <c r="I485" s="11">
        <v>42.9</v>
      </c>
    </row>
    <row r="486" spans="1:9" x14ac:dyDescent="0.25">
      <c r="A486" s="113" t="s">
        <v>1715</v>
      </c>
      <c r="B486" s="1" t="s">
        <v>1721</v>
      </c>
      <c r="H486"/>
      <c r="I486"/>
    </row>
    <row r="487" spans="1:9" x14ac:dyDescent="0.25">
      <c r="A487" s="114"/>
      <c r="B487" s="5" t="s">
        <v>1715</v>
      </c>
      <c r="C487" s="3" t="s">
        <v>1727</v>
      </c>
      <c r="D487" s="3" t="s">
        <v>546</v>
      </c>
      <c r="E487" s="36" t="s">
        <v>546</v>
      </c>
      <c r="F487" s="37" t="s">
        <v>918</v>
      </c>
      <c r="G487" s="29">
        <v>0</v>
      </c>
      <c r="H487" s="11">
        <v>34.9</v>
      </c>
      <c r="I487" s="11">
        <v>34.9</v>
      </c>
    </row>
    <row r="488" spans="1:9" x14ac:dyDescent="0.25">
      <c r="A488" s="113" t="s">
        <v>47</v>
      </c>
      <c r="B488" s="1" t="s">
        <v>190</v>
      </c>
      <c r="H488"/>
      <c r="I488"/>
    </row>
    <row r="489" spans="1:9" x14ac:dyDescent="0.25">
      <c r="A489" s="114"/>
      <c r="B489" s="5" t="s">
        <v>47</v>
      </c>
      <c r="C489" s="3" t="s">
        <v>356</v>
      </c>
      <c r="D489" s="3" t="s">
        <v>572</v>
      </c>
      <c r="E489" s="36">
        <v>1</v>
      </c>
      <c r="F489" s="37" t="s">
        <v>918</v>
      </c>
      <c r="G489" s="29">
        <v>0</v>
      </c>
      <c r="H489" s="11">
        <v>56.9</v>
      </c>
      <c r="I489" s="11">
        <v>56.9</v>
      </c>
    </row>
    <row r="490" spans="1:9" x14ac:dyDescent="0.25">
      <c r="A490" s="114"/>
      <c r="B490" s="6" t="s">
        <v>155</v>
      </c>
      <c r="C490" s="4" t="s">
        <v>357</v>
      </c>
      <c r="D490" s="4" t="s">
        <v>571</v>
      </c>
      <c r="E490" s="41">
        <v>30</v>
      </c>
      <c r="F490" s="38" t="s">
        <v>918</v>
      </c>
      <c r="G490" s="30">
        <v>0</v>
      </c>
      <c r="H490" s="12">
        <v>56.9</v>
      </c>
      <c r="I490" s="12">
        <v>56.9</v>
      </c>
    </row>
    <row r="491" spans="1:9" x14ac:dyDescent="0.25">
      <c r="A491" s="114"/>
      <c r="B491" s="6" t="s">
        <v>123</v>
      </c>
      <c r="C491" s="4" t="s">
        <v>358</v>
      </c>
      <c r="D491" s="4" t="s">
        <v>562</v>
      </c>
      <c r="E491" s="41">
        <v>30</v>
      </c>
      <c r="F491" s="38" t="s">
        <v>918</v>
      </c>
      <c r="G491" s="30">
        <v>0</v>
      </c>
      <c r="H491" s="12">
        <v>56.9</v>
      </c>
      <c r="I491" s="12">
        <v>56.9</v>
      </c>
    </row>
    <row r="492" spans="1:9" x14ac:dyDescent="0.25">
      <c r="A492" s="113" t="s">
        <v>892</v>
      </c>
      <c r="B492" s="1" t="s">
        <v>893</v>
      </c>
      <c r="H492"/>
      <c r="I492"/>
    </row>
    <row r="493" spans="1:9" x14ac:dyDescent="0.25">
      <c r="A493" s="114"/>
      <c r="B493" s="5" t="s">
        <v>892</v>
      </c>
      <c r="C493" s="3" t="s">
        <v>894</v>
      </c>
      <c r="D493" s="3" t="s">
        <v>546</v>
      </c>
      <c r="E493" s="36">
        <v>1</v>
      </c>
      <c r="F493" s="37" t="s">
        <v>918</v>
      </c>
      <c r="G493" s="29">
        <v>0</v>
      </c>
      <c r="H493" s="11">
        <v>314.89999999999998</v>
      </c>
      <c r="I493" s="11">
        <v>314.89999999999998</v>
      </c>
    </row>
    <row r="494" spans="1:9" x14ac:dyDescent="0.25">
      <c r="A494" s="113" t="s">
        <v>931</v>
      </c>
      <c r="B494" s="1" t="s">
        <v>932</v>
      </c>
      <c r="H494"/>
      <c r="I494"/>
    </row>
    <row r="495" spans="1:9" x14ac:dyDescent="0.25">
      <c r="A495" s="114"/>
      <c r="B495" s="5" t="s">
        <v>931</v>
      </c>
      <c r="C495" s="3" t="s">
        <v>933</v>
      </c>
      <c r="D495" s="3" t="s">
        <v>546</v>
      </c>
      <c r="E495" s="36" t="s">
        <v>546</v>
      </c>
      <c r="F495" s="37" t="s">
        <v>918</v>
      </c>
      <c r="G495" s="29">
        <v>0</v>
      </c>
      <c r="H495" s="11">
        <v>26.9</v>
      </c>
      <c r="I495" s="11">
        <v>26.9</v>
      </c>
    </row>
    <row r="496" spans="1:9" x14ac:dyDescent="0.25">
      <c r="A496" s="113" t="s">
        <v>1165</v>
      </c>
      <c r="B496" s="1" t="s">
        <v>1166</v>
      </c>
      <c r="H496"/>
      <c r="I496"/>
    </row>
    <row r="497" spans="1:9" x14ac:dyDescent="0.25">
      <c r="A497" s="114"/>
      <c r="B497" s="5" t="s">
        <v>1165</v>
      </c>
      <c r="C497" s="3" t="s">
        <v>1167</v>
      </c>
      <c r="D497" s="3" t="s">
        <v>546</v>
      </c>
      <c r="E497" s="36" t="s">
        <v>546</v>
      </c>
      <c r="F497" s="37" t="s">
        <v>918</v>
      </c>
      <c r="G497" s="29">
        <v>0</v>
      </c>
      <c r="H497" s="11">
        <v>20.9</v>
      </c>
      <c r="I497" s="11">
        <v>20.9</v>
      </c>
    </row>
    <row r="498" spans="1:9" x14ac:dyDescent="0.25">
      <c r="A498" s="113" t="s">
        <v>589</v>
      </c>
      <c r="B498" s="1" t="s">
        <v>590</v>
      </c>
      <c r="H498"/>
      <c r="I498"/>
    </row>
    <row r="499" spans="1:9" x14ac:dyDescent="0.25">
      <c r="A499" s="114"/>
      <c r="B499" s="5" t="s">
        <v>589</v>
      </c>
      <c r="C499" s="3" t="s">
        <v>591</v>
      </c>
      <c r="D499" s="3" t="s">
        <v>545</v>
      </c>
      <c r="E499" s="36">
        <v>1</v>
      </c>
      <c r="F499" s="37" t="s">
        <v>918</v>
      </c>
      <c r="G499" s="29">
        <v>0</v>
      </c>
      <c r="H499" s="11">
        <v>13.9</v>
      </c>
      <c r="I499" s="11">
        <v>13.9</v>
      </c>
    </row>
    <row r="500" spans="1:9" x14ac:dyDescent="0.25">
      <c r="A500" s="113" t="s">
        <v>23</v>
      </c>
      <c r="B500" s="1" t="s">
        <v>191</v>
      </c>
      <c r="H500"/>
      <c r="I500"/>
    </row>
    <row r="501" spans="1:9" x14ac:dyDescent="0.25">
      <c r="A501" s="114"/>
      <c r="B501" s="5" t="s">
        <v>23</v>
      </c>
      <c r="C501" s="3" t="s">
        <v>388</v>
      </c>
      <c r="D501" s="3" t="s">
        <v>546</v>
      </c>
      <c r="E501" s="36">
        <v>1</v>
      </c>
      <c r="F501" s="37" t="s">
        <v>918</v>
      </c>
      <c r="G501" s="29">
        <v>0</v>
      </c>
      <c r="H501" s="11">
        <v>9.6</v>
      </c>
      <c r="I501" s="11">
        <v>9.6</v>
      </c>
    </row>
    <row r="502" spans="1:9" x14ac:dyDescent="0.25">
      <c r="A502" s="113" t="s">
        <v>595</v>
      </c>
      <c r="B502" s="1" t="s">
        <v>596</v>
      </c>
      <c r="H502"/>
      <c r="I502"/>
    </row>
    <row r="503" spans="1:9" x14ac:dyDescent="0.25">
      <c r="A503" s="114"/>
      <c r="B503" s="5" t="s">
        <v>595</v>
      </c>
      <c r="C503" s="3" t="s">
        <v>597</v>
      </c>
      <c r="D503" s="3" t="s">
        <v>546</v>
      </c>
      <c r="E503" s="36">
        <v>1</v>
      </c>
      <c r="F503" s="37" t="s">
        <v>918</v>
      </c>
      <c r="G503" s="29">
        <v>0</v>
      </c>
      <c r="H503" s="11">
        <v>2.5</v>
      </c>
      <c r="I503" s="11">
        <v>2.5</v>
      </c>
    </row>
    <row r="504" spans="1:9" x14ac:dyDescent="0.25">
      <c r="A504" s="113" t="s">
        <v>24</v>
      </c>
      <c r="B504" s="1" t="s">
        <v>192</v>
      </c>
      <c r="H504"/>
      <c r="I504"/>
    </row>
    <row r="505" spans="1:9" x14ac:dyDescent="0.25">
      <c r="A505" s="114"/>
      <c r="B505" s="5" t="s">
        <v>24</v>
      </c>
      <c r="C505" s="3" t="s">
        <v>389</v>
      </c>
      <c r="D505" s="3" t="s">
        <v>545</v>
      </c>
      <c r="E505" s="36">
        <v>1</v>
      </c>
      <c r="F505" s="37" t="s">
        <v>918</v>
      </c>
      <c r="G505" s="29">
        <v>0</v>
      </c>
      <c r="H505" s="11">
        <v>10.6</v>
      </c>
      <c r="I505" s="11">
        <v>10.6</v>
      </c>
    </row>
    <row r="506" spans="1:9" x14ac:dyDescent="0.25">
      <c r="A506" s="114"/>
      <c r="B506" s="1" t="s">
        <v>669</v>
      </c>
      <c r="H506"/>
      <c r="I506"/>
    </row>
    <row r="507" spans="1:9" x14ac:dyDescent="0.25">
      <c r="A507" s="114"/>
      <c r="B507" s="5" t="s">
        <v>668</v>
      </c>
      <c r="C507" s="3" t="s">
        <v>670</v>
      </c>
      <c r="D507" s="3" t="s">
        <v>562</v>
      </c>
      <c r="E507" s="36">
        <v>1</v>
      </c>
      <c r="F507" s="37" t="s">
        <v>918</v>
      </c>
      <c r="G507" s="29">
        <v>0</v>
      </c>
      <c r="H507" s="11">
        <v>10.9</v>
      </c>
      <c r="I507" s="11">
        <v>10.9</v>
      </c>
    </row>
    <row r="508" spans="1:9" x14ac:dyDescent="0.25">
      <c r="A508" s="113" t="s">
        <v>25</v>
      </c>
      <c r="B508" s="1" t="s">
        <v>193</v>
      </c>
      <c r="H508"/>
      <c r="I508"/>
    </row>
    <row r="509" spans="1:9" x14ac:dyDescent="0.25">
      <c r="A509" s="114"/>
      <c r="B509" s="5" t="s">
        <v>25</v>
      </c>
      <c r="C509" s="3" t="s">
        <v>390</v>
      </c>
      <c r="D509" s="3" t="s">
        <v>546</v>
      </c>
      <c r="E509" s="36">
        <v>1</v>
      </c>
      <c r="F509" s="37" t="s">
        <v>918</v>
      </c>
      <c r="G509" s="29">
        <v>0</v>
      </c>
      <c r="H509" s="11">
        <v>2.1</v>
      </c>
      <c r="I509" s="11">
        <v>2.1</v>
      </c>
    </row>
    <row r="510" spans="1:9" x14ac:dyDescent="0.25">
      <c r="A510" s="113" t="s">
        <v>48</v>
      </c>
      <c r="B510" s="1" t="s">
        <v>601</v>
      </c>
      <c r="H510"/>
      <c r="I510"/>
    </row>
    <row r="511" spans="1:9" x14ac:dyDescent="0.25">
      <c r="A511" s="114"/>
      <c r="B511" s="5" t="s">
        <v>48</v>
      </c>
      <c r="C511" s="3" t="s">
        <v>391</v>
      </c>
      <c r="D511" s="3" t="s">
        <v>546</v>
      </c>
      <c r="E511" s="36">
        <v>1</v>
      </c>
      <c r="F511" s="37" t="s">
        <v>918</v>
      </c>
      <c r="G511" s="29">
        <v>0</v>
      </c>
      <c r="H511" s="11">
        <v>29.9</v>
      </c>
      <c r="I511" s="11">
        <v>29.9</v>
      </c>
    </row>
    <row r="512" spans="1:9" x14ac:dyDescent="0.25">
      <c r="A512" s="113" t="s">
        <v>26</v>
      </c>
      <c r="B512" s="1" t="s">
        <v>194</v>
      </c>
      <c r="H512"/>
      <c r="I512"/>
    </row>
    <row r="513" spans="1:9" x14ac:dyDescent="0.25">
      <c r="A513" s="114"/>
      <c r="B513" s="5" t="s">
        <v>26</v>
      </c>
      <c r="C513" s="3" t="s">
        <v>392</v>
      </c>
      <c r="D513" s="3" t="s">
        <v>546</v>
      </c>
      <c r="E513" s="36">
        <v>10</v>
      </c>
      <c r="F513" s="37" t="s">
        <v>918</v>
      </c>
      <c r="G513" s="29">
        <v>0</v>
      </c>
      <c r="H513" s="11">
        <v>11.9</v>
      </c>
      <c r="I513" s="11">
        <v>11.9</v>
      </c>
    </row>
    <row r="514" spans="1:9" x14ac:dyDescent="0.25">
      <c r="A514" s="113" t="s">
        <v>605</v>
      </c>
      <c r="B514" s="1" t="s">
        <v>606</v>
      </c>
      <c r="H514"/>
      <c r="I514"/>
    </row>
    <row r="515" spans="1:9" x14ac:dyDescent="0.25">
      <c r="A515" s="114"/>
      <c r="B515" s="5" t="s">
        <v>605</v>
      </c>
      <c r="C515" s="3" t="s">
        <v>607</v>
      </c>
      <c r="D515" s="3" t="s">
        <v>546</v>
      </c>
      <c r="E515" s="36">
        <v>20</v>
      </c>
      <c r="F515" s="37" t="s">
        <v>918</v>
      </c>
      <c r="G515" s="29">
        <v>0</v>
      </c>
      <c r="H515" s="11">
        <v>42.9</v>
      </c>
      <c r="I515" s="11">
        <v>42.9</v>
      </c>
    </row>
    <row r="516" spans="1:9" x14ac:dyDescent="0.25">
      <c r="A516" s="113" t="s">
        <v>124</v>
      </c>
      <c r="B516" s="1" t="s">
        <v>195</v>
      </c>
      <c r="H516"/>
      <c r="I516"/>
    </row>
    <row r="517" spans="1:9" x14ac:dyDescent="0.25">
      <c r="A517" s="114"/>
      <c r="B517" s="5" t="s">
        <v>124</v>
      </c>
      <c r="C517" s="3" t="s">
        <v>393</v>
      </c>
      <c r="D517" s="3" t="s">
        <v>572</v>
      </c>
      <c r="E517" s="36">
        <v>1</v>
      </c>
      <c r="F517" s="37" t="s">
        <v>918</v>
      </c>
      <c r="G517" s="29">
        <v>0</v>
      </c>
      <c r="H517" s="11">
        <v>53.9</v>
      </c>
      <c r="I517" s="11">
        <v>53.9</v>
      </c>
    </row>
    <row r="518" spans="1:9" x14ac:dyDescent="0.25">
      <c r="A518" s="114"/>
      <c r="B518" s="6" t="s">
        <v>142</v>
      </c>
      <c r="C518" s="4" t="s">
        <v>394</v>
      </c>
      <c r="D518" s="4" t="s">
        <v>571</v>
      </c>
      <c r="E518" s="41" t="s">
        <v>546</v>
      </c>
      <c r="F518" s="38" t="s">
        <v>918</v>
      </c>
      <c r="G518" s="30">
        <v>0</v>
      </c>
      <c r="H518" s="12">
        <v>53.9</v>
      </c>
      <c r="I518" s="12">
        <v>53.9</v>
      </c>
    </row>
    <row r="519" spans="1:9" x14ac:dyDescent="0.25">
      <c r="A519" s="114"/>
      <c r="B519" s="6" t="s">
        <v>147</v>
      </c>
      <c r="C519" s="4" t="s">
        <v>831</v>
      </c>
      <c r="D519" s="4" t="s">
        <v>570</v>
      </c>
      <c r="E519" s="41" t="s">
        <v>546</v>
      </c>
      <c r="F519" s="38" t="s">
        <v>918</v>
      </c>
      <c r="G519" s="30">
        <v>0</v>
      </c>
      <c r="H519" s="12">
        <v>53.9</v>
      </c>
      <c r="I519" s="12">
        <v>53.9</v>
      </c>
    </row>
    <row r="520" spans="1:9" x14ac:dyDescent="0.25">
      <c r="A520" s="114"/>
      <c r="B520" s="6" t="s">
        <v>125</v>
      </c>
      <c r="C520" s="4" t="s">
        <v>832</v>
      </c>
      <c r="D520" s="4" t="s">
        <v>562</v>
      </c>
      <c r="E520" s="41" t="s">
        <v>546</v>
      </c>
      <c r="F520" s="38" t="s">
        <v>918</v>
      </c>
      <c r="G520" s="30">
        <v>0</v>
      </c>
      <c r="H520" s="12">
        <v>53.9</v>
      </c>
      <c r="I520" s="12">
        <v>53.9</v>
      </c>
    </row>
    <row r="521" spans="1:9" x14ac:dyDescent="0.25">
      <c r="A521" s="113" t="s">
        <v>27</v>
      </c>
      <c r="B521" s="1" t="s">
        <v>196</v>
      </c>
      <c r="H521"/>
      <c r="I521"/>
    </row>
    <row r="522" spans="1:9" x14ac:dyDescent="0.25">
      <c r="A522" s="114"/>
      <c r="B522" s="5" t="s">
        <v>27</v>
      </c>
      <c r="C522" s="3" t="s">
        <v>395</v>
      </c>
      <c r="D522" s="3" t="s">
        <v>572</v>
      </c>
      <c r="E522" s="36">
        <v>1</v>
      </c>
      <c r="F522" s="37" t="s">
        <v>918</v>
      </c>
      <c r="G522" s="29">
        <v>0</v>
      </c>
      <c r="H522" s="11">
        <v>58.9</v>
      </c>
      <c r="I522" s="11">
        <v>58.9</v>
      </c>
    </row>
    <row r="523" spans="1:9" x14ac:dyDescent="0.25">
      <c r="A523" s="114"/>
      <c r="B523" s="6" t="s">
        <v>143</v>
      </c>
      <c r="C523" s="4" t="s">
        <v>396</v>
      </c>
      <c r="D523" s="4" t="s">
        <v>571</v>
      </c>
      <c r="E523" s="41" t="s">
        <v>546</v>
      </c>
      <c r="F523" s="38" t="s">
        <v>918</v>
      </c>
      <c r="G523" s="30">
        <v>0</v>
      </c>
      <c r="H523" s="12">
        <v>58.9</v>
      </c>
      <c r="I523" s="12">
        <v>58.9</v>
      </c>
    </row>
    <row r="524" spans="1:9" x14ac:dyDescent="0.25">
      <c r="A524" s="114"/>
      <c r="B524" s="6" t="s">
        <v>141</v>
      </c>
      <c r="C524" s="4" t="s">
        <v>833</v>
      </c>
      <c r="D524" s="4" t="s">
        <v>570</v>
      </c>
      <c r="E524" s="41" t="s">
        <v>546</v>
      </c>
      <c r="F524" s="38" t="s">
        <v>918</v>
      </c>
      <c r="G524" s="30">
        <v>0</v>
      </c>
      <c r="H524" s="12">
        <v>58.9</v>
      </c>
      <c r="I524" s="12">
        <v>58.9</v>
      </c>
    </row>
    <row r="525" spans="1:9" x14ac:dyDescent="0.25">
      <c r="A525" s="113" t="s">
        <v>28</v>
      </c>
      <c r="B525" s="1" t="s">
        <v>197</v>
      </c>
      <c r="H525"/>
      <c r="I525"/>
    </row>
    <row r="526" spans="1:9" x14ac:dyDescent="0.25">
      <c r="A526" s="114"/>
      <c r="B526" s="5" t="s">
        <v>28</v>
      </c>
      <c r="C526" s="3" t="s">
        <v>397</v>
      </c>
      <c r="D526" s="3" t="s">
        <v>546</v>
      </c>
      <c r="E526" s="36">
        <v>1</v>
      </c>
      <c r="F526" s="37" t="s">
        <v>918</v>
      </c>
      <c r="G526" s="29">
        <v>0</v>
      </c>
      <c r="H526" s="11">
        <v>34.9</v>
      </c>
      <c r="I526" s="11">
        <v>34.9</v>
      </c>
    </row>
    <row r="527" spans="1:9" x14ac:dyDescent="0.25">
      <c r="A527" s="113" t="s">
        <v>629</v>
      </c>
      <c r="B527" s="1" t="s">
        <v>630</v>
      </c>
      <c r="H527"/>
      <c r="I527"/>
    </row>
    <row r="528" spans="1:9" x14ac:dyDescent="0.25">
      <c r="A528" s="114"/>
      <c r="B528" s="5" t="s">
        <v>629</v>
      </c>
      <c r="C528" s="3" t="s">
        <v>631</v>
      </c>
      <c r="D528" s="3" t="s">
        <v>546</v>
      </c>
      <c r="E528" s="36">
        <v>40</v>
      </c>
      <c r="F528" s="37" t="s">
        <v>918</v>
      </c>
      <c r="G528" s="29">
        <v>0</v>
      </c>
      <c r="H528" s="11">
        <v>31.9</v>
      </c>
      <c r="I528" s="11">
        <v>31.9</v>
      </c>
    </row>
    <row r="529" spans="1:9" x14ac:dyDescent="0.25">
      <c r="A529" s="113" t="s">
        <v>655</v>
      </c>
      <c r="B529" s="1" t="s">
        <v>656</v>
      </c>
      <c r="H529"/>
      <c r="I529"/>
    </row>
    <row r="530" spans="1:9" x14ac:dyDescent="0.25">
      <c r="A530" s="114"/>
      <c r="B530" s="5" t="s">
        <v>655</v>
      </c>
      <c r="C530" s="3" t="s">
        <v>657</v>
      </c>
      <c r="D530" s="3" t="s">
        <v>546</v>
      </c>
      <c r="E530" s="36">
        <v>1</v>
      </c>
      <c r="F530" s="37" t="s">
        <v>918</v>
      </c>
      <c r="G530" s="29">
        <v>0</v>
      </c>
      <c r="H530" s="11">
        <v>15.9</v>
      </c>
      <c r="I530" s="11">
        <v>15.9</v>
      </c>
    </row>
    <row r="531" spans="1:9" x14ac:dyDescent="0.25">
      <c r="A531" s="113" t="s">
        <v>951</v>
      </c>
      <c r="B531" s="1" t="s">
        <v>966</v>
      </c>
      <c r="H531"/>
      <c r="I531"/>
    </row>
    <row r="532" spans="1:9" x14ac:dyDescent="0.25">
      <c r="A532" s="114"/>
      <c r="B532" s="5" t="s">
        <v>951</v>
      </c>
      <c r="C532" s="3" t="s">
        <v>978</v>
      </c>
      <c r="D532" s="3" t="s">
        <v>1380</v>
      </c>
      <c r="E532" s="36" t="s">
        <v>546</v>
      </c>
      <c r="F532" s="37" t="s">
        <v>918</v>
      </c>
      <c r="G532" s="29">
        <v>0</v>
      </c>
      <c r="H532" s="11">
        <v>10.6</v>
      </c>
      <c r="I532" s="11">
        <v>10.6</v>
      </c>
    </row>
    <row r="533" spans="1:9" x14ac:dyDescent="0.25">
      <c r="A533" s="113" t="s">
        <v>658</v>
      </c>
      <c r="B533" s="1" t="s">
        <v>659</v>
      </c>
      <c r="H533"/>
      <c r="I533"/>
    </row>
    <row r="534" spans="1:9" x14ac:dyDescent="0.25">
      <c r="A534" s="114"/>
      <c r="B534" s="5" t="s">
        <v>658</v>
      </c>
      <c r="C534" s="3" t="s">
        <v>660</v>
      </c>
      <c r="D534" s="3" t="s">
        <v>572</v>
      </c>
      <c r="E534" s="36">
        <v>1</v>
      </c>
      <c r="F534" s="37" t="s">
        <v>918</v>
      </c>
      <c r="G534" s="29">
        <v>0</v>
      </c>
      <c r="H534" s="11">
        <v>58.9</v>
      </c>
      <c r="I534" s="11">
        <v>58.9</v>
      </c>
    </row>
    <row r="535" spans="1:9" x14ac:dyDescent="0.25">
      <c r="A535" s="114"/>
      <c r="B535" s="6" t="s">
        <v>661</v>
      </c>
      <c r="C535" s="4" t="s">
        <v>662</v>
      </c>
      <c r="D535" s="4" t="s">
        <v>571</v>
      </c>
      <c r="E535" s="41">
        <v>1</v>
      </c>
      <c r="F535" s="38" t="s">
        <v>918</v>
      </c>
      <c r="G535" s="30">
        <v>0</v>
      </c>
      <c r="H535" s="12">
        <v>58.9</v>
      </c>
      <c r="I535" s="12">
        <v>58.9</v>
      </c>
    </row>
    <row r="536" spans="1:9" x14ac:dyDescent="0.25">
      <c r="A536" s="114"/>
      <c r="B536" s="6" t="s">
        <v>663</v>
      </c>
      <c r="C536" s="4" t="s">
        <v>664</v>
      </c>
      <c r="D536" s="4" t="s">
        <v>570</v>
      </c>
      <c r="E536" s="41">
        <v>1</v>
      </c>
      <c r="F536" s="38" t="s">
        <v>918</v>
      </c>
      <c r="G536" s="30">
        <v>0</v>
      </c>
      <c r="H536" s="12">
        <v>58.9</v>
      </c>
      <c r="I536" s="12">
        <v>58.9</v>
      </c>
    </row>
    <row r="537" spans="1:9" x14ac:dyDescent="0.25">
      <c r="A537" s="114"/>
      <c r="B537" s="6" t="s">
        <v>665</v>
      </c>
      <c r="C537" s="4" t="s">
        <v>666</v>
      </c>
      <c r="D537" s="4" t="s">
        <v>562</v>
      </c>
      <c r="E537" s="41">
        <v>1</v>
      </c>
      <c r="F537" s="38" t="s">
        <v>918</v>
      </c>
      <c r="G537" s="30">
        <v>0</v>
      </c>
      <c r="H537" s="12">
        <v>58.9</v>
      </c>
      <c r="I537" s="12">
        <v>58.9</v>
      </c>
    </row>
    <row r="538" spans="1:9" x14ac:dyDescent="0.25">
      <c r="A538" s="113" t="s">
        <v>687</v>
      </c>
      <c r="B538" s="1" t="s">
        <v>688</v>
      </c>
      <c r="H538"/>
      <c r="I538"/>
    </row>
    <row r="539" spans="1:9" x14ac:dyDescent="0.25">
      <c r="A539" s="114"/>
      <c r="B539" s="5" t="s">
        <v>687</v>
      </c>
      <c r="C539" s="3" t="s">
        <v>689</v>
      </c>
      <c r="D539" s="3" t="s">
        <v>571</v>
      </c>
      <c r="E539" s="36" t="s">
        <v>546</v>
      </c>
      <c r="F539" s="37" t="s">
        <v>918</v>
      </c>
      <c r="G539" s="29">
        <v>0</v>
      </c>
      <c r="H539" s="11">
        <v>10.9</v>
      </c>
      <c r="I539" s="11">
        <v>10.9</v>
      </c>
    </row>
    <row r="540" spans="1:9" x14ac:dyDescent="0.25">
      <c r="A540" s="113" t="s">
        <v>140</v>
      </c>
      <c r="B540" s="1" t="s">
        <v>198</v>
      </c>
      <c r="H540"/>
      <c r="I540"/>
    </row>
    <row r="541" spans="1:9" x14ac:dyDescent="0.25">
      <c r="A541" s="114"/>
      <c r="B541" s="5" t="s">
        <v>140</v>
      </c>
      <c r="C541" s="3" t="s">
        <v>398</v>
      </c>
      <c r="D541" s="3" t="s">
        <v>545</v>
      </c>
      <c r="E541" s="36">
        <v>1</v>
      </c>
      <c r="F541" s="37" t="s">
        <v>918</v>
      </c>
      <c r="G541" s="29">
        <v>0</v>
      </c>
      <c r="H541" s="11">
        <v>13.9</v>
      </c>
      <c r="I541" s="11">
        <v>13.9</v>
      </c>
    </row>
    <row r="542" spans="1:9" x14ac:dyDescent="0.25">
      <c r="A542" s="114"/>
      <c r="B542" s="6" t="s">
        <v>144</v>
      </c>
      <c r="C542" s="4" t="s">
        <v>399</v>
      </c>
      <c r="D542" s="4" t="s">
        <v>571</v>
      </c>
      <c r="E542" s="41">
        <v>1</v>
      </c>
      <c r="F542" s="38" t="s">
        <v>918</v>
      </c>
      <c r="G542" s="30">
        <v>0</v>
      </c>
      <c r="H542" s="12">
        <v>13.9</v>
      </c>
      <c r="I542" s="12">
        <v>13.9</v>
      </c>
    </row>
    <row r="543" spans="1:9" x14ac:dyDescent="0.25">
      <c r="A543" s="114"/>
      <c r="B543" s="6" t="s">
        <v>148</v>
      </c>
      <c r="C543" s="4" t="s">
        <v>400</v>
      </c>
      <c r="D543" s="4" t="s">
        <v>570</v>
      </c>
      <c r="E543" s="41">
        <v>1</v>
      </c>
      <c r="F543" s="38" t="s">
        <v>918</v>
      </c>
      <c r="G543" s="30">
        <v>0</v>
      </c>
      <c r="H543" s="12">
        <v>13.9</v>
      </c>
      <c r="I543" s="12">
        <v>13.9</v>
      </c>
    </row>
    <row r="544" spans="1:9" x14ac:dyDescent="0.25">
      <c r="A544" s="114"/>
      <c r="B544" s="6" t="s">
        <v>154</v>
      </c>
      <c r="C544" s="4" t="s">
        <v>401</v>
      </c>
      <c r="D544" s="4" t="s">
        <v>562</v>
      </c>
      <c r="E544" s="41">
        <v>1</v>
      </c>
      <c r="F544" s="38" t="s">
        <v>918</v>
      </c>
      <c r="G544" s="30">
        <v>0</v>
      </c>
      <c r="H544" s="12">
        <v>13.9</v>
      </c>
      <c r="I544" s="12">
        <v>13.9</v>
      </c>
    </row>
    <row r="545" spans="1:9" x14ac:dyDescent="0.25">
      <c r="A545" s="113" t="s">
        <v>952</v>
      </c>
      <c r="B545" s="1" t="s">
        <v>967</v>
      </c>
      <c r="H545"/>
      <c r="I545"/>
    </row>
    <row r="546" spans="1:9" x14ac:dyDescent="0.25">
      <c r="A546" s="114"/>
      <c r="B546" s="5" t="s">
        <v>952</v>
      </c>
      <c r="C546" s="3" t="s">
        <v>979</v>
      </c>
      <c r="D546" s="3" t="s">
        <v>1384</v>
      </c>
      <c r="E546" s="36">
        <v>1</v>
      </c>
      <c r="F546" s="37" t="s">
        <v>918</v>
      </c>
      <c r="G546" s="29">
        <v>0</v>
      </c>
      <c r="H546" s="11">
        <v>24.9</v>
      </c>
      <c r="I546" s="11">
        <v>24.9</v>
      </c>
    </row>
    <row r="547" spans="1:9" x14ac:dyDescent="0.25">
      <c r="A547" s="113" t="s">
        <v>51</v>
      </c>
      <c r="B547" s="1" t="s">
        <v>714</v>
      </c>
      <c r="H547"/>
      <c r="I547"/>
    </row>
    <row r="548" spans="1:9" x14ac:dyDescent="0.25">
      <c r="A548" s="114"/>
      <c r="B548" s="5" t="s">
        <v>51</v>
      </c>
      <c r="C548" s="3" t="s">
        <v>402</v>
      </c>
      <c r="D548" s="3" t="s">
        <v>546</v>
      </c>
      <c r="E548" s="36">
        <v>1</v>
      </c>
      <c r="F548" s="37" t="s">
        <v>918</v>
      </c>
      <c r="G548" s="29">
        <v>0</v>
      </c>
      <c r="H548" s="11">
        <v>31.9</v>
      </c>
      <c r="I548" s="11">
        <v>31.9</v>
      </c>
    </row>
    <row r="549" spans="1:9" x14ac:dyDescent="0.25">
      <c r="A549" s="113" t="s">
        <v>52</v>
      </c>
      <c r="B549" s="1" t="s">
        <v>715</v>
      </c>
      <c r="H549"/>
      <c r="I549"/>
    </row>
    <row r="550" spans="1:9" x14ac:dyDescent="0.25">
      <c r="A550" s="114"/>
      <c r="B550" s="5" t="s">
        <v>52</v>
      </c>
      <c r="C550" s="3" t="s">
        <v>403</v>
      </c>
      <c r="D550" s="3" t="s">
        <v>546</v>
      </c>
      <c r="E550" s="36">
        <v>1</v>
      </c>
      <c r="F550" s="37" t="s">
        <v>918</v>
      </c>
      <c r="G550" s="29">
        <v>0</v>
      </c>
      <c r="H550" s="11">
        <v>54.9</v>
      </c>
      <c r="I550" s="11">
        <v>54.9</v>
      </c>
    </row>
    <row r="551" spans="1:9" x14ac:dyDescent="0.25">
      <c r="A551" s="113" t="s">
        <v>38</v>
      </c>
      <c r="B551" s="1" t="s">
        <v>205</v>
      </c>
      <c r="H551"/>
      <c r="I551"/>
    </row>
    <row r="552" spans="1:9" x14ac:dyDescent="0.25">
      <c r="A552" s="114"/>
      <c r="B552" s="5" t="s">
        <v>38</v>
      </c>
      <c r="C552" s="3" t="s">
        <v>404</v>
      </c>
      <c r="D552" s="3" t="s">
        <v>546</v>
      </c>
      <c r="E552" s="36">
        <v>1</v>
      </c>
      <c r="F552" s="37" t="s">
        <v>918</v>
      </c>
      <c r="G552" s="29">
        <v>0</v>
      </c>
      <c r="H552" s="11">
        <v>129.9</v>
      </c>
      <c r="I552" s="11">
        <v>129.9</v>
      </c>
    </row>
    <row r="553" spans="1:9" x14ac:dyDescent="0.25">
      <c r="A553" s="113" t="s">
        <v>1641</v>
      </c>
      <c r="B553" s="1" t="s">
        <v>1642</v>
      </c>
      <c r="H553"/>
      <c r="I553"/>
    </row>
    <row r="554" spans="1:9" x14ac:dyDescent="0.25">
      <c r="A554" s="114"/>
      <c r="B554" s="5" t="s">
        <v>1641</v>
      </c>
      <c r="C554" s="3" t="s">
        <v>1643</v>
      </c>
      <c r="D554" s="3" t="s">
        <v>546</v>
      </c>
      <c r="E554" s="36">
        <v>1</v>
      </c>
      <c r="F554" s="37" t="s">
        <v>918</v>
      </c>
      <c r="G554" s="29">
        <v>0</v>
      </c>
      <c r="H554" s="11">
        <v>129.9</v>
      </c>
      <c r="I554" s="11">
        <v>129.9</v>
      </c>
    </row>
    <row r="555" spans="1:9" x14ac:dyDescent="0.25">
      <c r="A555" s="113" t="s">
        <v>890</v>
      </c>
      <c r="B555" s="1" t="s">
        <v>206</v>
      </c>
      <c r="H555"/>
      <c r="I555"/>
    </row>
    <row r="556" spans="1:9" x14ac:dyDescent="0.25">
      <c r="A556" s="114"/>
      <c r="B556" s="5" t="s">
        <v>890</v>
      </c>
      <c r="C556" s="3" t="s">
        <v>891</v>
      </c>
      <c r="D556" s="3" t="s">
        <v>546</v>
      </c>
      <c r="E556" s="36">
        <v>1</v>
      </c>
      <c r="F556" s="37" t="s">
        <v>918</v>
      </c>
      <c r="G556" s="29">
        <v>0</v>
      </c>
      <c r="H556" s="11">
        <v>169.9</v>
      </c>
      <c r="I556" s="11">
        <v>169.9</v>
      </c>
    </row>
    <row r="557" spans="1:9" x14ac:dyDescent="0.25">
      <c r="A557" s="113" t="s">
        <v>1094</v>
      </c>
      <c r="B557" s="1" t="s">
        <v>1095</v>
      </c>
      <c r="H557"/>
      <c r="I557"/>
    </row>
    <row r="558" spans="1:9" x14ac:dyDescent="0.25">
      <c r="A558" s="114"/>
      <c r="B558" s="5" t="s">
        <v>1094</v>
      </c>
      <c r="C558" s="3" t="s">
        <v>1096</v>
      </c>
      <c r="D558" s="3" t="s">
        <v>546</v>
      </c>
      <c r="E558" s="36">
        <v>6</v>
      </c>
      <c r="F558" s="37" t="s">
        <v>918</v>
      </c>
      <c r="G558" s="29">
        <v>0</v>
      </c>
      <c r="H558" s="11">
        <v>89.9</v>
      </c>
      <c r="I558" s="11">
        <v>89.9</v>
      </c>
    </row>
    <row r="559" spans="1:9" x14ac:dyDescent="0.25">
      <c r="A559" s="114"/>
      <c r="B559" s="1" t="s">
        <v>1646</v>
      </c>
      <c r="H559"/>
      <c r="I559"/>
    </row>
    <row r="560" spans="1:9" x14ac:dyDescent="0.25">
      <c r="A560" s="114"/>
      <c r="B560" s="5" t="s">
        <v>1644</v>
      </c>
      <c r="C560" s="3" t="s">
        <v>1645</v>
      </c>
      <c r="D560" s="3" t="s">
        <v>546</v>
      </c>
      <c r="E560" s="36">
        <v>6</v>
      </c>
      <c r="F560" s="37" t="s">
        <v>918</v>
      </c>
      <c r="G560" s="29">
        <v>0</v>
      </c>
      <c r="H560" s="11">
        <v>89.9</v>
      </c>
      <c r="I560" s="11">
        <v>89.9</v>
      </c>
    </row>
    <row r="561" spans="1:9" x14ac:dyDescent="0.25">
      <c r="A561" s="113" t="s">
        <v>509</v>
      </c>
      <c r="B561" s="1" t="s">
        <v>510</v>
      </c>
      <c r="H561"/>
      <c r="I561"/>
    </row>
    <row r="562" spans="1:9" x14ac:dyDescent="0.25">
      <c r="A562" s="114"/>
      <c r="B562" s="5" t="s">
        <v>509</v>
      </c>
      <c r="C562" s="3" t="s">
        <v>511</v>
      </c>
      <c r="D562" s="3" t="s">
        <v>546</v>
      </c>
      <c r="E562" s="36">
        <v>48</v>
      </c>
      <c r="F562" s="37" t="s">
        <v>918</v>
      </c>
      <c r="G562" s="29">
        <v>0</v>
      </c>
      <c r="H562" s="11">
        <v>10.9</v>
      </c>
      <c r="I562" s="11">
        <v>10.9</v>
      </c>
    </row>
    <row r="563" spans="1:9" x14ac:dyDescent="0.25">
      <c r="A563" s="113" t="s">
        <v>513</v>
      </c>
      <c r="B563" s="1" t="s">
        <v>512</v>
      </c>
      <c r="H563"/>
      <c r="I563"/>
    </row>
    <row r="564" spans="1:9" x14ac:dyDescent="0.25">
      <c r="A564" s="114"/>
      <c r="B564" s="5" t="s">
        <v>513</v>
      </c>
      <c r="C564" s="3" t="s">
        <v>514</v>
      </c>
      <c r="D564" s="3" t="s">
        <v>546</v>
      </c>
      <c r="E564" s="36">
        <v>24</v>
      </c>
      <c r="F564" s="37" t="s">
        <v>918</v>
      </c>
      <c r="G564" s="29">
        <v>0</v>
      </c>
      <c r="H564" s="11">
        <v>15.9</v>
      </c>
      <c r="I564" s="11">
        <v>15.9</v>
      </c>
    </row>
    <row r="565" spans="1:9" x14ac:dyDescent="0.25">
      <c r="A565" s="113" t="s">
        <v>786</v>
      </c>
      <c r="B565" s="1" t="s">
        <v>787</v>
      </c>
      <c r="H565"/>
      <c r="I565"/>
    </row>
    <row r="566" spans="1:9" x14ac:dyDescent="0.25">
      <c r="A566" s="114"/>
      <c r="B566" s="5" t="s">
        <v>786</v>
      </c>
      <c r="C566" s="3" t="s">
        <v>788</v>
      </c>
      <c r="D566" s="3" t="s">
        <v>546</v>
      </c>
      <c r="E566" s="36" t="s">
        <v>546</v>
      </c>
      <c r="F566" s="37" t="s">
        <v>918</v>
      </c>
      <c r="G566" s="29">
        <v>0</v>
      </c>
      <c r="H566" s="11">
        <v>53.9</v>
      </c>
      <c r="I566" s="11">
        <v>53.9</v>
      </c>
    </row>
    <row r="567" spans="1:9" x14ac:dyDescent="0.25">
      <c r="A567" s="113" t="s">
        <v>515</v>
      </c>
      <c r="B567" s="1" t="s">
        <v>789</v>
      </c>
      <c r="H567"/>
      <c r="I567"/>
    </row>
    <row r="568" spans="1:9" x14ac:dyDescent="0.25">
      <c r="A568" s="114"/>
      <c r="B568" s="5" t="s">
        <v>515</v>
      </c>
      <c r="C568" s="3" t="s">
        <v>521</v>
      </c>
      <c r="D568" s="3" t="s">
        <v>546</v>
      </c>
      <c r="E568" s="36">
        <v>10</v>
      </c>
      <c r="F568" s="37" t="s">
        <v>918</v>
      </c>
      <c r="G568" s="29">
        <v>0</v>
      </c>
      <c r="H568" s="11">
        <v>59.9</v>
      </c>
      <c r="I568" s="11">
        <v>59.9</v>
      </c>
    </row>
    <row r="569" spans="1:9" x14ac:dyDescent="0.25">
      <c r="A569" s="113" t="s">
        <v>516</v>
      </c>
      <c r="B569" s="1" t="s">
        <v>793</v>
      </c>
      <c r="H569"/>
      <c r="I569"/>
    </row>
    <row r="570" spans="1:9" x14ac:dyDescent="0.25">
      <c r="A570" s="114"/>
      <c r="B570" s="5" t="s">
        <v>516</v>
      </c>
      <c r="C570" s="3" t="s">
        <v>517</v>
      </c>
      <c r="D570" s="3" t="s">
        <v>546</v>
      </c>
      <c r="E570" s="36" t="s">
        <v>546</v>
      </c>
      <c r="F570" s="37" t="s">
        <v>918</v>
      </c>
      <c r="G570" s="29">
        <v>0</v>
      </c>
      <c r="H570" s="11">
        <v>21.9</v>
      </c>
      <c r="I570" s="11">
        <v>21.9</v>
      </c>
    </row>
    <row r="571" spans="1:9" x14ac:dyDescent="0.25">
      <c r="A571" s="113" t="s">
        <v>908</v>
      </c>
      <c r="B571" s="1" t="s">
        <v>909</v>
      </c>
      <c r="H571"/>
      <c r="I571"/>
    </row>
    <row r="572" spans="1:9" x14ac:dyDescent="0.25">
      <c r="A572" s="114"/>
      <c r="B572" s="5" t="s">
        <v>908</v>
      </c>
      <c r="C572" s="3" t="s">
        <v>910</v>
      </c>
      <c r="D572" s="3" t="s">
        <v>546</v>
      </c>
      <c r="E572" s="36">
        <v>24</v>
      </c>
      <c r="F572" s="37" t="s">
        <v>918</v>
      </c>
      <c r="G572" s="29">
        <v>0</v>
      </c>
      <c r="H572" s="11">
        <v>15.9</v>
      </c>
      <c r="I572" s="11">
        <v>15.9</v>
      </c>
    </row>
    <row r="573" spans="1:9" x14ac:dyDescent="0.25">
      <c r="A573" s="113" t="s">
        <v>950</v>
      </c>
      <c r="B573" s="1" t="s">
        <v>965</v>
      </c>
      <c r="H573"/>
      <c r="I573"/>
    </row>
    <row r="574" spans="1:9" x14ac:dyDescent="0.25">
      <c r="A574" s="114"/>
      <c r="B574" s="5" t="s">
        <v>950</v>
      </c>
      <c r="C574" s="3" t="s">
        <v>980</v>
      </c>
      <c r="D574" s="3" t="s">
        <v>546</v>
      </c>
      <c r="E574" s="36" t="s">
        <v>546</v>
      </c>
      <c r="F574" s="37" t="s">
        <v>922</v>
      </c>
      <c r="G574" s="29">
        <v>0</v>
      </c>
      <c r="H574" s="11">
        <v>58.9</v>
      </c>
      <c r="I574" s="11">
        <v>58.9</v>
      </c>
    </row>
    <row r="575" spans="1:9" x14ac:dyDescent="0.25">
      <c r="A575" s="113" t="s">
        <v>913</v>
      </c>
      <c r="B575" s="1" t="s">
        <v>914</v>
      </c>
      <c r="H575"/>
      <c r="I575"/>
    </row>
    <row r="576" spans="1:9" x14ac:dyDescent="0.25">
      <c r="A576" s="114"/>
      <c r="B576" s="5" t="s">
        <v>913</v>
      </c>
      <c r="C576" s="3" t="s">
        <v>915</v>
      </c>
      <c r="D576" s="3" t="s">
        <v>546</v>
      </c>
      <c r="E576" s="36">
        <v>24</v>
      </c>
      <c r="F576" s="37" t="s">
        <v>918</v>
      </c>
      <c r="G576" s="29">
        <v>0</v>
      </c>
      <c r="H576" s="11">
        <v>34.9</v>
      </c>
      <c r="I576" s="11">
        <v>34.9</v>
      </c>
    </row>
    <row r="577" spans="1:9" x14ac:dyDescent="0.25">
      <c r="A577" s="113" t="s">
        <v>1228</v>
      </c>
      <c r="B577" s="1" t="s">
        <v>1241</v>
      </c>
      <c r="H577"/>
      <c r="I577"/>
    </row>
    <row r="578" spans="1:9" x14ac:dyDescent="0.25">
      <c r="A578" s="114"/>
      <c r="B578" s="5" t="s">
        <v>1228</v>
      </c>
      <c r="C578" s="3" t="s">
        <v>1273</v>
      </c>
      <c r="D578" s="3" t="s">
        <v>546</v>
      </c>
      <c r="E578" s="36" t="s">
        <v>546</v>
      </c>
      <c r="F578" s="37" t="s">
        <v>918</v>
      </c>
      <c r="G578" s="29">
        <v>0</v>
      </c>
      <c r="H578" s="11">
        <v>39.9</v>
      </c>
      <c r="I578" s="11">
        <v>39.9</v>
      </c>
    </row>
    <row r="579" spans="1:9" x14ac:dyDescent="0.25">
      <c r="A579" s="113" t="s">
        <v>1138</v>
      </c>
      <c r="B579" s="1" t="s">
        <v>1139</v>
      </c>
      <c r="H579"/>
      <c r="I579"/>
    </row>
    <row r="580" spans="1:9" x14ac:dyDescent="0.25">
      <c r="A580" s="114"/>
      <c r="B580" s="5" t="s">
        <v>1138</v>
      </c>
      <c r="C580" s="3" t="s">
        <v>1140</v>
      </c>
      <c r="D580" s="3" t="s">
        <v>546</v>
      </c>
      <c r="E580" s="36" t="s">
        <v>546</v>
      </c>
      <c r="F580" s="37" t="s">
        <v>918</v>
      </c>
      <c r="G580" s="29">
        <v>0</v>
      </c>
      <c r="H580" s="11">
        <v>14.9</v>
      </c>
      <c r="I580" s="11">
        <v>14.9</v>
      </c>
    </row>
    <row r="581" spans="1:9" x14ac:dyDescent="0.25">
      <c r="A581" s="113" t="s">
        <v>1141</v>
      </c>
      <c r="B581" s="1" t="s">
        <v>1142</v>
      </c>
      <c r="H581"/>
      <c r="I581"/>
    </row>
    <row r="582" spans="1:9" x14ac:dyDescent="0.25">
      <c r="A582" s="114"/>
      <c r="B582" s="5" t="s">
        <v>1141</v>
      </c>
      <c r="C582" s="3" t="s">
        <v>1143</v>
      </c>
      <c r="D582" s="3" t="s">
        <v>546</v>
      </c>
      <c r="E582" s="36" t="s">
        <v>546</v>
      </c>
      <c r="F582" s="37" t="s">
        <v>918</v>
      </c>
      <c r="G582" s="29">
        <v>0</v>
      </c>
      <c r="H582" s="11">
        <v>7.9</v>
      </c>
      <c r="I582" s="11">
        <v>7.9</v>
      </c>
    </row>
    <row r="583" spans="1:9" x14ac:dyDescent="0.25">
      <c r="A583" s="113" t="s">
        <v>1229</v>
      </c>
      <c r="B583" s="1" t="s">
        <v>1262</v>
      </c>
      <c r="H583"/>
      <c r="I583"/>
    </row>
    <row r="584" spans="1:9" x14ac:dyDescent="0.25">
      <c r="A584" s="114"/>
      <c r="B584" s="5" t="s">
        <v>1229</v>
      </c>
      <c r="C584" s="3" t="s">
        <v>1266</v>
      </c>
      <c r="D584" s="3" t="s">
        <v>546</v>
      </c>
      <c r="E584" s="36" t="s">
        <v>546</v>
      </c>
      <c r="F584" s="37" t="s">
        <v>918</v>
      </c>
      <c r="G584" s="29">
        <v>0</v>
      </c>
      <c r="H584" s="11">
        <v>54.9</v>
      </c>
      <c r="I584" s="11">
        <v>54.9</v>
      </c>
    </row>
    <row r="585" spans="1:9" x14ac:dyDescent="0.25">
      <c r="A585" s="113" t="s">
        <v>1339</v>
      </c>
      <c r="B585" s="1" t="s">
        <v>1340</v>
      </c>
      <c r="H585"/>
      <c r="I585"/>
    </row>
    <row r="586" spans="1:9" x14ac:dyDescent="0.25">
      <c r="A586" s="114"/>
      <c r="B586" s="5" t="s">
        <v>1339</v>
      </c>
      <c r="C586" s="3" t="s">
        <v>1341</v>
      </c>
      <c r="D586" s="3" t="s">
        <v>546</v>
      </c>
      <c r="E586" s="36" t="s">
        <v>546</v>
      </c>
      <c r="F586" s="37" t="s">
        <v>918</v>
      </c>
      <c r="G586" s="29">
        <v>0</v>
      </c>
      <c r="H586" s="11">
        <v>5.9</v>
      </c>
      <c r="I586" s="11">
        <v>5.9</v>
      </c>
    </row>
    <row r="587" spans="1:9" x14ac:dyDescent="0.25">
      <c r="A587" s="113" t="s">
        <v>1156</v>
      </c>
      <c r="B587" s="1" t="s">
        <v>1157</v>
      </c>
      <c r="H587"/>
      <c r="I587"/>
    </row>
    <row r="588" spans="1:9" x14ac:dyDescent="0.25">
      <c r="A588" s="114"/>
      <c r="B588" s="5" t="s">
        <v>1156</v>
      </c>
      <c r="C588" s="3" t="s">
        <v>1158</v>
      </c>
      <c r="D588" s="3" t="s">
        <v>546</v>
      </c>
      <c r="E588" s="36" t="s">
        <v>546</v>
      </c>
      <c r="F588" s="37" t="s">
        <v>918</v>
      </c>
      <c r="G588" s="29">
        <v>0</v>
      </c>
      <c r="H588" s="11">
        <v>49.9</v>
      </c>
      <c r="I588" s="11">
        <v>49.9</v>
      </c>
    </row>
    <row r="589" spans="1:9" x14ac:dyDescent="0.25">
      <c r="A589" s="113" t="s">
        <v>1162</v>
      </c>
      <c r="B589" s="1" t="s">
        <v>1163</v>
      </c>
      <c r="H589"/>
      <c r="I589"/>
    </row>
    <row r="590" spans="1:9" x14ac:dyDescent="0.25">
      <c r="A590" s="114"/>
      <c r="B590" s="5" t="s">
        <v>1162</v>
      </c>
      <c r="C590" s="3" t="s">
        <v>1164</v>
      </c>
      <c r="D590" s="3" t="s">
        <v>546</v>
      </c>
      <c r="E590" s="36">
        <v>100</v>
      </c>
      <c r="F590" s="37" t="s">
        <v>918</v>
      </c>
      <c r="G590" s="29">
        <v>0</v>
      </c>
      <c r="H590" s="11">
        <v>8.9</v>
      </c>
      <c r="I590" s="11">
        <v>8.9</v>
      </c>
    </row>
    <row r="591" spans="1:9" x14ac:dyDescent="0.25">
      <c r="A591" s="113" t="s">
        <v>1171</v>
      </c>
      <c r="B591" s="1" t="s">
        <v>1169</v>
      </c>
      <c r="H591"/>
      <c r="I591"/>
    </row>
    <row r="592" spans="1:9" x14ac:dyDescent="0.25">
      <c r="A592" s="114"/>
      <c r="B592" s="5" t="s">
        <v>1171</v>
      </c>
      <c r="C592" s="3" t="s">
        <v>1170</v>
      </c>
      <c r="D592" s="3" t="s">
        <v>546</v>
      </c>
      <c r="E592" s="36" t="s">
        <v>546</v>
      </c>
      <c r="F592" s="37" t="s">
        <v>918</v>
      </c>
      <c r="G592" s="29">
        <v>0</v>
      </c>
      <c r="H592" s="11">
        <v>2.9</v>
      </c>
      <c r="I592" s="11">
        <v>2.9</v>
      </c>
    </row>
    <row r="593" spans="1:9" x14ac:dyDescent="0.25">
      <c r="A593" s="113" t="s">
        <v>1240</v>
      </c>
      <c r="B593" s="1" t="s">
        <v>1262</v>
      </c>
      <c r="H593"/>
      <c r="I593"/>
    </row>
    <row r="594" spans="1:9" x14ac:dyDescent="0.25">
      <c r="A594" s="114"/>
      <c r="B594" s="5" t="s">
        <v>1240</v>
      </c>
      <c r="C594" s="3" t="s">
        <v>1267</v>
      </c>
      <c r="D594" s="3" t="s">
        <v>546</v>
      </c>
      <c r="E594" s="36" t="s">
        <v>546</v>
      </c>
      <c r="F594" s="37" t="s">
        <v>918</v>
      </c>
      <c r="G594" s="29">
        <v>0</v>
      </c>
      <c r="H594" s="11">
        <v>39.9</v>
      </c>
      <c r="I594" s="11">
        <v>39.9</v>
      </c>
    </row>
    <row r="595" spans="1:9" x14ac:dyDescent="0.25">
      <c r="A595" s="113" t="s">
        <v>1370</v>
      </c>
      <c r="B595" s="1" t="s">
        <v>1371</v>
      </c>
      <c r="H595"/>
      <c r="I595"/>
    </row>
    <row r="596" spans="1:9" x14ac:dyDescent="0.25">
      <c r="A596" s="114"/>
      <c r="B596" s="5" t="s">
        <v>1370</v>
      </c>
      <c r="C596" s="3" t="s">
        <v>1389</v>
      </c>
      <c r="D596" s="3" t="s">
        <v>546</v>
      </c>
      <c r="E596" s="36">
        <v>1</v>
      </c>
      <c r="F596" s="37" t="s">
        <v>918</v>
      </c>
      <c r="G596" s="29">
        <v>0</v>
      </c>
      <c r="H596" s="11">
        <v>19.899999999999999</v>
      </c>
      <c r="I596" s="11">
        <v>19.899999999999999</v>
      </c>
    </row>
    <row r="597" spans="1:9" x14ac:dyDescent="0.25">
      <c r="A597" s="113" t="s">
        <v>1673</v>
      </c>
      <c r="B597" s="1" t="s">
        <v>1372</v>
      </c>
      <c r="H597"/>
      <c r="I597"/>
    </row>
    <row r="598" spans="1:9" x14ac:dyDescent="0.25">
      <c r="A598" s="114"/>
      <c r="B598" s="5" t="s">
        <v>1701</v>
      </c>
      <c r="C598" s="3" t="s">
        <v>1390</v>
      </c>
      <c r="D598" s="3" t="s">
        <v>546</v>
      </c>
      <c r="E598" s="36">
        <v>1</v>
      </c>
      <c r="F598" s="37" t="s">
        <v>918</v>
      </c>
      <c r="G598" s="29">
        <v>0</v>
      </c>
      <c r="H598" s="11">
        <v>24.9</v>
      </c>
      <c r="I598" s="11">
        <v>24.9</v>
      </c>
    </row>
    <row r="599" spans="1:9" x14ac:dyDescent="0.25">
      <c r="A599" s="113" t="s">
        <v>1429</v>
      </c>
      <c r="B599" s="1" t="s">
        <v>1664</v>
      </c>
      <c r="H599"/>
      <c r="I599"/>
    </row>
    <row r="600" spans="1:9" x14ac:dyDescent="0.25">
      <c r="A600" s="114"/>
      <c r="B600" s="5" t="s">
        <v>1670</v>
      </c>
      <c r="C600" s="3" t="s">
        <v>1676</v>
      </c>
      <c r="D600" s="3" t="s">
        <v>546</v>
      </c>
      <c r="E600" s="36" t="s">
        <v>546</v>
      </c>
      <c r="F600" s="37" t="s">
        <v>918</v>
      </c>
      <c r="G600" s="29">
        <v>0</v>
      </c>
      <c r="H600" s="11">
        <v>13.9</v>
      </c>
      <c r="I600" s="11">
        <v>13.9</v>
      </c>
    </row>
    <row r="601" spans="1:9" x14ac:dyDescent="0.25">
      <c r="A601" s="113" t="s">
        <v>1659</v>
      </c>
      <c r="B601" s="1" t="s">
        <v>1661</v>
      </c>
      <c r="H601"/>
      <c r="I601"/>
    </row>
    <row r="602" spans="1:9" x14ac:dyDescent="0.25">
      <c r="A602" s="114"/>
      <c r="B602" s="5" t="s">
        <v>1659</v>
      </c>
      <c r="C602" s="3" t="s">
        <v>1660</v>
      </c>
      <c r="D602" s="3" t="s">
        <v>546</v>
      </c>
      <c r="E602" s="36" t="s">
        <v>546</v>
      </c>
      <c r="F602" s="37" t="s">
        <v>918</v>
      </c>
      <c r="G602" s="29">
        <v>0</v>
      </c>
      <c r="H602" s="11">
        <v>19.899999999999999</v>
      </c>
      <c r="I602" s="11">
        <v>19.899999999999999</v>
      </c>
    </row>
    <row r="603" spans="1:9" x14ac:dyDescent="0.25">
      <c r="A603" s="113" t="s">
        <v>1665</v>
      </c>
      <c r="B603" s="1" t="s">
        <v>1666</v>
      </c>
      <c r="H603"/>
      <c r="I603"/>
    </row>
    <row r="604" spans="1:9" x14ac:dyDescent="0.25">
      <c r="A604" s="114"/>
      <c r="B604" s="5" t="s">
        <v>1665</v>
      </c>
      <c r="C604" s="3" t="s">
        <v>1667</v>
      </c>
      <c r="D604" s="3" t="s">
        <v>546</v>
      </c>
      <c r="E604" s="36" t="s">
        <v>546</v>
      </c>
      <c r="F604" s="37" t="s">
        <v>918</v>
      </c>
      <c r="G604" s="29">
        <v>0</v>
      </c>
      <c r="H604" s="11">
        <v>34.9</v>
      </c>
      <c r="I604" s="11">
        <v>34.9</v>
      </c>
    </row>
    <row r="605" spans="1:9" x14ac:dyDescent="0.25">
      <c r="A605" s="113" t="s">
        <v>1827</v>
      </c>
      <c r="B605" s="1" t="s">
        <v>1828</v>
      </c>
      <c r="H605"/>
      <c r="I605"/>
    </row>
    <row r="606" spans="1:9" x14ac:dyDescent="0.25">
      <c r="A606" s="114"/>
      <c r="B606" s="5" t="s">
        <v>1827</v>
      </c>
      <c r="C606" s="3" t="s">
        <v>1829</v>
      </c>
      <c r="D606" s="3" t="s">
        <v>546</v>
      </c>
      <c r="E606" s="36" t="s">
        <v>546</v>
      </c>
      <c r="F606" s="37" t="s">
        <v>918</v>
      </c>
      <c r="G606" s="29">
        <v>0</v>
      </c>
      <c r="H606" s="11">
        <v>19.899999999999999</v>
      </c>
      <c r="I606" s="11">
        <v>19.899999999999999</v>
      </c>
    </row>
    <row r="607" spans="1:9" x14ac:dyDescent="0.25">
      <c r="A607" s="113" t="s">
        <v>49</v>
      </c>
      <c r="B607" s="1" t="s">
        <v>211</v>
      </c>
      <c r="H607"/>
      <c r="I607"/>
    </row>
    <row r="608" spans="1:9" x14ac:dyDescent="0.25">
      <c r="A608" s="114"/>
      <c r="B608" s="5" t="s">
        <v>49</v>
      </c>
      <c r="C608" s="3" t="s">
        <v>405</v>
      </c>
      <c r="D608" s="3" t="s">
        <v>546</v>
      </c>
      <c r="E608" s="36">
        <v>24</v>
      </c>
      <c r="F608" s="37" t="s">
        <v>918</v>
      </c>
      <c r="G608" s="29">
        <v>0</v>
      </c>
      <c r="H608" s="11">
        <v>79.900000000000006</v>
      </c>
      <c r="I608" s="11">
        <v>79.900000000000006</v>
      </c>
    </row>
    <row r="609" spans="1:9" x14ac:dyDescent="0.25">
      <c r="A609" s="113" t="s">
        <v>152</v>
      </c>
      <c r="B609" s="1" t="s">
        <v>212</v>
      </c>
      <c r="H609"/>
      <c r="I609"/>
    </row>
    <row r="610" spans="1:9" x14ac:dyDescent="0.25">
      <c r="A610" s="114"/>
      <c r="B610" s="5" t="s">
        <v>152</v>
      </c>
      <c r="C610" s="3" t="s">
        <v>406</v>
      </c>
      <c r="D610" s="3" t="s">
        <v>572</v>
      </c>
      <c r="E610" s="36">
        <v>1</v>
      </c>
      <c r="F610" s="37" t="s">
        <v>918</v>
      </c>
      <c r="G610" s="29">
        <v>0</v>
      </c>
      <c r="H610" s="11">
        <v>42.9</v>
      </c>
      <c r="I610" s="11">
        <v>42.9</v>
      </c>
    </row>
    <row r="611" spans="1:9" x14ac:dyDescent="0.25">
      <c r="A611" s="114"/>
      <c r="B611" s="6" t="s">
        <v>145</v>
      </c>
      <c r="C611" s="4" t="s">
        <v>407</v>
      </c>
      <c r="D611" s="4" t="s">
        <v>571</v>
      </c>
      <c r="E611" s="41">
        <v>1</v>
      </c>
      <c r="F611" s="38" t="s">
        <v>918</v>
      </c>
      <c r="G611" s="30">
        <v>0</v>
      </c>
      <c r="H611" s="12">
        <v>42.9</v>
      </c>
      <c r="I611" s="12">
        <v>42.9</v>
      </c>
    </row>
    <row r="612" spans="1:9" x14ac:dyDescent="0.25">
      <c r="A612" s="114"/>
      <c r="B612" s="6" t="s">
        <v>151</v>
      </c>
      <c r="C612" s="4" t="s">
        <v>408</v>
      </c>
      <c r="D612" s="4" t="s">
        <v>570</v>
      </c>
      <c r="E612" s="41">
        <v>1</v>
      </c>
      <c r="F612" s="38" t="s">
        <v>918</v>
      </c>
      <c r="G612" s="30">
        <v>0</v>
      </c>
      <c r="H612" s="12">
        <v>42.9</v>
      </c>
      <c r="I612" s="12">
        <v>42.9</v>
      </c>
    </row>
    <row r="613" spans="1:9" x14ac:dyDescent="0.25">
      <c r="A613" s="114"/>
      <c r="B613" s="6" t="s">
        <v>82</v>
      </c>
      <c r="C613" s="4" t="s">
        <v>409</v>
      </c>
      <c r="D613" s="4" t="s">
        <v>562</v>
      </c>
      <c r="E613" s="41">
        <v>1</v>
      </c>
      <c r="F613" s="38" t="s">
        <v>918</v>
      </c>
      <c r="G613" s="30">
        <v>0</v>
      </c>
      <c r="H613" s="12">
        <v>42.9</v>
      </c>
      <c r="I613" s="12">
        <v>42.9</v>
      </c>
    </row>
    <row r="614" spans="1:9" x14ac:dyDescent="0.25">
      <c r="A614" s="113" t="s">
        <v>126</v>
      </c>
      <c r="B614" s="1" t="s">
        <v>213</v>
      </c>
      <c r="H614"/>
      <c r="I614"/>
    </row>
    <row r="615" spans="1:9" x14ac:dyDescent="0.25">
      <c r="A615" s="114"/>
      <c r="B615" s="5" t="s">
        <v>126</v>
      </c>
      <c r="C615" s="3" t="s">
        <v>410</v>
      </c>
      <c r="D615" s="3" t="s">
        <v>572</v>
      </c>
      <c r="E615" s="36">
        <v>1</v>
      </c>
      <c r="F615" s="37" t="s">
        <v>918</v>
      </c>
      <c r="G615" s="29">
        <v>0</v>
      </c>
      <c r="H615" s="11">
        <v>59.9</v>
      </c>
      <c r="I615" s="11">
        <v>59.9</v>
      </c>
    </row>
    <row r="616" spans="1:9" x14ac:dyDescent="0.25">
      <c r="A616" s="114"/>
      <c r="B616" s="6" t="s">
        <v>127</v>
      </c>
      <c r="C616" s="4" t="s">
        <v>411</v>
      </c>
      <c r="D616" s="4" t="s">
        <v>571</v>
      </c>
      <c r="E616" s="41">
        <v>1</v>
      </c>
      <c r="F616" s="38" t="s">
        <v>918</v>
      </c>
      <c r="G616" s="30">
        <v>0</v>
      </c>
      <c r="H616" s="12">
        <v>53.9</v>
      </c>
      <c r="I616" s="12">
        <v>53.9</v>
      </c>
    </row>
    <row r="617" spans="1:9" x14ac:dyDescent="0.25">
      <c r="A617" s="114"/>
      <c r="B617" s="6" t="s">
        <v>128</v>
      </c>
      <c r="C617" s="4" t="s">
        <v>412</v>
      </c>
      <c r="D617" s="4" t="s">
        <v>570</v>
      </c>
      <c r="E617" s="41">
        <v>1</v>
      </c>
      <c r="F617" s="38" t="s">
        <v>918</v>
      </c>
      <c r="G617" s="30">
        <v>0</v>
      </c>
      <c r="H617" s="12">
        <v>53.9</v>
      </c>
      <c r="I617" s="12">
        <v>53.9</v>
      </c>
    </row>
    <row r="618" spans="1:9" x14ac:dyDescent="0.25">
      <c r="A618" s="114"/>
      <c r="B618" s="6" t="s">
        <v>806</v>
      </c>
      <c r="C618" s="4" t="s">
        <v>834</v>
      </c>
      <c r="D618" s="4" t="s">
        <v>562</v>
      </c>
      <c r="E618" s="41" t="s">
        <v>546</v>
      </c>
      <c r="F618" s="38" t="s">
        <v>918</v>
      </c>
      <c r="G618" s="30">
        <v>0</v>
      </c>
      <c r="H618" s="12">
        <v>53.9</v>
      </c>
      <c r="I618" s="12">
        <v>53.9</v>
      </c>
    </row>
    <row r="619" spans="1:9" x14ac:dyDescent="0.25">
      <c r="A619" s="113" t="s">
        <v>153</v>
      </c>
      <c r="B619" s="1" t="s">
        <v>214</v>
      </c>
      <c r="H619"/>
      <c r="I619"/>
    </row>
    <row r="620" spans="1:9" x14ac:dyDescent="0.25">
      <c r="A620" s="114"/>
      <c r="B620" s="5" t="s">
        <v>153</v>
      </c>
      <c r="C620" s="3" t="s">
        <v>413</v>
      </c>
      <c r="D620" s="3" t="s">
        <v>572</v>
      </c>
      <c r="E620" s="36">
        <v>1</v>
      </c>
      <c r="F620" s="37" t="s">
        <v>918</v>
      </c>
      <c r="G620" s="29">
        <v>0</v>
      </c>
      <c r="H620" s="11">
        <v>79.900000000000006</v>
      </c>
      <c r="I620" s="11">
        <v>79.900000000000006</v>
      </c>
    </row>
    <row r="621" spans="1:9" x14ac:dyDescent="0.25">
      <c r="A621" s="114"/>
      <c r="B621" s="6" t="s">
        <v>146</v>
      </c>
      <c r="C621" s="4" t="s">
        <v>414</v>
      </c>
      <c r="D621" s="4" t="s">
        <v>571</v>
      </c>
      <c r="E621" s="41">
        <v>1</v>
      </c>
      <c r="F621" s="38" t="s">
        <v>918</v>
      </c>
      <c r="G621" s="30">
        <v>0</v>
      </c>
      <c r="H621" s="12">
        <v>74.900000000000006</v>
      </c>
      <c r="I621" s="12">
        <v>74.900000000000006</v>
      </c>
    </row>
    <row r="622" spans="1:9" x14ac:dyDescent="0.25">
      <c r="A622" s="114"/>
      <c r="B622" s="6" t="s">
        <v>129</v>
      </c>
      <c r="C622" s="4" t="s">
        <v>415</v>
      </c>
      <c r="D622" s="4" t="s">
        <v>570</v>
      </c>
      <c r="E622" s="41">
        <v>1</v>
      </c>
      <c r="F622" s="38" t="s">
        <v>918</v>
      </c>
      <c r="G622" s="30">
        <v>0</v>
      </c>
      <c r="H622" s="12">
        <v>74.900000000000006</v>
      </c>
      <c r="I622" s="12">
        <v>74.900000000000006</v>
      </c>
    </row>
    <row r="623" spans="1:9" x14ac:dyDescent="0.25">
      <c r="A623" s="114"/>
      <c r="B623" s="6" t="s">
        <v>83</v>
      </c>
      <c r="C623" s="4" t="s">
        <v>416</v>
      </c>
      <c r="D623" s="4" t="s">
        <v>562</v>
      </c>
      <c r="E623" s="41">
        <v>1</v>
      </c>
      <c r="F623" s="38" t="s">
        <v>918</v>
      </c>
      <c r="G623" s="30">
        <v>0</v>
      </c>
      <c r="H623" s="12">
        <v>74.900000000000006</v>
      </c>
      <c r="I623" s="12">
        <v>74.900000000000006</v>
      </c>
    </row>
    <row r="624" spans="1:9" x14ac:dyDescent="0.25">
      <c r="A624" s="113" t="s">
        <v>900</v>
      </c>
      <c r="B624" s="1" t="s">
        <v>904</v>
      </c>
      <c r="H624"/>
      <c r="I624"/>
    </row>
    <row r="625" spans="1:9" x14ac:dyDescent="0.25">
      <c r="A625" s="114"/>
      <c r="B625" s="5" t="s">
        <v>900</v>
      </c>
      <c r="C625" s="3" t="s">
        <v>905</v>
      </c>
      <c r="D625" s="3" t="s">
        <v>546</v>
      </c>
      <c r="E625" s="36">
        <v>12</v>
      </c>
      <c r="F625" s="37" t="s">
        <v>919</v>
      </c>
      <c r="G625" s="29">
        <v>0</v>
      </c>
      <c r="H625" s="11">
        <v>119.9</v>
      </c>
      <c r="I625" s="11">
        <v>119.9</v>
      </c>
    </row>
    <row r="626" spans="1:9" x14ac:dyDescent="0.25">
      <c r="A626" s="113" t="s">
        <v>901</v>
      </c>
      <c r="B626" s="1" t="s">
        <v>1830</v>
      </c>
      <c r="H626"/>
      <c r="I626"/>
    </row>
    <row r="627" spans="1:9" x14ac:dyDescent="0.25">
      <c r="A627" s="114"/>
      <c r="B627" s="5" t="s">
        <v>901</v>
      </c>
      <c r="C627" s="3" t="s">
        <v>906</v>
      </c>
      <c r="D627" s="3" t="s">
        <v>545</v>
      </c>
      <c r="E627" s="36">
        <v>18</v>
      </c>
      <c r="F627" s="37" t="s">
        <v>919</v>
      </c>
      <c r="G627" s="29">
        <v>0</v>
      </c>
      <c r="H627" s="11">
        <v>54.9</v>
      </c>
      <c r="I627" s="11">
        <v>54.9</v>
      </c>
    </row>
    <row r="628" spans="1:9" x14ac:dyDescent="0.25">
      <c r="A628" s="114"/>
      <c r="B628" s="6" t="s">
        <v>902</v>
      </c>
      <c r="C628" s="4" t="s">
        <v>907</v>
      </c>
      <c r="D628" s="4" t="s">
        <v>570</v>
      </c>
      <c r="E628" s="41">
        <v>18</v>
      </c>
      <c r="F628" s="38" t="s">
        <v>919</v>
      </c>
      <c r="G628" s="30">
        <v>0</v>
      </c>
      <c r="H628" s="12">
        <v>54.9</v>
      </c>
      <c r="I628" s="12">
        <v>54.9</v>
      </c>
    </row>
    <row r="629" spans="1:9" x14ac:dyDescent="0.25">
      <c r="A629" s="113" t="s">
        <v>1289</v>
      </c>
      <c r="B629" s="1" t="s">
        <v>1290</v>
      </c>
      <c r="H629"/>
      <c r="I629"/>
    </row>
    <row r="630" spans="1:9" x14ac:dyDescent="0.25">
      <c r="A630" s="114"/>
      <c r="B630" s="5" t="s">
        <v>1289</v>
      </c>
      <c r="C630" s="3" t="s">
        <v>1291</v>
      </c>
      <c r="D630" s="3" t="s">
        <v>546</v>
      </c>
      <c r="E630" s="36">
        <v>20</v>
      </c>
      <c r="F630" s="37" t="s">
        <v>919</v>
      </c>
      <c r="G630" s="29">
        <v>0</v>
      </c>
      <c r="H630" s="11">
        <v>59.9</v>
      </c>
      <c r="I630" s="11">
        <v>59.9</v>
      </c>
    </row>
    <row r="631" spans="1:9" x14ac:dyDescent="0.25">
      <c r="A631" s="113" t="s">
        <v>1782</v>
      </c>
      <c r="B631" s="1" t="s">
        <v>1796</v>
      </c>
      <c r="H631"/>
      <c r="I631"/>
    </row>
    <row r="632" spans="1:9" x14ac:dyDescent="0.25">
      <c r="A632" s="114"/>
      <c r="B632" s="5" t="s">
        <v>1782</v>
      </c>
      <c r="C632" s="3" t="s">
        <v>1810</v>
      </c>
      <c r="D632" s="3" t="s">
        <v>546</v>
      </c>
      <c r="E632" s="36" t="s">
        <v>546</v>
      </c>
      <c r="F632" s="37" t="s">
        <v>1196</v>
      </c>
      <c r="G632" s="29" t="s">
        <v>1197</v>
      </c>
      <c r="H632" s="11">
        <v>19.899999999999999</v>
      </c>
      <c r="I632" s="11">
        <v>19.899999999999999</v>
      </c>
    </row>
    <row r="633" spans="1:9" x14ac:dyDescent="0.25">
      <c r="A633" s="113" t="s">
        <v>1784</v>
      </c>
      <c r="B633" s="1" t="s">
        <v>1798</v>
      </c>
      <c r="H633"/>
      <c r="I633"/>
    </row>
    <row r="634" spans="1:9" x14ac:dyDescent="0.25">
      <c r="A634" s="114"/>
      <c r="B634" s="5" t="s">
        <v>1784</v>
      </c>
      <c r="C634" s="3" t="s">
        <v>1812</v>
      </c>
      <c r="D634" s="3" t="s">
        <v>546</v>
      </c>
      <c r="E634" s="36" t="s">
        <v>546</v>
      </c>
      <c r="F634" s="37" t="s">
        <v>1196</v>
      </c>
      <c r="G634" s="29" t="s">
        <v>1197</v>
      </c>
      <c r="H634" s="11">
        <v>19.899999999999999</v>
      </c>
      <c r="I634" s="11">
        <v>19.899999999999999</v>
      </c>
    </row>
    <row r="635" spans="1:9" x14ac:dyDescent="0.25">
      <c r="A635" s="113" t="s">
        <v>1253</v>
      </c>
      <c r="B635" s="1" t="s">
        <v>1254</v>
      </c>
      <c r="H635"/>
      <c r="I635"/>
    </row>
    <row r="636" spans="1:9" x14ac:dyDescent="0.25">
      <c r="A636" s="114"/>
      <c r="B636" s="5" t="s">
        <v>1253</v>
      </c>
      <c r="C636" s="3" t="s">
        <v>1274</v>
      </c>
      <c r="D636" s="3" t="s">
        <v>546</v>
      </c>
      <c r="E636" s="36" t="s">
        <v>546</v>
      </c>
      <c r="F636" s="37" t="s">
        <v>1196</v>
      </c>
      <c r="G636" s="29" t="s">
        <v>1197</v>
      </c>
      <c r="H636" s="11">
        <v>399.9</v>
      </c>
      <c r="I636" s="11">
        <v>399.9</v>
      </c>
    </row>
    <row r="637" spans="1:9" x14ac:dyDescent="0.25">
      <c r="A637" s="113" t="s">
        <v>1247</v>
      </c>
      <c r="B637" s="1" t="s">
        <v>1248</v>
      </c>
      <c r="H637"/>
      <c r="I637"/>
    </row>
    <row r="638" spans="1:9" x14ac:dyDescent="0.25">
      <c r="A638" s="114"/>
      <c r="B638" s="5" t="s">
        <v>1247</v>
      </c>
      <c r="C638" s="3" t="s">
        <v>1275</v>
      </c>
      <c r="D638" s="3" t="s">
        <v>546</v>
      </c>
      <c r="E638" s="36" t="s">
        <v>546</v>
      </c>
      <c r="F638" s="37" t="s">
        <v>1196</v>
      </c>
      <c r="G638" s="29" t="s">
        <v>1197</v>
      </c>
      <c r="H638" s="11">
        <v>39</v>
      </c>
      <c r="I638" s="11">
        <v>39</v>
      </c>
    </row>
    <row r="639" spans="1:9" x14ac:dyDescent="0.25">
      <c r="A639" s="113" t="s">
        <v>1249</v>
      </c>
      <c r="B639" s="1" t="s">
        <v>1250</v>
      </c>
      <c r="H639"/>
      <c r="I639"/>
    </row>
    <row r="640" spans="1:9" x14ac:dyDescent="0.25">
      <c r="A640" s="114"/>
      <c r="B640" s="5" t="s">
        <v>1249</v>
      </c>
      <c r="C640" s="3" t="s">
        <v>1276</v>
      </c>
      <c r="D640" s="3" t="s">
        <v>546</v>
      </c>
      <c r="E640" s="36" t="s">
        <v>546</v>
      </c>
      <c r="F640" s="37" t="s">
        <v>1196</v>
      </c>
      <c r="G640" s="29" t="s">
        <v>1197</v>
      </c>
      <c r="H640" s="11">
        <v>45</v>
      </c>
      <c r="I640" s="11">
        <v>45</v>
      </c>
    </row>
    <row r="641" spans="1:9" x14ac:dyDescent="0.25">
      <c r="A641" s="113" t="s">
        <v>812</v>
      </c>
      <c r="B641" s="1" t="s">
        <v>813</v>
      </c>
      <c r="H641"/>
      <c r="I641"/>
    </row>
    <row r="642" spans="1:9" x14ac:dyDescent="0.25">
      <c r="A642" s="114"/>
      <c r="B642" s="5" t="s">
        <v>812</v>
      </c>
      <c r="C642" s="3" t="s">
        <v>814</v>
      </c>
      <c r="D642" s="3" t="s">
        <v>546</v>
      </c>
      <c r="E642" s="36">
        <v>20</v>
      </c>
      <c r="F642" s="37" t="s">
        <v>918</v>
      </c>
      <c r="G642" s="29">
        <v>0</v>
      </c>
      <c r="H642" s="11">
        <v>37.9</v>
      </c>
      <c r="I642" s="11">
        <v>37.9</v>
      </c>
    </row>
    <row r="643" spans="1:9" x14ac:dyDescent="0.25">
      <c r="A643" s="113" t="s">
        <v>815</v>
      </c>
      <c r="B643" s="1" t="s">
        <v>816</v>
      </c>
      <c r="H643"/>
      <c r="I643"/>
    </row>
    <row r="644" spans="1:9" x14ac:dyDescent="0.25">
      <c r="A644" s="114"/>
      <c r="B644" s="5" t="s">
        <v>815</v>
      </c>
      <c r="C644" s="3" t="s">
        <v>817</v>
      </c>
      <c r="D644" s="3" t="s">
        <v>546</v>
      </c>
      <c r="E644" s="36">
        <v>20</v>
      </c>
      <c r="F644" s="37" t="s">
        <v>918</v>
      </c>
      <c r="G644" s="29">
        <v>0</v>
      </c>
      <c r="H644" s="11">
        <v>48.9</v>
      </c>
      <c r="I644" s="11">
        <v>48.9</v>
      </c>
    </row>
    <row r="645" spans="1:9" x14ac:dyDescent="0.25">
      <c r="A645" s="113" t="s">
        <v>1260</v>
      </c>
      <c r="B645" s="1" t="s">
        <v>1261</v>
      </c>
      <c r="H645"/>
      <c r="I645"/>
    </row>
    <row r="646" spans="1:9" x14ac:dyDescent="0.25">
      <c r="A646" s="114"/>
      <c r="B646" s="5" t="s">
        <v>1260</v>
      </c>
      <c r="C646" s="3" t="s">
        <v>1277</v>
      </c>
      <c r="D646" s="3" t="s">
        <v>546</v>
      </c>
      <c r="E646" s="36" t="s">
        <v>546</v>
      </c>
      <c r="F646" s="37" t="s">
        <v>1196</v>
      </c>
      <c r="G646" s="29" t="s">
        <v>1197</v>
      </c>
      <c r="H646" s="11">
        <v>8.9</v>
      </c>
      <c r="I646" s="11">
        <v>8.9</v>
      </c>
    </row>
    <row r="647" spans="1:9" x14ac:dyDescent="0.25">
      <c r="A647" s="113" t="s">
        <v>1230</v>
      </c>
      <c r="B647" s="1" t="s">
        <v>1258</v>
      </c>
      <c r="H647"/>
      <c r="I647"/>
    </row>
    <row r="648" spans="1:9" x14ac:dyDescent="0.25">
      <c r="A648" s="114"/>
      <c r="B648" s="5" t="s">
        <v>1230</v>
      </c>
      <c r="C648" s="3" t="s">
        <v>1286</v>
      </c>
      <c r="D648" s="3" t="s">
        <v>546</v>
      </c>
      <c r="E648" s="36" t="s">
        <v>546</v>
      </c>
      <c r="F648" s="37" t="s">
        <v>1196</v>
      </c>
      <c r="G648" s="29" t="s">
        <v>1197</v>
      </c>
      <c r="H648" s="11">
        <v>25</v>
      </c>
      <c r="I648" s="11">
        <v>25</v>
      </c>
    </row>
    <row r="649" spans="1:9" x14ac:dyDescent="0.25">
      <c r="A649" s="113" t="s">
        <v>1231</v>
      </c>
      <c r="B649" s="1" t="s">
        <v>1257</v>
      </c>
      <c r="H649"/>
      <c r="I649"/>
    </row>
    <row r="650" spans="1:9" x14ac:dyDescent="0.25">
      <c r="A650" s="114"/>
      <c r="B650" s="5" t="s">
        <v>1231</v>
      </c>
      <c r="C650" s="3" t="s">
        <v>1287</v>
      </c>
      <c r="D650" s="3" t="s">
        <v>546</v>
      </c>
      <c r="E650" s="36" t="s">
        <v>546</v>
      </c>
      <c r="F650" s="37" t="s">
        <v>1196</v>
      </c>
      <c r="G650" s="29" t="s">
        <v>1197</v>
      </c>
      <c r="H650" s="11">
        <v>25</v>
      </c>
      <c r="I650" s="11">
        <v>25</v>
      </c>
    </row>
    <row r="651" spans="1:9" x14ac:dyDescent="0.25">
      <c r="A651" s="113" t="s">
        <v>1255</v>
      </c>
      <c r="B651" s="1" t="s">
        <v>1256</v>
      </c>
      <c r="H651"/>
      <c r="I651"/>
    </row>
    <row r="652" spans="1:9" x14ac:dyDescent="0.25">
      <c r="A652" s="114"/>
      <c r="B652" s="5" t="s">
        <v>1255</v>
      </c>
      <c r="C652" s="3" t="s">
        <v>1278</v>
      </c>
      <c r="D652" s="3" t="s">
        <v>546</v>
      </c>
      <c r="E652" s="36" t="s">
        <v>546</v>
      </c>
      <c r="F652" s="37" t="s">
        <v>1196</v>
      </c>
      <c r="G652" s="29" t="s">
        <v>1197</v>
      </c>
      <c r="H652" s="11">
        <v>465</v>
      </c>
      <c r="I652" s="11">
        <v>465</v>
      </c>
    </row>
    <row r="653" spans="1:9" x14ac:dyDescent="0.25">
      <c r="A653" s="113" t="s">
        <v>818</v>
      </c>
      <c r="B653" s="1" t="s">
        <v>1242</v>
      </c>
      <c r="H653"/>
      <c r="I653"/>
    </row>
    <row r="654" spans="1:9" x14ac:dyDescent="0.25">
      <c r="A654" s="114"/>
      <c r="B654" s="5" t="s">
        <v>818</v>
      </c>
      <c r="C654" s="3" t="s">
        <v>819</v>
      </c>
      <c r="D654" s="3" t="s">
        <v>546</v>
      </c>
      <c r="E654" s="36">
        <v>1</v>
      </c>
      <c r="F654" s="37" t="s">
        <v>918</v>
      </c>
      <c r="G654" s="29">
        <v>0</v>
      </c>
      <c r="H654" s="11">
        <v>96.9</v>
      </c>
      <c r="I654" s="11">
        <v>96.9</v>
      </c>
    </row>
    <row r="655" spans="1:9" x14ac:dyDescent="0.25">
      <c r="A655" s="113" t="s">
        <v>820</v>
      </c>
      <c r="B655" s="1" t="s">
        <v>1243</v>
      </c>
      <c r="H655"/>
      <c r="I655"/>
    </row>
    <row r="656" spans="1:9" x14ac:dyDescent="0.25">
      <c r="A656" s="114"/>
      <c r="B656" s="5" t="s">
        <v>820</v>
      </c>
      <c r="C656" s="3" t="s">
        <v>821</v>
      </c>
      <c r="D656" s="3" t="s">
        <v>546</v>
      </c>
      <c r="E656" s="36">
        <v>1</v>
      </c>
      <c r="F656" s="37" t="s">
        <v>918</v>
      </c>
      <c r="G656" s="29">
        <v>0</v>
      </c>
      <c r="H656" s="11">
        <v>171.9</v>
      </c>
      <c r="I656" s="11">
        <v>171.9</v>
      </c>
    </row>
    <row r="657" spans="1:9" x14ac:dyDescent="0.25">
      <c r="A657" s="113" t="s">
        <v>1251</v>
      </c>
      <c r="B657" s="1" t="s">
        <v>1252</v>
      </c>
      <c r="H657"/>
      <c r="I657"/>
    </row>
    <row r="658" spans="1:9" x14ac:dyDescent="0.25">
      <c r="A658" s="114"/>
      <c r="B658" s="5" t="s">
        <v>1251</v>
      </c>
      <c r="C658" s="3" t="s">
        <v>1279</v>
      </c>
      <c r="D658" s="3" t="s">
        <v>546</v>
      </c>
      <c r="E658" s="36" t="s">
        <v>546</v>
      </c>
      <c r="F658" s="37" t="s">
        <v>1196</v>
      </c>
      <c r="G658" s="29" t="s">
        <v>1197</v>
      </c>
      <c r="H658" s="11">
        <v>8</v>
      </c>
      <c r="I658" s="11">
        <v>8</v>
      </c>
    </row>
    <row r="659" spans="1:9" x14ac:dyDescent="0.25">
      <c r="A659" s="113" t="s">
        <v>1282</v>
      </c>
      <c r="B659" s="1" t="s">
        <v>1259</v>
      </c>
      <c r="H659"/>
      <c r="I659"/>
    </row>
    <row r="660" spans="1:9" x14ac:dyDescent="0.25">
      <c r="A660" s="114"/>
      <c r="B660" s="5" t="s">
        <v>1282</v>
      </c>
      <c r="C660" s="3" t="s">
        <v>1288</v>
      </c>
      <c r="D660" s="3" t="s">
        <v>546</v>
      </c>
      <c r="E660" s="36" t="s">
        <v>546</v>
      </c>
      <c r="F660" s="37" t="s">
        <v>1196</v>
      </c>
      <c r="G660" s="29" t="s">
        <v>1197</v>
      </c>
      <c r="H660" s="11">
        <v>25</v>
      </c>
      <c r="I660" s="11">
        <v>25</v>
      </c>
    </row>
    <row r="661" spans="1:9" x14ac:dyDescent="0.25">
      <c r="A661" s="113" t="s">
        <v>1245</v>
      </c>
      <c r="B661" s="1" t="s">
        <v>1246</v>
      </c>
      <c r="H661"/>
      <c r="I661"/>
    </row>
    <row r="662" spans="1:9" x14ac:dyDescent="0.25">
      <c r="A662" s="114"/>
      <c r="B662" s="5" t="s">
        <v>1245</v>
      </c>
      <c r="C662" s="3" t="s">
        <v>1280</v>
      </c>
      <c r="D662" s="3" t="s">
        <v>546</v>
      </c>
      <c r="E662" s="36" t="s">
        <v>546</v>
      </c>
      <c r="F662" s="37" t="s">
        <v>1196</v>
      </c>
      <c r="G662" s="29" t="s">
        <v>1197</v>
      </c>
      <c r="H662" s="11">
        <v>39</v>
      </c>
      <c r="I662" s="11">
        <v>39</v>
      </c>
    </row>
    <row r="663" spans="1:9" x14ac:dyDescent="0.25">
      <c r="A663" s="113" t="s">
        <v>1193</v>
      </c>
      <c r="B663" s="1" t="s">
        <v>1194</v>
      </c>
      <c r="H663"/>
      <c r="I663"/>
    </row>
    <row r="664" spans="1:9" x14ac:dyDescent="0.25">
      <c r="A664" s="114"/>
      <c r="B664" s="5" t="s">
        <v>1193</v>
      </c>
      <c r="C664" s="3" t="s">
        <v>1195</v>
      </c>
      <c r="D664" s="3" t="s">
        <v>546</v>
      </c>
      <c r="E664" s="36" t="s">
        <v>546</v>
      </c>
      <c r="F664" s="37" t="s">
        <v>1196</v>
      </c>
      <c r="G664" s="29" t="s">
        <v>1197</v>
      </c>
      <c r="H664" s="11">
        <v>59.9</v>
      </c>
      <c r="I664" s="11">
        <v>59.9</v>
      </c>
    </row>
    <row r="665" spans="1:9" x14ac:dyDescent="0.25">
      <c r="A665" s="113" t="s">
        <v>1779</v>
      </c>
      <c r="B665" s="1" t="s">
        <v>1780</v>
      </c>
      <c r="H665"/>
      <c r="I665"/>
    </row>
    <row r="666" spans="1:9" x14ac:dyDescent="0.25">
      <c r="A666" s="114"/>
      <c r="B666" s="5" t="s">
        <v>1779</v>
      </c>
      <c r="C666" s="3" t="s">
        <v>1781</v>
      </c>
      <c r="D666" s="3" t="s">
        <v>546</v>
      </c>
      <c r="E666" s="36" t="s">
        <v>546</v>
      </c>
      <c r="F666" s="37" t="s">
        <v>1196</v>
      </c>
      <c r="G666" s="29" t="s">
        <v>1197</v>
      </c>
      <c r="H666" s="11">
        <v>189.9</v>
      </c>
      <c r="I666" s="11">
        <v>189.9</v>
      </c>
    </row>
    <row r="667" spans="1:9" x14ac:dyDescent="0.25">
      <c r="A667" s="115" t="s">
        <v>307</v>
      </c>
      <c r="B667" s="116"/>
      <c r="C667" s="116"/>
      <c r="D667" s="116"/>
      <c r="E667" s="116"/>
      <c r="F667" s="116"/>
      <c r="G667" s="116"/>
      <c r="H667" s="116"/>
      <c r="I667" s="116"/>
    </row>
    <row r="668" spans="1:9" x14ac:dyDescent="0.25">
      <c r="A668" s="10" t="s">
        <v>546</v>
      </c>
      <c r="B668" s="7"/>
      <c r="C668" s="7"/>
      <c r="D668" s="7"/>
      <c r="E668" s="7"/>
      <c r="F668" s="7"/>
      <c r="G668" s="7"/>
      <c r="H668" s="7"/>
      <c r="I668" s="7"/>
    </row>
    <row r="669" spans="1:9" x14ac:dyDescent="0.25">
      <c r="A669" s="113" t="s">
        <v>2</v>
      </c>
      <c r="B669" s="1" t="s">
        <v>241</v>
      </c>
      <c r="H669"/>
      <c r="I669"/>
    </row>
    <row r="670" spans="1:9" x14ac:dyDescent="0.25">
      <c r="A670" s="114"/>
      <c r="B670" s="5" t="s">
        <v>2</v>
      </c>
      <c r="C670" s="3" t="s">
        <v>435</v>
      </c>
      <c r="D670" s="3" t="s">
        <v>546</v>
      </c>
      <c r="E670" s="36">
        <v>40</v>
      </c>
      <c r="F670" s="37" t="s">
        <v>307</v>
      </c>
      <c r="G670" s="29">
        <v>0</v>
      </c>
      <c r="H670" s="11">
        <v>29.5</v>
      </c>
      <c r="I670" s="11">
        <v>29.5</v>
      </c>
    </row>
    <row r="671" spans="1:9" x14ac:dyDescent="0.25">
      <c r="A671" s="113" t="s">
        <v>53</v>
      </c>
      <c r="B671" s="1" t="s">
        <v>242</v>
      </c>
      <c r="H671"/>
      <c r="I671"/>
    </row>
    <row r="672" spans="1:9" x14ac:dyDescent="0.25">
      <c r="A672" s="114"/>
      <c r="B672" s="5" t="s">
        <v>53</v>
      </c>
      <c r="C672" s="3" t="s">
        <v>436</v>
      </c>
      <c r="D672" s="3" t="s">
        <v>546</v>
      </c>
      <c r="E672" s="36">
        <v>40</v>
      </c>
      <c r="F672" s="37" t="s">
        <v>307</v>
      </c>
      <c r="G672" s="29">
        <v>0</v>
      </c>
      <c r="H672" s="11">
        <v>30.6</v>
      </c>
      <c r="I672" s="11">
        <v>30.6</v>
      </c>
    </row>
    <row r="673" spans="1:9" x14ac:dyDescent="0.25">
      <c r="A673" s="113" t="s">
        <v>54</v>
      </c>
      <c r="B673" s="1" t="s">
        <v>243</v>
      </c>
      <c r="H673"/>
      <c r="I673"/>
    </row>
    <row r="674" spans="1:9" x14ac:dyDescent="0.25">
      <c r="A674" s="114"/>
      <c r="B674" s="5" t="s">
        <v>54</v>
      </c>
      <c r="C674" s="3" t="s">
        <v>437</v>
      </c>
      <c r="D674" s="3" t="s">
        <v>546</v>
      </c>
      <c r="E674" s="36">
        <v>40</v>
      </c>
      <c r="F674" s="37" t="s">
        <v>307</v>
      </c>
      <c r="G674" s="29">
        <v>0</v>
      </c>
      <c r="H674" s="11">
        <v>30.6</v>
      </c>
      <c r="I674" s="11">
        <v>30.6</v>
      </c>
    </row>
    <row r="675" spans="1:9" x14ac:dyDescent="0.25">
      <c r="A675" s="113" t="s">
        <v>55</v>
      </c>
      <c r="B675" s="1" t="s">
        <v>244</v>
      </c>
      <c r="H675"/>
      <c r="I675"/>
    </row>
    <row r="676" spans="1:9" x14ac:dyDescent="0.25">
      <c r="A676" s="114"/>
      <c r="B676" s="5" t="s">
        <v>55</v>
      </c>
      <c r="C676" s="3" t="s">
        <v>438</v>
      </c>
      <c r="D676" s="3" t="s">
        <v>546</v>
      </c>
      <c r="E676" s="36">
        <v>40</v>
      </c>
      <c r="F676" s="37" t="s">
        <v>307</v>
      </c>
      <c r="G676" s="29">
        <v>0</v>
      </c>
      <c r="H676" s="11">
        <v>31.7</v>
      </c>
      <c r="I676" s="11">
        <v>31.7</v>
      </c>
    </row>
    <row r="677" spans="1:9" x14ac:dyDescent="0.25">
      <c r="A677" s="113" t="s">
        <v>56</v>
      </c>
      <c r="B677" s="1" t="s">
        <v>245</v>
      </c>
      <c r="H677"/>
      <c r="I677"/>
    </row>
    <row r="678" spans="1:9" x14ac:dyDescent="0.25">
      <c r="A678" s="114"/>
      <c r="B678" s="5" t="s">
        <v>56</v>
      </c>
      <c r="C678" s="3" t="s">
        <v>439</v>
      </c>
      <c r="D678" s="3" t="s">
        <v>546</v>
      </c>
      <c r="E678" s="36">
        <v>40</v>
      </c>
      <c r="F678" s="37" t="s">
        <v>307</v>
      </c>
      <c r="G678" s="29">
        <v>0</v>
      </c>
      <c r="H678" s="11">
        <v>31.7</v>
      </c>
      <c r="I678" s="11">
        <v>31.7</v>
      </c>
    </row>
    <row r="679" spans="1:9" x14ac:dyDescent="0.25">
      <c r="A679" s="113" t="s">
        <v>57</v>
      </c>
      <c r="B679" s="1" t="s">
        <v>246</v>
      </c>
      <c r="H679"/>
      <c r="I679"/>
    </row>
    <row r="680" spans="1:9" x14ac:dyDescent="0.25">
      <c r="A680" s="114"/>
      <c r="B680" s="5" t="s">
        <v>57</v>
      </c>
      <c r="C680" s="3" t="s">
        <v>440</v>
      </c>
      <c r="D680" s="3" t="s">
        <v>546</v>
      </c>
      <c r="E680" s="36">
        <v>40</v>
      </c>
      <c r="F680" s="37" t="s">
        <v>307</v>
      </c>
      <c r="G680" s="29">
        <v>0</v>
      </c>
      <c r="H680" s="11">
        <v>33.9</v>
      </c>
      <c r="I680" s="11">
        <v>33.9</v>
      </c>
    </row>
    <row r="681" spans="1:9" x14ac:dyDescent="0.25">
      <c r="A681" s="113" t="s">
        <v>58</v>
      </c>
      <c r="B681" s="1" t="s">
        <v>247</v>
      </c>
      <c r="H681"/>
      <c r="I681"/>
    </row>
    <row r="682" spans="1:9" x14ac:dyDescent="0.25">
      <c r="A682" s="114"/>
      <c r="B682" s="5" t="s">
        <v>58</v>
      </c>
      <c r="C682" s="3" t="s">
        <v>441</v>
      </c>
      <c r="D682" s="3" t="s">
        <v>546</v>
      </c>
      <c r="E682" s="36">
        <v>40</v>
      </c>
      <c r="F682" s="37" t="s">
        <v>307</v>
      </c>
      <c r="G682" s="29">
        <v>0</v>
      </c>
      <c r="H682" s="11">
        <v>33.9</v>
      </c>
      <c r="I682" s="11">
        <v>33.9</v>
      </c>
    </row>
    <row r="683" spans="1:9" x14ac:dyDescent="0.25">
      <c r="A683" s="113" t="s">
        <v>59</v>
      </c>
      <c r="B683" s="1" t="s">
        <v>248</v>
      </c>
      <c r="H683"/>
      <c r="I683"/>
    </row>
    <row r="684" spans="1:9" x14ac:dyDescent="0.25">
      <c r="A684" s="114"/>
      <c r="B684" s="5" t="s">
        <v>59</v>
      </c>
      <c r="C684" s="3" t="s">
        <v>442</v>
      </c>
      <c r="D684" s="3" t="s">
        <v>546</v>
      </c>
      <c r="E684" s="36">
        <v>40</v>
      </c>
      <c r="F684" s="37" t="s">
        <v>307</v>
      </c>
      <c r="G684" s="29">
        <v>0</v>
      </c>
      <c r="H684" s="11">
        <v>31.7</v>
      </c>
      <c r="I684" s="11">
        <v>31.7</v>
      </c>
    </row>
    <row r="685" spans="1:9" x14ac:dyDescent="0.25">
      <c r="A685" s="113" t="s">
        <v>60</v>
      </c>
      <c r="B685" s="1" t="s">
        <v>249</v>
      </c>
      <c r="H685"/>
      <c r="I685"/>
    </row>
    <row r="686" spans="1:9" x14ac:dyDescent="0.25">
      <c r="A686" s="114"/>
      <c r="B686" s="5" t="s">
        <v>60</v>
      </c>
      <c r="C686" s="3" t="s">
        <v>443</v>
      </c>
      <c r="D686" s="3" t="s">
        <v>546</v>
      </c>
      <c r="E686" s="36">
        <v>40</v>
      </c>
      <c r="F686" s="37" t="s">
        <v>307</v>
      </c>
      <c r="G686" s="29">
        <v>0</v>
      </c>
      <c r="H686" s="11">
        <v>33.9</v>
      </c>
      <c r="I686" s="11">
        <v>33.9</v>
      </c>
    </row>
    <row r="687" spans="1:9" x14ac:dyDescent="0.25">
      <c r="A687" s="113" t="s">
        <v>61</v>
      </c>
      <c r="B687" s="1" t="s">
        <v>250</v>
      </c>
      <c r="H687"/>
      <c r="I687"/>
    </row>
    <row r="688" spans="1:9" x14ac:dyDescent="0.25">
      <c r="A688" s="114"/>
      <c r="B688" s="5" t="s">
        <v>61</v>
      </c>
      <c r="C688" s="3" t="s">
        <v>444</v>
      </c>
      <c r="D688" s="3" t="s">
        <v>546</v>
      </c>
      <c r="E688" s="36">
        <v>40</v>
      </c>
      <c r="F688" s="37" t="s">
        <v>307</v>
      </c>
      <c r="G688" s="29">
        <v>0</v>
      </c>
      <c r="H688" s="11">
        <v>33.9</v>
      </c>
      <c r="I688" s="11">
        <v>33.9</v>
      </c>
    </row>
    <row r="689" spans="1:9" x14ac:dyDescent="0.25">
      <c r="A689" s="113" t="s">
        <v>62</v>
      </c>
      <c r="B689" s="1" t="s">
        <v>251</v>
      </c>
      <c r="H689"/>
      <c r="I689"/>
    </row>
    <row r="690" spans="1:9" x14ac:dyDescent="0.25">
      <c r="A690" s="114"/>
      <c r="B690" s="5" t="s">
        <v>62</v>
      </c>
      <c r="C690" s="3" t="s">
        <v>445</v>
      </c>
      <c r="D690" s="3" t="s">
        <v>546</v>
      </c>
      <c r="E690" s="36">
        <v>40</v>
      </c>
      <c r="F690" s="37" t="s">
        <v>307</v>
      </c>
      <c r="G690" s="29">
        <v>0</v>
      </c>
      <c r="H690" s="11">
        <v>37.200000000000003</v>
      </c>
      <c r="I690" s="11">
        <v>37.200000000000003</v>
      </c>
    </row>
    <row r="691" spans="1:9" x14ac:dyDescent="0.25">
      <c r="A691" s="113" t="s">
        <v>63</v>
      </c>
      <c r="B691" s="1" t="s">
        <v>252</v>
      </c>
      <c r="H691"/>
      <c r="I691"/>
    </row>
    <row r="692" spans="1:9" x14ac:dyDescent="0.25">
      <c r="A692" s="114"/>
      <c r="B692" s="5" t="s">
        <v>63</v>
      </c>
      <c r="C692" s="3" t="s">
        <v>446</v>
      </c>
      <c r="D692" s="3" t="s">
        <v>546</v>
      </c>
      <c r="E692" s="36">
        <v>40</v>
      </c>
      <c r="F692" s="37" t="s">
        <v>307</v>
      </c>
      <c r="G692" s="29">
        <v>0</v>
      </c>
      <c r="H692" s="11">
        <v>37.200000000000003</v>
      </c>
      <c r="I692" s="11">
        <v>37.200000000000003</v>
      </c>
    </row>
    <row r="693" spans="1:9" x14ac:dyDescent="0.25">
      <c r="A693" s="113" t="s">
        <v>64</v>
      </c>
      <c r="B693" s="1" t="s">
        <v>253</v>
      </c>
      <c r="H693"/>
      <c r="I693"/>
    </row>
    <row r="694" spans="1:9" x14ac:dyDescent="0.25">
      <c r="A694" s="114"/>
      <c r="B694" s="5" t="s">
        <v>64</v>
      </c>
      <c r="C694" s="3" t="s">
        <v>447</v>
      </c>
      <c r="D694" s="3" t="s">
        <v>546</v>
      </c>
      <c r="E694" s="36">
        <v>40</v>
      </c>
      <c r="F694" s="37" t="s">
        <v>307</v>
      </c>
      <c r="G694" s="29">
        <v>0</v>
      </c>
      <c r="H694" s="11">
        <v>37.200000000000003</v>
      </c>
      <c r="I694" s="11">
        <v>37.200000000000003</v>
      </c>
    </row>
    <row r="695" spans="1:9" x14ac:dyDescent="0.25">
      <c r="A695" s="113" t="s">
        <v>65</v>
      </c>
      <c r="B695" s="1" t="s">
        <v>254</v>
      </c>
      <c r="H695"/>
      <c r="I695"/>
    </row>
    <row r="696" spans="1:9" x14ac:dyDescent="0.25">
      <c r="A696" s="114"/>
      <c r="B696" s="5" t="s">
        <v>65</v>
      </c>
      <c r="C696" s="3" t="s">
        <v>448</v>
      </c>
      <c r="D696" s="3" t="s">
        <v>546</v>
      </c>
      <c r="E696" s="36">
        <v>40</v>
      </c>
      <c r="F696" s="37" t="s">
        <v>307</v>
      </c>
      <c r="G696" s="29">
        <v>0</v>
      </c>
      <c r="H696" s="11">
        <v>37.200000000000003</v>
      </c>
      <c r="I696" s="11">
        <v>37.200000000000003</v>
      </c>
    </row>
    <row r="697" spans="1:9" x14ac:dyDescent="0.25">
      <c r="A697" s="113" t="s">
        <v>66</v>
      </c>
      <c r="B697" s="1" t="s">
        <v>255</v>
      </c>
      <c r="H697"/>
      <c r="I697"/>
    </row>
    <row r="698" spans="1:9" x14ac:dyDescent="0.25">
      <c r="A698" s="114"/>
      <c r="B698" s="5" t="s">
        <v>66</v>
      </c>
      <c r="C698" s="3" t="s">
        <v>449</v>
      </c>
      <c r="D698" s="3" t="s">
        <v>546</v>
      </c>
      <c r="E698" s="36">
        <v>40</v>
      </c>
      <c r="F698" s="37" t="s">
        <v>307</v>
      </c>
      <c r="G698" s="29">
        <v>0</v>
      </c>
      <c r="H698" s="11">
        <v>31.7</v>
      </c>
      <c r="I698" s="11">
        <v>31.7</v>
      </c>
    </row>
    <row r="699" spans="1:9" x14ac:dyDescent="0.25">
      <c r="A699" s="113" t="s">
        <v>67</v>
      </c>
      <c r="B699" s="1" t="s">
        <v>256</v>
      </c>
      <c r="H699"/>
      <c r="I699"/>
    </row>
    <row r="700" spans="1:9" x14ac:dyDescent="0.25">
      <c r="A700" s="114"/>
      <c r="B700" s="5" t="s">
        <v>67</v>
      </c>
      <c r="C700" s="3" t="s">
        <v>450</v>
      </c>
      <c r="D700" s="3" t="s">
        <v>546</v>
      </c>
      <c r="E700" s="36">
        <v>40</v>
      </c>
      <c r="F700" s="37" t="s">
        <v>307</v>
      </c>
      <c r="G700" s="29">
        <v>0</v>
      </c>
      <c r="H700" s="11">
        <v>33.9</v>
      </c>
      <c r="I700" s="11">
        <v>33.9</v>
      </c>
    </row>
    <row r="701" spans="1:9" x14ac:dyDescent="0.25">
      <c r="A701" s="113" t="s">
        <v>68</v>
      </c>
      <c r="B701" s="1" t="s">
        <v>257</v>
      </c>
      <c r="H701"/>
      <c r="I701"/>
    </row>
    <row r="702" spans="1:9" x14ac:dyDescent="0.25">
      <c r="A702" s="114"/>
      <c r="B702" s="5" t="s">
        <v>68</v>
      </c>
      <c r="C702" s="3" t="s">
        <v>451</v>
      </c>
      <c r="D702" s="3" t="s">
        <v>546</v>
      </c>
      <c r="E702" s="36">
        <v>40</v>
      </c>
      <c r="F702" s="37" t="s">
        <v>307</v>
      </c>
      <c r="G702" s="29">
        <v>0</v>
      </c>
      <c r="H702" s="11">
        <v>33.9</v>
      </c>
      <c r="I702" s="11">
        <v>33.9</v>
      </c>
    </row>
    <row r="703" spans="1:9" x14ac:dyDescent="0.25">
      <c r="A703" s="113" t="s">
        <v>69</v>
      </c>
      <c r="B703" s="1" t="s">
        <v>258</v>
      </c>
      <c r="H703"/>
      <c r="I703"/>
    </row>
    <row r="704" spans="1:9" x14ac:dyDescent="0.25">
      <c r="A704" s="114"/>
      <c r="B704" s="5" t="s">
        <v>69</v>
      </c>
      <c r="C704" s="3" t="s">
        <v>452</v>
      </c>
      <c r="D704" s="3" t="s">
        <v>546</v>
      </c>
      <c r="E704" s="36">
        <v>40</v>
      </c>
      <c r="F704" s="37" t="s">
        <v>307</v>
      </c>
      <c r="G704" s="29">
        <v>0</v>
      </c>
      <c r="H704" s="11">
        <v>37.200000000000003</v>
      </c>
      <c r="I704" s="11">
        <v>37.200000000000003</v>
      </c>
    </row>
    <row r="705" spans="1:9" x14ac:dyDescent="0.25">
      <c r="A705" s="113" t="s">
        <v>70</v>
      </c>
      <c r="B705" s="1" t="s">
        <v>259</v>
      </c>
      <c r="H705"/>
      <c r="I705"/>
    </row>
    <row r="706" spans="1:9" x14ac:dyDescent="0.25">
      <c r="A706" s="114"/>
      <c r="B706" s="5" t="s">
        <v>70</v>
      </c>
      <c r="C706" s="3" t="s">
        <v>453</v>
      </c>
      <c r="D706" s="3" t="s">
        <v>546</v>
      </c>
      <c r="E706" s="36">
        <v>40</v>
      </c>
      <c r="F706" s="37" t="s">
        <v>307</v>
      </c>
      <c r="G706" s="29">
        <v>0</v>
      </c>
      <c r="H706" s="11">
        <v>37.200000000000003</v>
      </c>
      <c r="I706" s="11">
        <v>37.200000000000003</v>
      </c>
    </row>
    <row r="707" spans="1:9" x14ac:dyDescent="0.25">
      <c r="A707" s="113" t="s">
        <v>71</v>
      </c>
      <c r="B707" s="1" t="s">
        <v>260</v>
      </c>
      <c r="H707"/>
      <c r="I707"/>
    </row>
    <row r="708" spans="1:9" x14ac:dyDescent="0.25">
      <c r="A708" s="114"/>
      <c r="B708" s="5" t="s">
        <v>71</v>
      </c>
      <c r="C708" s="3" t="s">
        <v>454</v>
      </c>
      <c r="D708" s="3" t="s">
        <v>546</v>
      </c>
      <c r="E708" s="36">
        <v>40</v>
      </c>
      <c r="F708" s="37" t="s">
        <v>307</v>
      </c>
      <c r="G708" s="29">
        <v>0</v>
      </c>
      <c r="H708" s="11">
        <v>37.200000000000003</v>
      </c>
      <c r="I708" s="11">
        <v>37.200000000000003</v>
      </c>
    </row>
    <row r="709" spans="1:9" x14ac:dyDescent="0.25">
      <c r="A709" s="113" t="s">
        <v>72</v>
      </c>
      <c r="B709" s="1" t="s">
        <v>261</v>
      </c>
      <c r="H709"/>
      <c r="I709"/>
    </row>
    <row r="710" spans="1:9" x14ac:dyDescent="0.25">
      <c r="A710" s="114"/>
      <c r="B710" s="5" t="s">
        <v>72</v>
      </c>
      <c r="C710" s="3" t="s">
        <v>455</v>
      </c>
      <c r="D710" s="3" t="s">
        <v>546</v>
      </c>
      <c r="E710" s="36">
        <v>40</v>
      </c>
      <c r="F710" s="37" t="s">
        <v>307</v>
      </c>
      <c r="G710" s="29">
        <v>0</v>
      </c>
      <c r="H710" s="11">
        <v>37.200000000000003</v>
      </c>
      <c r="I710" s="11">
        <v>37.200000000000003</v>
      </c>
    </row>
    <row r="711" spans="1:9" x14ac:dyDescent="0.25">
      <c r="A711" s="113" t="s">
        <v>73</v>
      </c>
      <c r="B711" s="1" t="s">
        <v>262</v>
      </c>
      <c r="H711"/>
      <c r="I711"/>
    </row>
    <row r="712" spans="1:9" x14ac:dyDescent="0.25">
      <c r="A712" s="114"/>
      <c r="B712" s="5" t="s">
        <v>73</v>
      </c>
      <c r="C712" s="3" t="s">
        <v>456</v>
      </c>
      <c r="D712" s="3" t="s">
        <v>546</v>
      </c>
      <c r="E712" s="36">
        <v>40</v>
      </c>
      <c r="F712" s="37" t="s">
        <v>307</v>
      </c>
      <c r="G712" s="29">
        <v>0</v>
      </c>
      <c r="H712" s="11">
        <v>35</v>
      </c>
      <c r="I712" s="11">
        <v>35</v>
      </c>
    </row>
    <row r="713" spans="1:9" x14ac:dyDescent="0.25">
      <c r="A713" s="113" t="s">
        <v>74</v>
      </c>
      <c r="B713" s="1" t="s">
        <v>263</v>
      </c>
      <c r="H713"/>
      <c r="I713"/>
    </row>
    <row r="714" spans="1:9" x14ac:dyDescent="0.25">
      <c r="A714" s="114"/>
      <c r="B714" s="5" t="s">
        <v>74</v>
      </c>
      <c r="C714" s="3" t="s">
        <v>457</v>
      </c>
      <c r="D714" s="3" t="s">
        <v>546</v>
      </c>
      <c r="E714" s="36">
        <v>40</v>
      </c>
      <c r="F714" s="37" t="s">
        <v>307</v>
      </c>
      <c r="G714" s="29">
        <v>0</v>
      </c>
      <c r="H714" s="11">
        <v>37.200000000000003</v>
      </c>
      <c r="I714" s="11">
        <v>37.200000000000003</v>
      </c>
    </row>
    <row r="715" spans="1:9" x14ac:dyDescent="0.25">
      <c r="A715" s="113" t="s">
        <v>75</v>
      </c>
      <c r="B715" s="1" t="s">
        <v>264</v>
      </c>
      <c r="H715"/>
      <c r="I715"/>
    </row>
    <row r="716" spans="1:9" x14ac:dyDescent="0.25">
      <c r="A716" s="114"/>
      <c r="B716" s="5" t="s">
        <v>75</v>
      </c>
      <c r="C716" s="3" t="s">
        <v>458</v>
      </c>
      <c r="D716" s="3" t="s">
        <v>546</v>
      </c>
      <c r="E716" s="36">
        <v>40</v>
      </c>
      <c r="F716" s="37" t="s">
        <v>307</v>
      </c>
      <c r="G716" s="29">
        <v>0</v>
      </c>
      <c r="H716" s="11">
        <v>37.200000000000003</v>
      </c>
      <c r="I716" s="11">
        <v>37.200000000000003</v>
      </c>
    </row>
    <row r="717" spans="1:9" x14ac:dyDescent="0.25">
      <c r="A717" s="113" t="s">
        <v>76</v>
      </c>
      <c r="B717" s="1" t="s">
        <v>265</v>
      </c>
      <c r="H717"/>
      <c r="I717"/>
    </row>
    <row r="718" spans="1:9" x14ac:dyDescent="0.25">
      <c r="A718" s="114"/>
      <c r="B718" s="5" t="s">
        <v>76</v>
      </c>
      <c r="C718" s="3" t="s">
        <v>459</v>
      </c>
      <c r="D718" s="3" t="s">
        <v>546</v>
      </c>
      <c r="E718" s="36">
        <v>40</v>
      </c>
      <c r="F718" s="37" t="s">
        <v>307</v>
      </c>
      <c r="G718" s="29">
        <v>0</v>
      </c>
      <c r="H718" s="11">
        <v>39.4</v>
      </c>
      <c r="I718" s="11">
        <v>39.4</v>
      </c>
    </row>
    <row r="719" spans="1:9" x14ac:dyDescent="0.25">
      <c r="A719" s="113" t="s">
        <v>77</v>
      </c>
      <c r="B719" s="1" t="s">
        <v>266</v>
      </c>
      <c r="H719"/>
      <c r="I719"/>
    </row>
    <row r="720" spans="1:9" x14ac:dyDescent="0.25">
      <c r="A720" s="114"/>
      <c r="B720" s="5" t="s">
        <v>77</v>
      </c>
      <c r="C720" s="3" t="s">
        <v>460</v>
      </c>
      <c r="D720" s="3" t="s">
        <v>546</v>
      </c>
      <c r="E720" s="36">
        <v>40</v>
      </c>
      <c r="F720" s="37" t="s">
        <v>307</v>
      </c>
      <c r="G720" s="29">
        <v>0</v>
      </c>
      <c r="H720" s="11">
        <v>39.4</v>
      </c>
      <c r="I720" s="11">
        <v>39.4</v>
      </c>
    </row>
    <row r="721" spans="1:9" x14ac:dyDescent="0.25">
      <c r="A721" s="113" t="s">
        <v>78</v>
      </c>
      <c r="B721" s="1" t="s">
        <v>267</v>
      </c>
      <c r="H721"/>
      <c r="I721"/>
    </row>
    <row r="722" spans="1:9" x14ac:dyDescent="0.25">
      <c r="A722" s="114"/>
      <c r="B722" s="5" t="s">
        <v>78</v>
      </c>
      <c r="C722" s="3" t="s">
        <v>461</v>
      </c>
      <c r="D722" s="3" t="s">
        <v>546</v>
      </c>
      <c r="E722" s="36">
        <v>40</v>
      </c>
      <c r="F722" s="37" t="s">
        <v>307</v>
      </c>
      <c r="G722" s="29">
        <v>0</v>
      </c>
      <c r="H722" s="11">
        <v>40.5</v>
      </c>
      <c r="I722" s="11">
        <v>40.5</v>
      </c>
    </row>
    <row r="723" spans="1:9" x14ac:dyDescent="0.25">
      <c r="A723" s="113" t="s">
        <v>79</v>
      </c>
      <c r="B723" s="1" t="s">
        <v>268</v>
      </c>
      <c r="H723"/>
      <c r="I723"/>
    </row>
    <row r="724" spans="1:9" x14ac:dyDescent="0.25">
      <c r="A724" s="114"/>
      <c r="B724" s="5" t="s">
        <v>79</v>
      </c>
      <c r="C724" s="3" t="s">
        <v>462</v>
      </c>
      <c r="D724" s="3" t="s">
        <v>546</v>
      </c>
      <c r="E724" s="36">
        <v>40</v>
      </c>
      <c r="F724" s="37" t="s">
        <v>307</v>
      </c>
      <c r="G724" s="29">
        <v>0</v>
      </c>
      <c r="H724" s="11">
        <v>40.5</v>
      </c>
      <c r="I724" s="11">
        <v>40.5</v>
      </c>
    </row>
    <row r="725" spans="1:9" x14ac:dyDescent="0.25">
      <c r="A725" s="113" t="s">
        <v>105</v>
      </c>
      <c r="B725" s="1" t="s">
        <v>269</v>
      </c>
      <c r="H725"/>
      <c r="I725"/>
    </row>
    <row r="726" spans="1:9" x14ac:dyDescent="0.25">
      <c r="A726" s="114"/>
      <c r="B726" s="5" t="s">
        <v>105</v>
      </c>
      <c r="C726" s="3" t="s">
        <v>463</v>
      </c>
      <c r="D726" s="3" t="s">
        <v>546</v>
      </c>
      <c r="E726" s="36">
        <v>40</v>
      </c>
      <c r="F726" s="37" t="s">
        <v>307</v>
      </c>
      <c r="G726" s="29">
        <v>0</v>
      </c>
      <c r="H726" s="11">
        <v>31.7</v>
      </c>
      <c r="I726" s="11">
        <v>31.7</v>
      </c>
    </row>
    <row r="727" spans="1:9" x14ac:dyDescent="0.25">
      <c r="A727" s="113" t="s">
        <v>101</v>
      </c>
      <c r="B727" s="1" t="s">
        <v>270</v>
      </c>
      <c r="H727"/>
      <c r="I727"/>
    </row>
    <row r="728" spans="1:9" x14ac:dyDescent="0.25">
      <c r="A728" s="114"/>
      <c r="B728" s="5" t="s">
        <v>101</v>
      </c>
      <c r="C728" s="3" t="s">
        <v>464</v>
      </c>
      <c r="D728" s="3" t="s">
        <v>546</v>
      </c>
      <c r="E728" s="36">
        <v>40</v>
      </c>
      <c r="F728" s="37" t="s">
        <v>307</v>
      </c>
      <c r="G728" s="29">
        <v>0</v>
      </c>
      <c r="H728" s="11">
        <v>34</v>
      </c>
      <c r="I728" s="11">
        <v>34</v>
      </c>
    </row>
    <row r="729" spans="1:9" x14ac:dyDescent="0.25">
      <c r="A729" s="113" t="s">
        <v>106</v>
      </c>
      <c r="B729" s="1" t="s">
        <v>271</v>
      </c>
      <c r="H729"/>
      <c r="I729"/>
    </row>
    <row r="730" spans="1:9" x14ac:dyDescent="0.25">
      <c r="A730" s="114"/>
      <c r="B730" s="5" t="s">
        <v>106</v>
      </c>
      <c r="C730" s="3" t="s">
        <v>465</v>
      </c>
      <c r="D730" s="3" t="s">
        <v>546</v>
      </c>
      <c r="E730" s="36">
        <v>40</v>
      </c>
      <c r="F730" s="37" t="s">
        <v>307</v>
      </c>
      <c r="G730" s="29">
        <v>0</v>
      </c>
      <c r="H730" s="11">
        <v>35.1</v>
      </c>
      <c r="I730" s="11">
        <v>35.1</v>
      </c>
    </row>
    <row r="731" spans="1:9" x14ac:dyDescent="0.25">
      <c r="A731" s="113" t="s">
        <v>102</v>
      </c>
      <c r="B731" s="1" t="s">
        <v>272</v>
      </c>
      <c r="H731"/>
      <c r="I731"/>
    </row>
    <row r="732" spans="1:9" x14ac:dyDescent="0.25">
      <c r="A732" s="114"/>
      <c r="B732" s="5" t="s">
        <v>102</v>
      </c>
      <c r="C732" s="3" t="s">
        <v>466</v>
      </c>
      <c r="D732" s="3" t="s">
        <v>546</v>
      </c>
      <c r="E732" s="36">
        <v>40</v>
      </c>
      <c r="F732" s="37" t="s">
        <v>307</v>
      </c>
      <c r="G732" s="29">
        <v>0</v>
      </c>
      <c r="H732" s="11">
        <v>37.200000000000003</v>
      </c>
      <c r="I732" s="11">
        <v>37.200000000000003</v>
      </c>
    </row>
    <row r="733" spans="1:9" x14ac:dyDescent="0.25">
      <c r="A733" s="113" t="s">
        <v>107</v>
      </c>
      <c r="B733" s="1" t="s">
        <v>273</v>
      </c>
      <c r="H733"/>
      <c r="I733"/>
    </row>
    <row r="734" spans="1:9" x14ac:dyDescent="0.25">
      <c r="A734" s="114"/>
      <c r="B734" s="5" t="s">
        <v>107</v>
      </c>
      <c r="C734" s="3" t="s">
        <v>467</v>
      </c>
      <c r="D734" s="3" t="s">
        <v>546</v>
      </c>
      <c r="E734" s="36">
        <v>40</v>
      </c>
      <c r="F734" s="37" t="s">
        <v>307</v>
      </c>
      <c r="G734" s="29">
        <v>0</v>
      </c>
      <c r="H734" s="11">
        <v>31.7</v>
      </c>
      <c r="I734" s="11">
        <v>31.7</v>
      </c>
    </row>
    <row r="735" spans="1:9" x14ac:dyDescent="0.25">
      <c r="A735" s="113" t="s">
        <v>103</v>
      </c>
      <c r="B735" s="1" t="s">
        <v>274</v>
      </c>
      <c r="H735"/>
      <c r="I735"/>
    </row>
    <row r="736" spans="1:9" x14ac:dyDescent="0.25">
      <c r="A736" s="114"/>
      <c r="B736" s="5" t="s">
        <v>103</v>
      </c>
      <c r="C736" s="3" t="s">
        <v>468</v>
      </c>
      <c r="D736" s="3" t="s">
        <v>546</v>
      </c>
      <c r="E736" s="36">
        <v>40</v>
      </c>
      <c r="F736" s="37" t="s">
        <v>307</v>
      </c>
      <c r="G736" s="29">
        <v>0</v>
      </c>
      <c r="H736" s="11">
        <v>33.9</v>
      </c>
      <c r="I736" s="11">
        <v>33.9</v>
      </c>
    </row>
    <row r="737" spans="1:9" x14ac:dyDescent="0.25">
      <c r="A737" s="113" t="s">
        <v>108</v>
      </c>
      <c r="B737" s="1" t="s">
        <v>275</v>
      </c>
      <c r="H737"/>
      <c r="I737"/>
    </row>
    <row r="738" spans="1:9" x14ac:dyDescent="0.25">
      <c r="A738" s="114"/>
      <c r="B738" s="5" t="s">
        <v>108</v>
      </c>
      <c r="C738" s="3" t="s">
        <v>469</v>
      </c>
      <c r="D738" s="3" t="s">
        <v>546</v>
      </c>
      <c r="E738" s="36">
        <v>40</v>
      </c>
      <c r="F738" s="37" t="s">
        <v>307</v>
      </c>
      <c r="G738" s="29">
        <v>0</v>
      </c>
      <c r="H738" s="11">
        <v>35.1</v>
      </c>
      <c r="I738" s="11">
        <v>35.1</v>
      </c>
    </row>
    <row r="739" spans="1:9" x14ac:dyDescent="0.25">
      <c r="A739" s="113" t="s">
        <v>104</v>
      </c>
      <c r="B739" s="1" t="s">
        <v>276</v>
      </c>
      <c r="H739"/>
      <c r="I739"/>
    </row>
    <row r="740" spans="1:9" x14ac:dyDescent="0.25">
      <c r="A740" s="114"/>
      <c r="B740" s="5" t="s">
        <v>104</v>
      </c>
      <c r="C740" s="3" t="s">
        <v>470</v>
      </c>
      <c r="D740" s="3" t="s">
        <v>546</v>
      </c>
      <c r="E740" s="36">
        <v>40</v>
      </c>
      <c r="F740" s="37" t="s">
        <v>307</v>
      </c>
      <c r="G740" s="29">
        <v>0</v>
      </c>
      <c r="H740" s="11">
        <v>37.200000000000003</v>
      </c>
      <c r="I740" s="11">
        <v>37.200000000000003</v>
      </c>
    </row>
    <row r="741" spans="1:9" x14ac:dyDescent="0.25">
      <c r="A741" s="113" t="s">
        <v>109</v>
      </c>
      <c r="B741" s="1" t="s">
        <v>277</v>
      </c>
      <c r="H741"/>
      <c r="I741"/>
    </row>
    <row r="742" spans="1:9" x14ac:dyDescent="0.25">
      <c r="A742" s="114"/>
      <c r="B742" s="5" t="s">
        <v>109</v>
      </c>
      <c r="C742" s="3" t="s">
        <v>471</v>
      </c>
      <c r="D742" s="3" t="s">
        <v>546</v>
      </c>
      <c r="E742" s="36" t="s">
        <v>546</v>
      </c>
      <c r="F742" s="37" t="s">
        <v>307</v>
      </c>
      <c r="G742" s="29">
        <v>0</v>
      </c>
      <c r="H742" s="11">
        <v>129.5</v>
      </c>
      <c r="I742" s="11">
        <v>129.5</v>
      </c>
    </row>
    <row r="743" spans="1:9" x14ac:dyDescent="0.25">
      <c r="A743" s="113" t="s">
        <v>110</v>
      </c>
      <c r="B743" s="1" t="s">
        <v>277</v>
      </c>
      <c r="H743"/>
      <c r="I743"/>
    </row>
    <row r="744" spans="1:9" x14ac:dyDescent="0.25">
      <c r="A744" s="114"/>
      <c r="B744" s="5" t="s">
        <v>110</v>
      </c>
      <c r="C744" s="3" t="s">
        <v>472</v>
      </c>
      <c r="D744" s="3" t="s">
        <v>546</v>
      </c>
      <c r="E744" s="36" t="s">
        <v>546</v>
      </c>
      <c r="F744" s="37" t="s">
        <v>307</v>
      </c>
      <c r="G744" s="29">
        <v>0</v>
      </c>
      <c r="H744" s="11">
        <v>128.30000000000001</v>
      </c>
      <c r="I744" s="11">
        <v>128.30000000000001</v>
      </c>
    </row>
    <row r="745" spans="1:9" x14ac:dyDescent="0.25">
      <c r="A745" s="113" t="s">
        <v>111</v>
      </c>
      <c r="B745" s="1" t="s">
        <v>277</v>
      </c>
      <c r="H745"/>
      <c r="I745"/>
    </row>
    <row r="746" spans="1:9" x14ac:dyDescent="0.25">
      <c r="A746" s="114"/>
      <c r="B746" s="5" t="s">
        <v>111</v>
      </c>
      <c r="C746" s="3" t="s">
        <v>473</v>
      </c>
      <c r="D746" s="3" t="s">
        <v>546</v>
      </c>
      <c r="E746" s="36" t="s">
        <v>546</v>
      </c>
      <c r="F746" s="37" t="s">
        <v>307</v>
      </c>
      <c r="G746" s="29">
        <v>0</v>
      </c>
      <c r="H746" s="11">
        <v>128.30000000000001</v>
      </c>
      <c r="I746" s="11">
        <v>128.30000000000001</v>
      </c>
    </row>
    <row r="747" spans="1:9" x14ac:dyDescent="0.25">
      <c r="A747" s="113" t="s">
        <v>112</v>
      </c>
      <c r="B747" s="1" t="s">
        <v>277</v>
      </c>
      <c r="H747"/>
      <c r="I747"/>
    </row>
    <row r="748" spans="1:9" x14ac:dyDescent="0.25">
      <c r="A748" s="114"/>
      <c r="B748" s="5" t="s">
        <v>112</v>
      </c>
      <c r="C748" s="3" t="s">
        <v>474</v>
      </c>
      <c r="D748" s="3" t="s">
        <v>546</v>
      </c>
      <c r="E748" s="36" t="s">
        <v>546</v>
      </c>
      <c r="F748" s="37" t="s">
        <v>307</v>
      </c>
      <c r="G748" s="29">
        <v>0</v>
      </c>
      <c r="H748" s="11">
        <v>130.6</v>
      </c>
      <c r="I748" s="11">
        <v>130.6</v>
      </c>
    </row>
    <row r="749" spans="1:9" x14ac:dyDescent="0.25">
      <c r="A749" s="113" t="s">
        <v>499</v>
      </c>
      <c r="B749" s="1" t="s">
        <v>807</v>
      </c>
      <c r="H749"/>
      <c r="I749"/>
    </row>
    <row r="750" spans="1:9" x14ac:dyDescent="0.25">
      <c r="A750" s="114"/>
      <c r="B750" s="5" t="s">
        <v>499</v>
      </c>
      <c r="C750" s="3" t="s">
        <v>500</v>
      </c>
      <c r="D750" s="3" t="s">
        <v>546</v>
      </c>
      <c r="E750" s="36" t="s">
        <v>546</v>
      </c>
      <c r="F750" s="37" t="s">
        <v>307</v>
      </c>
      <c r="G750" s="29">
        <v>0</v>
      </c>
      <c r="H750" s="11">
        <v>132.69999999999999</v>
      </c>
      <c r="I750" s="11">
        <v>132.69999999999999</v>
      </c>
    </row>
    <row r="751" spans="1:9" x14ac:dyDescent="0.25">
      <c r="A751" s="113" t="s">
        <v>113</v>
      </c>
      <c r="B751" s="1" t="s">
        <v>277</v>
      </c>
      <c r="H751"/>
      <c r="I751"/>
    </row>
    <row r="752" spans="1:9" x14ac:dyDescent="0.25">
      <c r="A752" s="114"/>
      <c r="B752" s="5" t="s">
        <v>113</v>
      </c>
      <c r="C752" s="3" t="s">
        <v>475</v>
      </c>
      <c r="D752" s="3" t="s">
        <v>546</v>
      </c>
      <c r="E752" s="36" t="s">
        <v>546</v>
      </c>
      <c r="F752" s="37" t="s">
        <v>307</v>
      </c>
      <c r="G752" s="29">
        <v>0</v>
      </c>
      <c r="H752" s="11">
        <v>132.69999999999999</v>
      </c>
      <c r="I752" s="11">
        <v>132.69999999999999</v>
      </c>
    </row>
    <row r="753" spans="1:9" x14ac:dyDescent="0.25">
      <c r="A753" s="113" t="s">
        <v>114</v>
      </c>
      <c r="B753" s="1" t="s">
        <v>277</v>
      </c>
      <c r="H753"/>
      <c r="I753"/>
    </row>
    <row r="754" spans="1:9" x14ac:dyDescent="0.25">
      <c r="A754" s="114"/>
      <c r="B754" s="5" t="s">
        <v>114</v>
      </c>
      <c r="C754" s="3" t="s">
        <v>476</v>
      </c>
      <c r="D754" s="3" t="s">
        <v>546</v>
      </c>
      <c r="E754" s="36" t="s">
        <v>546</v>
      </c>
      <c r="F754" s="37" t="s">
        <v>307</v>
      </c>
      <c r="G754" s="29">
        <v>0</v>
      </c>
      <c r="H754" s="11">
        <v>129.4</v>
      </c>
      <c r="I754" s="11">
        <v>129.4</v>
      </c>
    </row>
    <row r="755" spans="1:9" x14ac:dyDescent="0.25">
      <c r="A755" s="113" t="s">
        <v>937</v>
      </c>
      <c r="B755" s="1" t="s">
        <v>277</v>
      </c>
      <c r="H755"/>
      <c r="I755"/>
    </row>
    <row r="756" spans="1:9" x14ac:dyDescent="0.25">
      <c r="A756" s="114"/>
      <c r="B756" s="5" t="s">
        <v>937</v>
      </c>
      <c r="C756" s="3" t="s">
        <v>938</v>
      </c>
      <c r="D756" s="3" t="s">
        <v>546</v>
      </c>
      <c r="E756" s="36" t="s">
        <v>546</v>
      </c>
      <c r="F756" s="37" t="s">
        <v>307</v>
      </c>
      <c r="G756" s="29">
        <v>0</v>
      </c>
      <c r="H756" s="11">
        <v>127.3</v>
      </c>
      <c r="I756" s="11">
        <v>127.3</v>
      </c>
    </row>
    <row r="757" spans="1:9" x14ac:dyDescent="0.25">
      <c r="A757" s="113" t="s">
        <v>80</v>
      </c>
      <c r="B757" s="1" t="s">
        <v>277</v>
      </c>
      <c r="H757"/>
      <c r="I757"/>
    </row>
    <row r="758" spans="1:9" x14ac:dyDescent="0.25">
      <c r="A758" s="114"/>
      <c r="B758" s="5" t="s">
        <v>80</v>
      </c>
      <c r="C758" s="3" t="s">
        <v>477</v>
      </c>
      <c r="D758" s="3" t="s">
        <v>546</v>
      </c>
      <c r="E758" s="36" t="s">
        <v>546</v>
      </c>
      <c r="F758" s="37" t="s">
        <v>307</v>
      </c>
      <c r="G758" s="29">
        <v>0</v>
      </c>
      <c r="H758" s="11">
        <v>128.30000000000001</v>
      </c>
      <c r="I758" s="11">
        <v>128.30000000000001</v>
      </c>
    </row>
    <row r="759" spans="1:9" x14ac:dyDescent="0.25">
      <c r="A759" s="113" t="s">
        <v>115</v>
      </c>
      <c r="B759" s="1" t="s">
        <v>277</v>
      </c>
      <c r="H759"/>
      <c r="I759"/>
    </row>
    <row r="760" spans="1:9" x14ac:dyDescent="0.25">
      <c r="A760" s="114"/>
      <c r="B760" s="5" t="s">
        <v>115</v>
      </c>
      <c r="C760" s="3" t="s">
        <v>478</v>
      </c>
      <c r="D760" s="3" t="s">
        <v>546</v>
      </c>
      <c r="E760" s="36" t="s">
        <v>546</v>
      </c>
      <c r="F760" s="37" t="s">
        <v>307</v>
      </c>
      <c r="G760" s="29">
        <v>0</v>
      </c>
      <c r="H760" s="11">
        <v>130.6</v>
      </c>
      <c r="I760" s="11">
        <v>130.6</v>
      </c>
    </row>
    <row r="761" spans="1:9" x14ac:dyDescent="0.25">
      <c r="A761" s="113" t="s">
        <v>81</v>
      </c>
      <c r="B761" s="1" t="s">
        <v>277</v>
      </c>
      <c r="H761"/>
      <c r="I761"/>
    </row>
    <row r="762" spans="1:9" x14ac:dyDescent="0.25">
      <c r="A762" s="114"/>
      <c r="B762" s="5" t="s">
        <v>81</v>
      </c>
      <c r="C762" s="3" t="s">
        <v>479</v>
      </c>
      <c r="D762" s="3" t="s">
        <v>546</v>
      </c>
      <c r="E762" s="36" t="s">
        <v>546</v>
      </c>
      <c r="F762" s="37" t="s">
        <v>307</v>
      </c>
      <c r="G762" s="29">
        <v>0</v>
      </c>
      <c r="H762" s="11">
        <v>130.6</v>
      </c>
      <c r="I762" s="11">
        <v>130.6</v>
      </c>
    </row>
    <row r="763" spans="1:9" x14ac:dyDescent="0.25">
      <c r="A763" s="113" t="s">
        <v>939</v>
      </c>
      <c r="B763" s="1" t="s">
        <v>277</v>
      </c>
      <c r="H763"/>
      <c r="I763"/>
    </row>
    <row r="764" spans="1:9" x14ac:dyDescent="0.25">
      <c r="A764" s="114"/>
      <c r="B764" s="5" t="s">
        <v>939</v>
      </c>
      <c r="C764" s="3" t="s">
        <v>940</v>
      </c>
      <c r="D764" s="3" t="s">
        <v>546</v>
      </c>
      <c r="E764" s="36" t="s">
        <v>546</v>
      </c>
      <c r="F764" s="37" t="s">
        <v>307</v>
      </c>
      <c r="G764" s="29">
        <v>0</v>
      </c>
      <c r="H764" s="11">
        <v>132.69999999999999</v>
      </c>
      <c r="I764" s="11">
        <v>132.69999999999999</v>
      </c>
    </row>
    <row r="765" spans="1:9" x14ac:dyDescent="0.25">
      <c r="A765" s="115" t="s">
        <v>308</v>
      </c>
      <c r="B765" s="116"/>
      <c r="C765" s="116"/>
      <c r="D765" s="116"/>
      <c r="E765" s="116"/>
      <c r="F765" s="116"/>
      <c r="G765" s="116"/>
      <c r="H765" s="116"/>
      <c r="I765" s="116"/>
    </row>
    <row r="766" spans="1:9" x14ac:dyDescent="0.25">
      <c r="A766" s="10" t="s">
        <v>546</v>
      </c>
      <c r="B766" s="7"/>
      <c r="C766" s="7"/>
      <c r="D766" s="7"/>
      <c r="E766" s="7"/>
      <c r="F766" s="7"/>
      <c r="G766" s="7"/>
      <c r="H766" s="7"/>
      <c r="I766" s="7"/>
    </row>
    <row r="767" spans="1:9" x14ac:dyDescent="0.25">
      <c r="A767" s="113" t="s">
        <v>100</v>
      </c>
      <c r="B767" s="1" t="s">
        <v>808</v>
      </c>
      <c r="H767"/>
      <c r="I767"/>
    </row>
    <row r="768" spans="1:9" x14ac:dyDescent="0.25">
      <c r="A768" s="114"/>
      <c r="B768" s="5" t="s">
        <v>100</v>
      </c>
      <c r="C768" s="3" t="s">
        <v>417</v>
      </c>
      <c r="D768" s="3" t="s">
        <v>546</v>
      </c>
      <c r="E768" s="36" t="s">
        <v>546</v>
      </c>
      <c r="F768" s="37" t="s">
        <v>308</v>
      </c>
      <c r="G768" s="29">
        <v>0</v>
      </c>
      <c r="H768" s="11">
        <v>107.9</v>
      </c>
      <c r="I768" s="11">
        <v>107.9</v>
      </c>
    </row>
    <row r="769" spans="1:9" x14ac:dyDescent="0.25">
      <c r="A769" s="113" t="s">
        <v>1</v>
      </c>
      <c r="B769" s="1" t="s">
        <v>278</v>
      </c>
      <c r="H769"/>
      <c r="I769"/>
    </row>
    <row r="770" spans="1:9" x14ac:dyDescent="0.25">
      <c r="A770" s="114"/>
      <c r="B770" s="5" t="s">
        <v>1</v>
      </c>
      <c r="C770" s="3" t="s">
        <v>418</v>
      </c>
      <c r="D770" s="3" t="s">
        <v>546</v>
      </c>
      <c r="E770" s="36" t="s">
        <v>546</v>
      </c>
      <c r="F770" s="37" t="s">
        <v>308</v>
      </c>
      <c r="G770" s="29">
        <v>0</v>
      </c>
      <c r="H770" s="11">
        <v>124.9</v>
      </c>
      <c r="I770" s="11">
        <v>124.9</v>
      </c>
    </row>
    <row r="771" spans="1:9" x14ac:dyDescent="0.25">
      <c r="A771" s="113" t="s">
        <v>809</v>
      </c>
      <c r="B771" s="1" t="s">
        <v>810</v>
      </c>
      <c r="H771"/>
      <c r="I771"/>
    </row>
    <row r="772" spans="1:9" x14ac:dyDescent="0.25">
      <c r="A772" s="114"/>
      <c r="B772" s="5" t="s">
        <v>809</v>
      </c>
      <c r="C772" s="3" t="s">
        <v>826</v>
      </c>
      <c r="D772" s="3" t="s">
        <v>546</v>
      </c>
      <c r="E772" s="36" t="s">
        <v>546</v>
      </c>
      <c r="F772" s="37" t="s">
        <v>308</v>
      </c>
      <c r="G772" s="29">
        <v>0</v>
      </c>
      <c r="H772" s="11">
        <v>124.9</v>
      </c>
      <c r="I772" s="11">
        <v>124.9</v>
      </c>
    </row>
    <row r="773" spans="1:9" x14ac:dyDescent="0.25">
      <c r="A773" s="113" t="s">
        <v>45</v>
      </c>
      <c r="B773" s="1" t="s">
        <v>238</v>
      </c>
      <c r="H773"/>
      <c r="I773"/>
    </row>
    <row r="774" spans="1:9" x14ac:dyDescent="0.25">
      <c r="A774" s="114"/>
      <c r="B774" s="5" t="s">
        <v>45</v>
      </c>
      <c r="C774" s="3" t="s">
        <v>419</v>
      </c>
      <c r="D774" s="3" t="s">
        <v>546</v>
      </c>
      <c r="E774" s="36" t="s">
        <v>546</v>
      </c>
      <c r="F774" s="37" t="s">
        <v>308</v>
      </c>
      <c r="G774" s="29">
        <v>0</v>
      </c>
      <c r="H774" s="11">
        <v>624.9</v>
      </c>
      <c r="I774" s="11">
        <v>624.9</v>
      </c>
    </row>
    <row r="775" spans="1:9" x14ac:dyDescent="0.25">
      <c r="A775" s="113" t="s">
        <v>158</v>
      </c>
      <c r="B775" s="1" t="s">
        <v>239</v>
      </c>
      <c r="H775"/>
      <c r="I775"/>
    </row>
    <row r="776" spans="1:9" x14ac:dyDescent="0.25">
      <c r="A776" s="114"/>
      <c r="B776" s="5" t="s">
        <v>158</v>
      </c>
      <c r="C776" s="3" t="s">
        <v>811</v>
      </c>
      <c r="D776" s="3" t="s">
        <v>546</v>
      </c>
      <c r="E776" s="36" t="s">
        <v>546</v>
      </c>
      <c r="F776" s="37" t="s">
        <v>308</v>
      </c>
      <c r="G776" s="29">
        <v>0</v>
      </c>
      <c r="H776" s="11">
        <v>689.9</v>
      </c>
      <c r="I776" s="11">
        <v>689.9</v>
      </c>
    </row>
    <row r="777" spans="1:9" x14ac:dyDescent="0.25">
      <c r="A777" s="113" t="s">
        <v>96</v>
      </c>
      <c r="B777" s="1" t="s">
        <v>279</v>
      </c>
      <c r="H777"/>
      <c r="I777"/>
    </row>
    <row r="778" spans="1:9" x14ac:dyDescent="0.25">
      <c r="A778" s="114"/>
      <c r="B778" s="5" t="s">
        <v>96</v>
      </c>
      <c r="C778" s="3" t="s">
        <v>420</v>
      </c>
      <c r="D778" s="3" t="s">
        <v>546</v>
      </c>
      <c r="E778" s="36" t="s">
        <v>546</v>
      </c>
      <c r="F778" s="37" t="s">
        <v>308</v>
      </c>
      <c r="G778" s="29">
        <v>0</v>
      </c>
      <c r="H778" s="11">
        <v>12.9</v>
      </c>
      <c r="I778" s="11">
        <v>12.9</v>
      </c>
    </row>
    <row r="779" spans="1:9" x14ac:dyDescent="0.25">
      <c r="A779" s="113" t="s">
        <v>95</v>
      </c>
      <c r="B779" s="1" t="s">
        <v>240</v>
      </c>
      <c r="H779"/>
      <c r="I779"/>
    </row>
    <row r="780" spans="1:9" x14ac:dyDescent="0.25">
      <c r="A780" s="114"/>
      <c r="B780" s="5" t="s">
        <v>95</v>
      </c>
      <c r="C780" s="3" t="s">
        <v>421</v>
      </c>
      <c r="D780" s="3" t="s">
        <v>546</v>
      </c>
      <c r="E780" s="36">
        <v>1</v>
      </c>
      <c r="F780" s="37" t="s">
        <v>308</v>
      </c>
      <c r="G780" s="29">
        <v>0</v>
      </c>
      <c r="H780" s="11">
        <v>404.9</v>
      </c>
      <c r="I780" s="11">
        <v>404.9</v>
      </c>
    </row>
    <row r="781" spans="1:9" x14ac:dyDescent="0.25">
      <c r="A781" s="113" t="s">
        <v>84</v>
      </c>
      <c r="B781" s="1" t="s">
        <v>280</v>
      </c>
      <c r="H781"/>
      <c r="I781"/>
    </row>
    <row r="782" spans="1:9" x14ac:dyDescent="0.25">
      <c r="A782" s="114"/>
      <c r="B782" s="5" t="s">
        <v>84</v>
      </c>
      <c r="C782" s="3" t="s">
        <v>422</v>
      </c>
      <c r="D782" s="3" t="s">
        <v>546</v>
      </c>
      <c r="E782" s="36" t="s">
        <v>546</v>
      </c>
      <c r="F782" s="37" t="s">
        <v>308</v>
      </c>
      <c r="G782" s="29">
        <v>0</v>
      </c>
      <c r="H782" s="11">
        <v>93.9</v>
      </c>
      <c r="I782" s="11">
        <v>93.9</v>
      </c>
    </row>
    <row r="783" spans="1:9" x14ac:dyDescent="0.25">
      <c r="A783" s="113" t="s">
        <v>85</v>
      </c>
      <c r="B783" s="1" t="s">
        <v>280</v>
      </c>
      <c r="H783"/>
      <c r="I783"/>
    </row>
    <row r="784" spans="1:9" x14ac:dyDescent="0.25">
      <c r="A784" s="114"/>
      <c r="B784" s="5" t="s">
        <v>85</v>
      </c>
      <c r="C784" s="3" t="s">
        <v>423</v>
      </c>
      <c r="D784" s="3" t="s">
        <v>546</v>
      </c>
      <c r="E784" s="36" t="s">
        <v>546</v>
      </c>
      <c r="F784" s="37" t="s">
        <v>308</v>
      </c>
      <c r="G784" s="29">
        <v>0</v>
      </c>
      <c r="H784" s="11">
        <v>109.9</v>
      </c>
      <c r="I784" s="11">
        <v>109.9</v>
      </c>
    </row>
    <row r="785" spans="1:9" x14ac:dyDescent="0.25">
      <c r="A785" s="113" t="s">
        <v>86</v>
      </c>
      <c r="B785" s="1" t="s">
        <v>281</v>
      </c>
      <c r="H785"/>
      <c r="I785"/>
    </row>
    <row r="786" spans="1:9" x14ac:dyDescent="0.25">
      <c r="A786" s="114"/>
      <c r="B786" s="5" t="s">
        <v>86</v>
      </c>
      <c r="C786" s="3" t="s">
        <v>424</v>
      </c>
      <c r="D786" s="3" t="s">
        <v>546</v>
      </c>
      <c r="E786" s="36" t="s">
        <v>546</v>
      </c>
      <c r="F786" s="37" t="s">
        <v>308</v>
      </c>
      <c r="G786" s="29">
        <v>0</v>
      </c>
      <c r="H786" s="11">
        <v>74.900000000000006</v>
      </c>
      <c r="I786" s="11">
        <v>74.900000000000006</v>
      </c>
    </row>
    <row r="787" spans="1:9" x14ac:dyDescent="0.25">
      <c r="A787" s="113" t="s">
        <v>97</v>
      </c>
      <c r="B787" s="1" t="s">
        <v>282</v>
      </c>
      <c r="H787"/>
      <c r="I787"/>
    </row>
    <row r="788" spans="1:9" x14ac:dyDescent="0.25">
      <c r="A788" s="114"/>
      <c r="B788" s="5" t="s">
        <v>97</v>
      </c>
      <c r="C788" s="3" t="s">
        <v>425</v>
      </c>
      <c r="D788" s="3" t="s">
        <v>546</v>
      </c>
      <c r="E788" s="36" t="s">
        <v>546</v>
      </c>
      <c r="F788" s="37" t="s">
        <v>308</v>
      </c>
      <c r="G788" s="29">
        <v>0</v>
      </c>
      <c r="H788" s="11">
        <v>86.9</v>
      </c>
      <c r="I788" s="11">
        <v>86.9</v>
      </c>
    </row>
    <row r="789" spans="1:9" x14ac:dyDescent="0.25">
      <c r="A789" s="113" t="s">
        <v>87</v>
      </c>
      <c r="B789" s="1" t="s">
        <v>283</v>
      </c>
      <c r="H789"/>
      <c r="I789"/>
    </row>
    <row r="790" spans="1:9" x14ac:dyDescent="0.25">
      <c r="A790" s="114"/>
      <c r="B790" s="5" t="s">
        <v>87</v>
      </c>
      <c r="C790" s="3" t="s">
        <v>426</v>
      </c>
      <c r="D790" s="3" t="s">
        <v>546</v>
      </c>
      <c r="E790" s="36" t="s">
        <v>546</v>
      </c>
      <c r="F790" s="37" t="s">
        <v>308</v>
      </c>
      <c r="G790" s="29">
        <v>0</v>
      </c>
      <c r="H790" s="11">
        <v>86.9</v>
      </c>
      <c r="I790" s="11">
        <v>86.9</v>
      </c>
    </row>
    <row r="791" spans="1:9" x14ac:dyDescent="0.25">
      <c r="A791" s="113" t="s">
        <v>98</v>
      </c>
      <c r="B791" s="1" t="s">
        <v>284</v>
      </c>
      <c r="H791"/>
      <c r="I791"/>
    </row>
    <row r="792" spans="1:9" x14ac:dyDescent="0.25">
      <c r="A792" s="114"/>
      <c r="B792" s="5" t="s">
        <v>98</v>
      </c>
      <c r="C792" s="3" t="s">
        <v>427</v>
      </c>
      <c r="D792" s="3" t="s">
        <v>546</v>
      </c>
      <c r="E792" s="36" t="s">
        <v>546</v>
      </c>
      <c r="F792" s="37" t="s">
        <v>308</v>
      </c>
      <c r="G792" s="29">
        <v>0</v>
      </c>
      <c r="H792" s="11">
        <v>124.9</v>
      </c>
      <c r="I792" s="11">
        <v>124.9</v>
      </c>
    </row>
    <row r="793" spans="1:9" x14ac:dyDescent="0.25">
      <c r="A793" s="113" t="s">
        <v>88</v>
      </c>
      <c r="B793" s="1" t="s">
        <v>285</v>
      </c>
      <c r="H793"/>
      <c r="I793"/>
    </row>
    <row r="794" spans="1:9" x14ac:dyDescent="0.25">
      <c r="A794" s="114"/>
      <c r="B794" s="5" t="s">
        <v>88</v>
      </c>
      <c r="C794" s="3" t="s">
        <v>428</v>
      </c>
      <c r="D794" s="3" t="s">
        <v>546</v>
      </c>
      <c r="E794" s="36" t="s">
        <v>546</v>
      </c>
      <c r="F794" s="37" t="s">
        <v>308</v>
      </c>
      <c r="G794" s="29">
        <v>0</v>
      </c>
      <c r="H794" s="11">
        <v>83.9</v>
      </c>
      <c r="I794" s="11">
        <v>83.9</v>
      </c>
    </row>
    <row r="795" spans="1:9" x14ac:dyDescent="0.25">
      <c r="A795" s="113" t="s">
        <v>89</v>
      </c>
      <c r="B795" s="1" t="s">
        <v>286</v>
      </c>
      <c r="H795"/>
      <c r="I795"/>
    </row>
    <row r="796" spans="1:9" x14ac:dyDescent="0.25">
      <c r="A796" s="114"/>
      <c r="B796" s="5" t="s">
        <v>89</v>
      </c>
      <c r="C796" s="3" t="s">
        <v>429</v>
      </c>
      <c r="D796" s="3" t="s">
        <v>546</v>
      </c>
      <c r="E796" s="36" t="s">
        <v>546</v>
      </c>
      <c r="F796" s="37" t="s">
        <v>308</v>
      </c>
      <c r="G796" s="29">
        <v>0</v>
      </c>
      <c r="H796" s="11">
        <v>103.9</v>
      </c>
      <c r="I796" s="11">
        <v>103.9</v>
      </c>
    </row>
    <row r="797" spans="1:9" x14ac:dyDescent="0.25">
      <c r="A797" s="113" t="s">
        <v>90</v>
      </c>
      <c r="B797" s="1" t="s">
        <v>287</v>
      </c>
      <c r="H797"/>
      <c r="I797"/>
    </row>
    <row r="798" spans="1:9" x14ac:dyDescent="0.25">
      <c r="A798" s="114"/>
      <c r="B798" s="5" t="s">
        <v>90</v>
      </c>
      <c r="C798" s="3" t="s">
        <v>430</v>
      </c>
      <c r="D798" s="3" t="s">
        <v>546</v>
      </c>
      <c r="E798" s="36" t="s">
        <v>546</v>
      </c>
      <c r="F798" s="37" t="s">
        <v>308</v>
      </c>
      <c r="G798" s="29">
        <v>0</v>
      </c>
      <c r="H798" s="11">
        <v>235.9</v>
      </c>
      <c r="I798" s="11">
        <v>235.9</v>
      </c>
    </row>
    <row r="799" spans="1:9" x14ac:dyDescent="0.25">
      <c r="A799" s="113" t="s">
        <v>99</v>
      </c>
      <c r="B799" s="1" t="s">
        <v>288</v>
      </c>
      <c r="H799"/>
      <c r="I799"/>
    </row>
    <row r="800" spans="1:9" x14ac:dyDescent="0.25">
      <c r="A800" s="114"/>
      <c r="B800" s="5" t="s">
        <v>99</v>
      </c>
      <c r="C800" s="3" t="s">
        <v>827</v>
      </c>
      <c r="D800" s="3" t="s">
        <v>546</v>
      </c>
      <c r="E800" s="36" t="s">
        <v>546</v>
      </c>
      <c r="F800" s="37" t="s">
        <v>308</v>
      </c>
      <c r="G800" s="29">
        <v>0</v>
      </c>
      <c r="H800" s="11">
        <v>279.89999999999998</v>
      </c>
      <c r="I800" s="11">
        <v>279.89999999999998</v>
      </c>
    </row>
    <row r="801" spans="1:9" x14ac:dyDescent="0.25">
      <c r="A801" s="113" t="s">
        <v>91</v>
      </c>
      <c r="B801" s="1" t="s">
        <v>289</v>
      </c>
      <c r="H801"/>
      <c r="I801"/>
    </row>
    <row r="802" spans="1:9" x14ac:dyDescent="0.25">
      <c r="A802" s="114"/>
      <c r="B802" s="5" t="s">
        <v>91</v>
      </c>
      <c r="C802" s="3" t="s">
        <v>431</v>
      </c>
      <c r="D802" s="3" t="s">
        <v>546</v>
      </c>
      <c r="E802" s="36" t="s">
        <v>546</v>
      </c>
      <c r="F802" s="37" t="s">
        <v>308</v>
      </c>
      <c r="G802" s="29">
        <v>0</v>
      </c>
      <c r="H802" s="11">
        <v>184.9</v>
      </c>
      <c r="I802" s="11">
        <v>184.9</v>
      </c>
    </row>
    <row r="803" spans="1:9" x14ac:dyDescent="0.25">
      <c r="A803" s="113" t="s">
        <v>92</v>
      </c>
      <c r="B803" s="1" t="s">
        <v>290</v>
      </c>
      <c r="H803"/>
      <c r="I803"/>
    </row>
    <row r="804" spans="1:9" x14ac:dyDescent="0.25">
      <c r="A804" s="114"/>
      <c r="B804" s="5" t="s">
        <v>92</v>
      </c>
      <c r="C804" s="3" t="s">
        <v>432</v>
      </c>
      <c r="D804" s="3" t="s">
        <v>546</v>
      </c>
      <c r="E804" s="36" t="s">
        <v>546</v>
      </c>
      <c r="F804" s="37" t="s">
        <v>308</v>
      </c>
      <c r="G804" s="29">
        <v>0</v>
      </c>
      <c r="H804" s="11">
        <v>217.9</v>
      </c>
      <c r="I804" s="11">
        <v>217.9</v>
      </c>
    </row>
    <row r="805" spans="1:9" x14ac:dyDescent="0.25">
      <c r="A805" s="113" t="s">
        <v>93</v>
      </c>
      <c r="B805" s="1" t="s">
        <v>291</v>
      </c>
      <c r="H805"/>
      <c r="I805"/>
    </row>
    <row r="806" spans="1:9" x14ac:dyDescent="0.25">
      <c r="A806" s="114"/>
      <c r="B806" s="5" t="s">
        <v>93</v>
      </c>
      <c r="C806" s="3" t="s">
        <v>433</v>
      </c>
      <c r="D806" s="3" t="s">
        <v>546</v>
      </c>
      <c r="E806" s="36" t="s">
        <v>546</v>
      </c>
      <c r="F806" s="37" t="s">
        <v>308</v>
      </c>
      <c r="G806" s="29">
        <v>0</v>
      </c>
      <c r="H806" s="11">
        <v>148.9</v>
      </c>
      <c r="I806" s="11">
        <v>148.9</v>
      </c>
    </row>
    <row r="807" spans="1:9" x14ac:dyDescent="0.25">
      <c r="A807" s="113" t="s">
        <v>94</v>
      </c>
      <c r="B807" s="1" t="s">
        <v>292</v>
      </c>
      <c r="H807"/>
      <c r="I807"/>
    </row>
    <row r="808" spans="1:9" x14ac:dyDescent="0.25">
      <c r="A808" s="114"/>
      <c r="B808" s="5" t="s">
        <v>94</v>
      </c>
      <c r="C808" s="3" t="s">
        <v>434</v>
      </c>
      <c r="D808" s="3" t="s">
        <v>546</v>
      </c>
      <c r="E808" s="36" t="s">
        <v>546</v>
      </c>
      <c r="F808" s="37" t="s">
        <v>308</v>
      </c>
      <c r="G808" s="29">
        <v>0</v>
      </c>
      <c r="H808" s="11">
        <v>187.9</v>
      </c>
      <c r="I808" s="11">
        <v>187.9</v>
      </c>
    </row>
    <row r="809" spans="1:9" x14ac:dyDescent="0.25">
      <c r="A809" s="113" t="s">
        <v>46</v>
      </c>
      <c r="B809" s="1" t="s">
        <v>293</v>
      </c>
      <c r="H809"/>
      <c r="I809"/>
    </row>
    <row r="810" spans="1:9" x14ac:dyDescent="0.25">
      <c r="A810" s="114"/>
      <c r="B810" s="5" t="s">
        <v>46</v>
      </c>
      <c r="C810" s="3" t="s">
        <v>828</v>
      </c>
      <c r="D810" s="3" t="s">
        <v>546</v>
      </c>
      <c r="E810" s="36" t="s">
        <v>546</v>
      </c>
      <c r="F810" s="37" t="s">
        <v>308</v>
      </c>
      <c r="G810" s="29">
        <v>0</v>
      </c>
      <c r="H810" s="11">
        <v>369.9</v>
      </c>
      <c r="I810" s="11">
        <v>369.9</v>
      </c>
    </row>
    <row r="811" spans="1:9" x14ac:dyDescent="0.25">
      <c r="A811" s="113" t="s">
        <v>823</v>
      </c>
      <c r="B811" s="1" t="s">
        <v>824</v>
      </c>
      <c r="H811"/>
      <c r="I811"/>
    </row>
    <row r="812" spans="1:9" x14ac:dyDescent="0.25">
      <c r="A812" s="114"/>
      <c r="B812" s="5" t="s">
        <v>822</v>
      </c>
      <c r="C812" s="3" t="s">
        <v>825</v>
      </c>
      <c r="D812" s="3" t="s">
        <v>546</v>
      </c>
      <c r="E812" s="36" t="s">
        <v>546</v>
      </c>
      <c r="F812" s="37" t="s">
        <v>308</v>
      </c>
      <c r="G812" s="29">
        <v>0</v>
      </c>
      <c r="H812" s="11">
        <v>144.9</v>
      </c>
      <c r="I812" s="11">
        <v>144.9</v>
      </c>
    </row>
    <row r="813" spans="1:9" x14ac:dyDescent="0.25">
      <c r="H813"/>
      <c r="I813"/>
    </row>
    <row r="814" spans="1:9" x14ac:dyDescent="0.25">
      <c r="H814"/>
      <c r="I814"/>
    </row>
    <row r="815" spans="1:9" x14ac:dyDescent="0.25">
      <c r="H815"/>
      <c r="I815"/>
    </row>
    <row r="816" spans="1:9" x14ac:dyDescent="0.25">
      <c r="H816"/>
      <c r="I816"/>
    </row>
    <row r="817" spans="8:9" x14ac:dyDescent="0.25">
      <c r="H817"/>
      <c r="I817"/>
    </row>
    <row r="818" spans="8:9" x14ac:dyDescent="0.25">
      <c r="H818"/>
      <c r="I818"/>
    </row>
    <row r="819" spans="8:9" x14ac:dyDescent="0.25">
      <c r="H819"/>
      <c r="I819"/>
    </row>
    <row r="820" spans="8:9" x14ac:dyDescent="0.25">
      <c r="H820"/>
      <c r="I820"/>
    </row>
    <row r="821" spans="8:9" x14ac:dyDescent="0.25">
      <c r="H821"/>
      <c r="I821"/>
    </row>
    <row r="822" spans="8:9" x14ac:dyDescent="0.25">
      <c r="H822"/>
      <c r="I822"/>
    </row>
    <row r="823" spans="8:9" x14ac:dyDescent="0.25">
      <c r="H823"/>
      <c r="I823"/>
    </row>
    <row r="824" spans="8:9" x14ac:dyDescent="0.25">
      <c r="H824"/>
      <c r="I824"/>
    </row>
    <row r="825" spans="8:9" x14ac:dyDescent="0.25">
      <c r="H825"/>
      <c r="I825"/>
    </row>
    <row r="826" spans="8:9" x14ac:dyDescent="0.25">
      <c r="H826"/>
      <c r="I826"/>
    </row>
    <row r="827" spans="8:9" x14ac:dyDescent="0.25">
      <c r="H827"/>
      <c r="I827"/>
    </row>
    <row r="828" spans="8:9" x14ac:dyDescent="0.25">
      <c r="H828"/>
      <c r="I828"/>
    </row>
    <row r="829" spans="8:9" x14ac:dyDescent="0.25">
      <c r="H829"/>
      <c r="I829"/>
    </row>
    <row r="830" spans="8:9" x14ac:dyDescent="0.25">
      <c r="H830"/>
      <c r="I830"/>
    </row>
    <row r="831" spans="8:9" x14ac:dyDescent="0.25">
      <c r="H831"/>
      <c r="I831"/>
    </row>
    <row r="832" spans="8:9" x14ac:dyDescent="0.25">
      <c r="H832"/>
      <c r="I832"/>
    </row>
    <row r="833" spans="8:9" x14ac:dyDescent="0.25">
      <c r="H833"/>
      <c r="I833"/>
    </row>
    <row r="834" spans="8:9" x14ac:dyDescent="0.25">
      <c r="H834"/>
      <c r="I834"/>
    </row>
    <row r="835" spans="8:9" x14ac:dyDescent="0.25">
      <c r="H835"/>
      <c r="I835"/>
    </row>
    <row r="836" spans="8:9" x14ac:dyDescent="0.25">
      <c r="H836"/>
      <c r="I836"/>
    </row>
    <row r="837" spans="8:9" x14ac:dyDescent="0.25">
      <c r="H837"/>
      <c r="I837"/>
    </row>
    <row r="838" spans="8:9" x14ac:dyDescent="0.25">
      <c r="H838"/>
      <c r="I838"/>
    </row>
    <row r="839" spans="8:9" x14ac:dyDescent="0.25">
      <c r="H839"/>
      <c r="I839"/>
    </row>
    <row r="840" spans="8:9" x14ac:dyDescent="0.25">
      <c r="H840"/>
      <c r="I840"/>
    </row>
    <row r="841" spans="8:9" x14ac:dyDescent="0.25">
      <c r="H841"/>
      <c r="I841"/>
    </row>
    <row r="842" spans="8:9" x14ac:dyDescent="0.25">
      <c r="H842"/>
      <c r="I842"/>
    </row>
    <row r="843" spans="8:9" x14ac:dyDescent="0.25">
      <c r="H843"/>
      <c r="I843"/>
    </row>
    <row r="844" spans="8:9" x14ac:dyDescent="0.25">
      <c r="H844"/>
      <c r="I844"/>
    </row>
    <row r="845" spans="8:9" x14ac:dyDescent="0.25">
      <c r="H845"/>
      <c r="I845"/>
    </row>
    <row r="846" spans="8:9" x14ac:dyDescent="0.25">
      <c r="H846"/>
      <c r="I846"/>
    </row>
    <row r="847" spans="8:9" x14ac:dyDescent="0.25">
      <c r="H847"/>
      <c r="I847"/>
    </row>
    <row r="848" spans="8:9" x14ac:dyDescent="0.25">
      <c r="H848"/>
      <c r="I848"/>
    </row>
    <row r="849" spans="8:9" x14ac:dyDescent="0.25">
      <c r="H849"/>
      <c r="I849"/>
    </row>
    <row r="850" spans="8:9" x14ac:dyDescent="0.25">
      <c r="H850"/>
      <c r="I850"/>
    </row>
    <row r="851" spans="8:9" x14ac:dyDescent="0.25">
      <c r="H851"/>
      <c r="I851"/>
    </row>
    <row r="852" spans="8:9" x14ac:dyDescent="0.25">
      <c r="H852"/>
      <c r="I852"/>
    </row>
    <row r="853" spans="8:9" x14ac:dyDescent="0.25">
      <c r="H853"/>
      <c r="I853"/>
    </row>
    <row r="854" spans="8:9" x14ac:dyDescent="0.25">
      <c r="H854"/>
      <c r="I854"/>
    </row>
    <row r="855" spans="8:9" x14ac:dyDescent="0.25">
      <c r="H855"/>
      <c r="I855"/>
    </row>
    <row r="856" spans="8:9" x14ac:dyDescent="0.25">
      <c r="H856"/>
      <c r="I856"/>
    </row>
    <row r="857" spans="8:9" x14ac:dyDescent="0.25">
      <c r="H857"/>
      <c r="I857"/>
    </row>
    <row r="858" spans="8:9" x14ac:dyDescent="0.25">
      <c r="H858"/>
      <c r="I858"/>
    </row>
    <row r="859" spans="8:9" x14ac:dyDescent="0.25">
      <c r="H859"/>
      <c r="I859"/>
    </row>
    <row r="860" spans="8:9" x14ac:dyDescent="0.25">
      <c r="H860"/>
      <c r="I860"/>
    </row>
    <row r="861" spans="8:9" x14ac:dyDescent="0.25">
      <c r="H861"/>
      <c r="I861"/>
    </row>
    <row r="862" spans="8:9" x14ac:dyDescent="0.25">
      <c r="H862"/>
      <c r="I862"/>
    </row>
    <row r="863" spans="8:9" x14ac:dyDescent="0.25">
      <c r="H863"/>
      <c r="I863"/>
    </row>
    <row r="864" spans="8:9" x14ac:dyDescent="0.25">
      <c r="H864"/>
      <c r="I864"/>
    </row>
    <row r="865" spans="8:9" x14ac:dyDescent="0.25">
      <c r="H865"/>
      <c r="I865"/>
    </row>
    <row r="866" spans="8:9" x14ac:dyDescent="0.25">
      <c r="H866"/>
      <c r="I866"/>
    </row>
    <row r="867" spans="8:9" x14ac:dyDescent="0.25">
      <c r="H867"/>
      <c r="I867"/>
    </row>
    <row r="868" spans="8:9" x14ac:dyDescent="0.25">
      <c r="H868"/>
      <c r="I868"/>
    </row>
    <row r="869" spans="8:9" x14ac:dyDescent="0.25">
      <c r="H869"/>
      <c r="I869"/>
    </row>
    <row r="870" spans="8:9" x14ac:dyDescent="0.25">
      <c r="H870"/>
      <c r="I870"/>
    </row>
    <row r="871" spans="8:9" x14ac:dyDescent="0.25">
      <c r="H871"/>
      <c r="I871"/>
    </row>
    <row r="872" spans="8:9" x14ac:dyDescent="0.25">
      <c r="H872"/>
      <c r="I872"/>
    </row>
    <row r="873" spans="8:9" x14ac:dyDescent="0.25">
      <c r="H873"/>
      <c r="I873"/>
    </row>
    <row r="874" spans="8:9" x14ac:dyDescent="0.25">
      <c r="H874"/>
      <c r="I874"/>
    </row>
    <row r="875" spans="8:9" x14ac:dyDescent="0.25">
      <c r="H875"/>
      <c r="I875"/>
    </row>
    <row r="876" spans="8:9" x14ac:dyDescent="0.25">
      <c r="H876"/>
      <c r="I876"/>
    </row>
    <row r="877" spans="8:9" x14ac:dyDescent="0.25">
      <c r="H877"/>
      <c r="I877"/>
    </row>
    <row r="878" spans="8:9" x14ac:dyDescent="0.25">
      <c r="H878"/>
      <c r="I878"/>
    </row>
    <row r="879" spans="8:9" x14ac:dyDescent="0.25">
      <c r="H879"/>
      <c r="I879"/>
    </row>
    <row r="880" spans="8:9" x14ac:dyDescent="0.25">
      <c r="H880"/>
      <c r="I880"/>
    </row>
    <row r="881" spans="8:9" x14ac:dyDescent="0.25">
      <c r="H881"/>
      <c r="I881"/>
    </row>
    <row r="882" spans="8:9" x14ac:dyDescent="0.25">
      <c r="H882"/>
      <c r="I882"/>
    </row>
    <row r="883" spans="8:9" x14ac:dyDescent="0.25">
      <c r="H883"/>
      <c r="I883"/>
    </row>
    <row r="884" spans="8:9" x14ac:dyDescent="0.25">
      <c r="H884"/>
      <c r="I884"/>
    </row>
    <row r="885" spans="8:9" x14ac:dyDescent="0.25">
      <c r="H885"/>
      <c r="I885"/>
    </row>
    <row r="886" spans="8:9" x14ac:dyDescent="0.25">
      <c r="H886"/>
      <c r="I886"/>
    </row>
    <row r="887" spans="8:9" x14ac:dyDescent="0.25">
      <c r="H887"/>
      <c r="I887"/>
    </row>
    <row r="888" spans="8:9" x14ac:dyDescent="0.25">
      <c r="H888"/>
      <c r="I888"/>
    </row>
    <row r="889" spans="8:9" x14ac:dyDescent="0.25">
      <c r="H889"/>
      <c r="I889"/>
    </row>
    <row r="890" spans="8:9" x14ac:dyDescent="0.25">
      <c r="H890"/>
      <c r="I890"/>
    </row>
    <row r="891" spans="8:9" x14ac:dyDescent="0.25">
      <c r="H891"/>
      <c r="I891"/>
    </row>
    <row r="892" spans="8:9" x14ac:dyDescent="0.25">
      <c r="H892"/>
      <c r="I892"/>
    </row>
    <row r="893" spans="8:9" x14ac:dyDescent="0.25">
      <c r="H893"/>
      <c r="I893"/>
    </row>
    <row r="894" spans="8:9" x14ac:dyDescent="0.25">
      <c r="H894"/>
      <c r="I894"/>
    </row>
    <row r="895" spans="8:9" x14ac:dyDescent="0.25">
      <c r="H895"/>
      <c r="I895"/>
    </row>
    <row r="896" spans="8:9" x14ac:dyDescent="0.25">
      <c r="H896"/>
      <c r="I896"/>
    </row>
    <row r="897" spans="8:9" x14ac:dyDescent="0.25">
      <c r="H897"/>
      <c r="I897"/>
    </row>
    <row r="898" spans="8:9" x14ac:dyDescent="0.25">
      <c r="H898"/>
      <c r="I898"/>
    </row>
    <row r="899" spans="8:9" x14ac:dyDescent="0.25">
      <c r="H899"/>
      <c r="I899"/>
    </row>
    <row r="900" spans="8:9" x14ac:dyDescent="0.25">
      <c r="H900"/>
      <c r="I900"/>
    </row>
    <row r="901" spans="8:9" x14ac:dyDescent="0.25">
      <c r="H901"/>
      <c r="I901"/>
    </row>
    <row r="902" spans="8:9" x14ac:dyDescent="0.25">
      <c r="H902"/>
      <c r="I902"/>
    </row>
    <row r="903" spans="8:9" x14ac:dyDescent="0.25">
      <c r="H903"/>
      <c r="I903"/>
    </row>
    <row r="904" spans="8:9" x14ac:dyDescent="0.25">
      <c r="H904"/>
      <c r="I904"/>
    </row>
    <row r="905" spans="8:9" x14ac:dyDescent="0.25">
      <c r="H905"/>
      <c r="I905"/>
    </row>
    <row r="906" spans="8:9" x14ac:dyDescent="0.25">
      <c r="H906"/>
      <c r="I906"/>
    </row>
    <row r="907" spans="8:9" x14ac:dyDescent="0.25">
      <c r="H907"/>
      <c r="I907"/>
    </row>
    <row r="908" spans="8:9" x14ac:dyDescent="0.25">
      <c r="H908"/>
      <c r="I908"/>
    </row>
    <row r="909" spans="8:9" x14ac:dyDescent="0.25">
      <c r="H909"/>
      <c r="I909"/>
    </row>
    <row r="910" spans="8:9" x14ac:dyDescent="0.25">
      <c r="H910"/>
      <c r="I910"/>
    </row>
    <row r="911" spans="8:9" x14ac:dyDescent="0.25">
      <c r="H911"/>
      <c r="I911"/>
    </row>
    <row r="912" spans="8:9" x14ac:dyDescent="0.25">
      <c r="H912"/>
      <c r="I912"/>
    </row>
    <row r="913" spans="8:9" x14ac:dyDescent="0.25">
      <c r="H913"/>
      <c r="I913"/>
    </row>
    <row r="914" spans="8:9" x14ac:dyDescent="0.25">
      <c r="H914"/>
      <c r="I914"/>
    </row>
    <row r="915" spans="8:9" x14ac:dyDescent="0.25">
      <c r="H915"/>
      <c r="I915"/>
    </row>
    <row r="916" spans="8:9" x14ac:dyDescent="0.25">
      <c r="H916"/>
      <c r="I916"/>
    </row>
    <row r="917" spans="8:9" x14ac:dyDescent="0.25">
      <c r="H917"/>
      <c r="I917"/>
    </row>
    <row r="918" spans="8:9" x14ac:dyDescent="0.25">
      <c r="H918"/>
      <c r="I918"/>
    </row>
    <row r="919" spans="8:9" x14ac:dyDescent="0.25">
      <c r="H919"/>
      <c r="I919"/>
    </row>
    <row r="920" spans="8:9" x14ac:dyDescent="0.25">
      <c r="H920"/>
      <c r="I920"/>
    </row>
    <row r="921" spans="8:9" x14ac:dyDescent="0.25">
      <c r="H921"/>
      <c r="I921"/>
    </row>
    <row r="922" spans="8:9" x14ac:dyDescent="0.25">
      <c r="H922"/>
      <c r="I922"/>
    </row>
    <row r="923" spans="8:9" x14ac:dyDescent="0.25">
      <c r="H923"/>
      <c r="I923"/>
    </row>
    <row r="924" spans="8:9" x14ac:dyDescent="0.25">
      <c r="H924"/>
      <c r="I924"/>
    </row>
    <row r="925" spans="8:9" x14ac:dyDescent="0.25">
      <c r="H925"/>
      <c r="I925"/>
    </row>
    <row r="926" spans="8:9" x14ac:dyDescent="0.25">
      <c r="H926"/>
      <c r="I926"/>
    </row>
    <row r="927" spans="8:9" x14ac:dyDescent="0.25">
      <c r="H927"/>
      <c r="I927"/>
    </row>
    <row r="928" spans="8:9" x14ac:dyDescent="0.25">
      <c r="H928"/>
      <c r="I928"/>
    </row>
    <row r="929" spans="8:9" x14ac:dyDescent="0.25">
      <c r="H929"/>
      <c r="I929"/>
    </row>
    <row r="930" spans="8:9" x14ac:dyDescent="0.25">
      <c r="H930"/>
      <c r="I930"/>
    </row>
    <row r="931" spans="8:9" x14ac:dyDescent="0.25">
      <c r="H931"/>
      <c r="I931"/>
    </row>
    <row r="932" spans="8:9" x14ac:dyDescent="0.25">
      <c r="H932"/>
      <c r="I932"/>
    </row>
    <row r="933" spans="8:9" x14ac:dyDescent="0.25">
      <c r="H933"/>
      <c r="I933"/>
    </row>
    <row r="934" spans="8:9" x14ac:dyDescent="0.25">
      <c r="H934"/>
      <c r="I934"/>
    </row>
    <row r="935" spans="8:9" x14ac:dyDescent="0.25">
      <c r="H935"/>
      <c r="I935"/>
    </row>
    <row r="936" spans="8:9" x14ac:dyDescent="0.25">
      <c r="H936"/>
      <c r="I936"/>
    </row>
    <row r="937" spans="8:9" x14ac:dyDescent="0.25">
      <c r="H937"/>
      <c r="I937"/>
    </row>
    <row r="938" spans="8:9" x14ac:dyDescent="0.25">
      <c r="H938"/>
      <c r="I938"/>
    </row>
    <row r="939" spans="8:9" x14ac:dyDescent="0.25">
      <c r="H939"/>
      <c r="I939"/>
    </row>
    <row r="940" spans="8:9" x14ac:dyDescent="0.25">
      <c r="H940"/>
      <c r="I940"/>
    </row>
    <row r="941" spans="8:9" x14ac:dyDescent="0.25">
      <c r="H941"/>
      <c r="I941"/>
    </row>
    <row r="942" spans="8:9" x14ac:dyDescent="0.25">
      <c r="H942"/>
      <c r="I942"/>
    </row>
    <row r="943" spans="8:9" x14ac:dyDescent="0.25">
      <c r="H943"/>
      <c r="I943"/>
    </row>
    <row r="944" spans="8:9" x14ac:dyDescent="0.25">
      <c r="H944"/>
      <c r="I944"/>
    </row>
    <row r="945" spans="8:9" x14ac:dyDescent="0.25">
      <c r="H945"/>
      <c r="I945"/>
    </row>
    <row r="946" spans="8:9" x14ac:dyDescent="0.25">
      <c r="H946"/>
      <c r="I946"/>
    </row>
    <row r="947" spans="8:9" x14ac:dyDescent="0.25">
      <c r="H947"/>
      <c r="I947"/>
    </row>
    <row r="948" spans="8:9" x14ac:dyDescent="0.25">
      <c r="H948"/>
      <c r="I948"/>
    </row>
    <row r="949" spans="8:9" x14ac:dyDescent="0.25">
      <c r="H949"/>
      <c r="I949"/>
    </row>
    <row r="950" spans="8:9" x14ac:dyDescent="0.25">
      <c r="H950"/>
      <c r="I950"/>
    </row>
    <row r="951" spans="8:9" x14ac:dyDescent="0.25">
      <c r="H951"/>
      <c r="I951"/>
    </row>
    <row r="952" spans="8:9" x14ac:dyDescent="0.25">
      <c r="H952"/>
      <c r="I952"/>
    </row>
    <row r="953" spans="8:9" x14ac:dyDescent="0.25">
      <c r="H953"/>
      <c r="I953"/>
    </row>
    <row r="954" spans="8:9" x14ac:dyDescent="0.25">
      <c r="H954"/>
      <c r="I954"/>
    </row>
    <row r="955" spans="8:9" x14ac:dyDescent="0.25">
      <c r="H955"/>
      <c r="I955"/>
    </row>
    <row r="956" spans="8:9" x14ac:dyDescent="0.25">
      <c r="H956"/>
      <c r="I956"/>
    </row>
    <row r="957" spans="8:9" x14ac:dyDescent="0.25">
      <c r="H957"/>
      <c r="I957"/>
    </row>
    <row r="958" spans="8:9" x14ac:dyDescent="0.25">
      <c r="H958"/>
      <c r="I958"/>
    </row>
    <row r="959" spans="8:9" x14ac:dyDescent="0.25">
      <c r="H959"/>
      <c r="I959"/>
    </row>
    <row r="960" spans="8:9" x14ac:dyDescent="0.25">
      <c r="H960"/>
      <c r="I960"/>
    </row>
    <row r="961" spans="8:9" x14ac:dyDescent="0.25">
      <c r="H961"/>
      <c r="I961"/>
    </row>
    <row r="962" spans="8:9" x14ac:dyDescent="0.25">
      <c r="H962"/>
      <c r="I962"/>
    </row>
    <row r="963" spans="8:9" x14ac:dyDescent="0.25">
      <c r="H963"/>
      <c r="I963"/>
    </row>
    <row r="964" spans="8:9" x14ac:dyDescent="0.25">
      <c r="H964"/>
      <c r="I964"/>
    </row>
    <row r="965" spans="8:9" x14ac:dyDescent="0.25">
      <c r="H965"/>
      <c r="I965"/>
    </row>
    <row r="966" spans="8:9" x14ac:dyDescent="0.25">
      <c r="H966"/>
      <c r="I966"/>
    </row>
    <row r="967" spans="8:9" x14ac:dyDescent="0.25">
      <c r="H967"/>
      <c r="I967"/>
    </row>
    <row r="968" spans="8:9" x14ac:dyDescent="0.25">
      <c r="H968"/>
      <c r="I968"/>
    </row>
    <row r="969" spans="8:9" x14ac:dyDescent="0.25">
      <c r="H969"/>
      <c r="I969"/>
    </row>
    <row r="970" spans="8:9" x14ac:dyDescent="0.25">
      <c r="H970"/>
      <c r="I970"/>
    </row>
    <row r="971" spans="8:9" x14ac:dyDescent="0.25">
      <c r="H971"/>
      <c r="I971"/>
    </row>
    <row r="972" spans="8:9" x14ac:dyDescent="0.25">
      <c r="H972"/>
      <c r="I972"/>
    </row>
    <row r="973" spans="8:9" x14ac:dyDescent="0.25">
      <c r="H973"/>
      <c r="I973"/>
    </row>
    <row r="974" spans="8:9" x14ac:dyDescent="0.25">
      <c r="H974"/>
      <c r="I974"/>
    </row>
    <row r="975" spans="8:9" x14ac:dyDescent="0.25">
      <c r="H975"/>
      <c r="I975"/>
    </row>
    <row r="976" spans="8:9" x14ac:dyDescent="0.25">
      <c r="H976"/>
      <c r="I976"/>
    </row>
    <row r="977" spans="8:9" x14ac:dyDescent="0.25">
      <c r="H977"/>
      <c r="I977"/>
    </row>
    <row r="978" spans="8:9" x14ac:dyDescent="0.25">
      <c r="H978"/>
      <c r="I978"/>
    </row>
    <row r="979" spans="8:9" x14ac:dyDescent="0.25">
      <c r="H979"/>
      <c r="I979"/>
    </row>
    <row r="980" spans="8:9" x14ac:dyDescent="0.25">
      <c r="H980"/>
      <c r="I980"/>
    </row>
    <row r="981" spans="8:9" x14ac:dyDescent="0.25">
      <c r="H981"/>
      <c r="I981"/>
    </row>
    <row r="982" spans="8:9" x14ac:dyDescent="0.25">
      <c r="H982"/>
      <c r="I982"/>
    </row>
    <row r="983" spans="8:9" x14ac:dyDescent="0.25">
      <c r="H983"/>
      <c r="I983"/>
    </row>
    <row r="984" spans="8:9" x14ac:dyDescent="0.25">
      <c r="H984"/>
      <c r="I984"/>
    </row>
    <row r="985" spans="8:9" x14ac:dyDescent="0.25">
      <c r="H985"/>
      <c r="I985"/>
    </row>
    <row r="986" spans="8:9" x14ac:dyDescent="0.25">
      <c r="H986"/>
      <c r="I986"/>
    </row>
    <row r="987" spans="8:9" x14ac:dyDescent="0.25">
      <c r="H987"/>
      <c r="I987"/>
    </row>
    <row r="988" spans="8:9" x14ac:dyDescent="0.25">
      <c r="H988"/>
      <c r="I988"/>
    </row>
    <row r="989" spans="8:9" x14ac:dyDescent="0.25">
      <c r="H989"/>
      <c r="I989"/>
    </row>
    <row r="990" spans="8:9" x14ac:dyDescent="0.25">
      <c r="H990"/>
      <c r="I990"/>
    </row>
    <row r="991" spans="8:9" x14ac:dyDescent="0.25">
      <c r="H991"/>
      <c r="I991"/>
    </row>
    <row r="992" spans="8:9" x14ac:dyDescent="0.25">
      <c r="H992"/>
      <c r="I992"/>
    </row>
    <row r="993" spans="8:9" x14ac:dyDescent="0.25">
      <c r="H993"/>
      <c r="I993"/>
    </row>
    <row r="994" spans="8:9" x14ac:dyDescent="0.25">
      <c r="H994"/>
      <c r="I994"/>
    </row>
    <row r="995" spans="8:9" x14ac:dyDescent="0.25">
      <c r="H995"/>
      <c r="I995"/>
    </row>
    <row r="996" spans="8:9" x14ac:dyDescent="0.25">
      <c r="H996"/>
      <c r="I996"/>
    </row>
    <row r="997" spans="8:9" x14ac:dyDescent="0.25">
      <c r="H997"/>
      <c r="I997"/>
    </row>
    <row r="998" spans="8:9" x14ac:dyDescent="0.25">
      <c r="H998"/>
      <c r="I998"/>
    </row>
    <row r="999" spans="8:9" x14ac:dyDescent="0.25">
      <c r="H999"/>
      <c r="I999"/>
    </row>
    <row r="1000" spans="8:9" x14ac:dyDescent="0.25">
      <c r="H1000"/>
      <c r="I1000"/>
    </row>
    <row r="1001" spans="8:9" x14ac:dyDescent="0.25">
      <c r="H1001"/>
      <c r="I1001"/>
    </row>
    <row r="1002" spans="8:9" x14ac:dyDescent="0.25">
      <c r="H1002"/>
      <c r="I1002"/>
    </row>
    <row r="1003" spans="8:9" x14ac:dyDescent="0.25">
      <c r="H1003"/>
      <c r="I1003"/>
    </row>
    <row r="1004" spans="8:9" x14ac:dyDescent="0.25">
      <c r="H1004"/>
      <c r="I1004"/>
    </row>
    <row r="1005" spans="8:9" x14ac:dyDescent="0.25">
      <c r="H1005"/>
      <c r="I1005"/>
    </row>
    <row r="1006" spans="8:9" x14ac:dyDescent="0.25">
      <c r="H1006"/>
      <c r="I1006"/>
    </row>
    <row r="1007" spans="8:9" x14ac:dyDescent="0.25">
      <c r="H1007"/>
      <c r="I1007"/>
    </row>
    <row r="1008" spans="8:9" x14ac:dyDescent="0.25">
      <c r="H1008"/>
      <c r="I1008"/>
    </row>
    <row r="1009" spans="8:9" x14ac:dyDescent="0.25">
      <c r="H1009"/>
      <c r="I1009"/>
    </row>
    <row r="1010" spans="8:9" x14ac:dyDescent="0.25">
      <c r="H1010"/>
      <c r="I1010"/>
    </row>
    <row r="1011" spans="8:9" x14ac:dyDescent="0.25">
      <c r="H1011"/>
      <c r="I1011"/>
    </row>
    <row r="1012" spans="8:9" x14ac:dyDescent="0.25">
      <c r="H1012"/>
      <c r="I1012"/>
    </row>
    <row r="1013" spans="8:9" x14ac:dyDescent="0.25">
      <c r="H1013"/>
      <c r="I1013"/>
    </row>
    <row r="1014" spans="8:9" x14ac:dyDescent="0.25">
      <c r="H1014"/>
      <c r="I1014"/>
    </row>
    <row r="1015" spans="8:9" x14ac:dyDescent="0.25">
      <c r="H1015"/>
      <c r="I1015"/>
    </row>
    <row r="1016" spans="8:9" x14ac:dyDescent="0.25">
      <c r="H1016"/>
      <c r="I1016"/>
    </row>
    <row r="1017" spans="8:9" x14ac:dyDescent="0.25">
      <c r="H1017"/>
      <c r="I1017"/>
    </row>
    <row r="1018" spans="8:9" x14ac:dyDescent="0.25">
      <c r="H1018"/>
      <c r="I1018"/>
    </row>
    <row r="1019" spans="8:9" x14ac:dyDescent="0.25">
      <c r="H1019"/>
      <c r="I1019"/>
    </row>
    <row r="1020" spans="8:9" x14ac:dyDescent="0.25">
      <c r="H1020"/>
      <c r="I1020"/>
    </row>
    <row r="1021" spans="8:9" x14ac:dyDescent="0.25">
      <c r="H1021"/>
      <c r="I1021"/>
    </row>
    <row r="1022" spans="8:9" x14ac:dyDescent="0.25">
      <c r="H1022"/>
      <c r="I1022"/>
    </row>
    <row r="1023" spans="8:9" x14ac:dyDescent="0.25">
      <c r="H1023"/>
      <c r="I1023"/>
    </row>
    <row r="1024" spans="8:9" x14ac:dyDescent="0.25">
      <c r="H1024"/>
      <c r="I1024"/>
    </row>
    <row r="1025" spans="8:9" x14ac:dyDescent="0.25">
      <c r="H1025"/>
      <c r="I1025"/>
    </row>
    <row r="1026" spans="8:9" x14ac:dyDescent="0.25">
      <c r="H1026"/>
      <c r="I1026"/>
    </row>
    <row r="1027" spans="8:9" x14ac:dyDescent="0.25">
      <c r="H1027"/>
      <c r="I1027"/>
    </row>
    <row r="1028" spans="8:9" x14ac:dyDescent="0.25">
      <c r="H1028"/>
      <c r="I1028"/>
    </row>
    <row r="1029" spans="8:9" x14ac:dyDescent="0.25">
      <c r="H1029"/>
      <c r="I1029"/>
    </row>
    <row r="1030" spans="8:9" x14ac:dyDescent="0.25">
      <c r="H1030"/>
      <c r="I1030"/>
    </row>
    <row r="1031" spans="8:9" x14ac:dyDescent="0.25">
      <c r="H1031"/>
      <c r="I1031"/>
    </row>
    <row r="1032" spans="8:9" x14ac:dyDescent="0.25">
      <c r="H1032"/>
      <c r="I1032"/>
    </row>
    <row r="1033" spans="8:9" x14ac:dyDescent="0.25">
      <c r="H1033"/>
      <c r="I1033"/>
    </row>
    <row r="1034" spans="8:9" x14ac:dyDescent="0.25">
      <c r="H1034"/>
      <c r="I1034"/>
    </row>
    <row r="1035" spans="8:9" x14ac:dyDescent="0.25">
      <c r="H1035"/>
      <c r="I1035"/>
    </row>
    <row r="1036" spans="8:9" x14ac:dyDescent="0.25">
      <c r="H1036"/>
      <c r="I1036"/>
    </row>
    <row r="1037" spans="8:9" x14ac:dyDescent="0.25">
      <c r="H1037"/>
      <c r="I1037"/>
    </row>
    <row r="1038" spans="8:9" x14ac:dyDescent="0.25">
      <c r="H1038"/>
      <c r="I1038"/>
    </row>
    <row r="1039" spans="8:9" x14ac:dyDescent="0.25">
      <c r="H1039"/>
      <c r="I1039"/>
    </row>
    <row r="1040" spans="8:9" x14ac:dyDescent="0.25">
      <c r="H1040"/>
      <c r="I1040"/>
    </row>
    <row r="1041" spans="8:9" x14ac:dyDescent="0.25">
      <c r="H1041"/>
      <c r="I1041"/>
    </row>
    <row r="1042" spans="8:9" x14ac:dyDescent="0.25">
      <c r="H1042"/>
      <c r="I1042"/>
    </row>
    <row r="1043" spans="8:9" x14ac:dyDescent="0.25">
      <c r="H1043"/>
      <c r="I1043"/>
    </row>
    <row r="1044" spans="8:9" x14ac:dyDescent="0.25">
      <c r="H1044"/>
      <c r="I1044"/>
    </row>
    <row r="1045" spans="8:9" x14ac:dyDescent="0.25">
      <c r="H1045"/>
      <c r="I1045"/>
    </row>
    <row r="1046" spans="8:9" x14ac:dyDescent="0.25">
      <c r="H1046"/>
      <c r="I1046"/>
    </row>
    <row r="1047" spans="8:9" x14ac:dyDescent="0.25">
      <c r="H1047"/>
      <c r="I1047"/>
    </row>
    <row r="1048" spans="8:9" x14ac:dyDescent="0.25">
      <c r="H1048"/>
      <c r="I1048"/>
    </row>
    <row r="1049" spans="8:9" x14ac:dyDescent="0.25">
      <c r="H1049"/>
      <c r="I1049"/>
    </row>
    <row r="1050" spans="8:9" x14ac:dyDescent="0.25">
      <c r="H1050"/>
      <c r="I1050"/>
    </row>
    <row r="1051" spans="8:9" x14ac:dyDescent="0.25">
      <c r="H1051"/>
      <c r="I1051"/>
    </row>
    <row r="1052" spans="8:9" x14ac:dyDescent="0.25">
      <c r="H1052"/>
      <c r="I1052"/>
    </row>
    <row r="1053" spans="8:9" x14ac:dyDescent="0.25">
      <c r="H1053"/>
      <c r="I1053"/>
    </row>
    <row r="1054" spans="8:9" x14ac:dyDescent="0.25">
      <c r="H1054"/>
      <c r="I1054"/>
    </row>
    <row r="1055" spans="8:9" x14ac:dyDescent="0.25">
      <c r="H1055"/>
      <c r="I1055"/>
    </row>
    <row r="1056" spans="8:9" x14ac:dyDescent="0.25">
      <c r="H1056"/>
      <c r="I1056"/>
    </row>
    <row r="1057" spans="8:9" x14ac:dyDescent="0.25">
      <c r="H1057"/>
      <c r="I1057"/>
    </row>
    <row r="1058" spans="8:9" x14ac:dyDescent="0.25">
      <c r="H1058"/>
      <c r="I1058"/>
    </row>
    <row r="1059" spans="8:9" x14ac:dyDescent="0.25">
      <c r="H1059"/>
      <c r="I1059"/>
    </row>
    <row r="1060" spans="8:9" x14ac:dyDescent="0.25">
      <c r="H1060"/>
      <c r="I1060"/>
    </row>
    <row r="1061" spans="8:9" x14ac:dyDescent="0.25">
      <c r="H1061"/>
      <c r="I1061"/>
    </row>
    <row r="1062" spans="8:9" x14ac:dyDescent="0.25">
      <c r="H1062"/>
      <c r="I1062"/>
    </row>
    <row r="1063" spans="8:9" x14ac:dyDescent="0.25">
      <c r="H1063"/>
      <c r="I1063"/>
    </row>
    <row r="1064" spans="8:9" x14ac:dyDescent="0.25">
      <c r="H1064"/>
      <c r="I1064"/>
    </row>
    <row r="1065" spans="8:9" x14ac:dyDescent="0.25">
      <c r="H1065"/>
      <c r="I1065"/>
    </row>
    <row r="1066" spans="8:9" x14ac:dyDescent="0.25">
      <c r="H1066"/>
      <c r="I1066"/>
    </row>
    <row r="1067" spans="8:9" x14ac:dyDescent="0.25">
      <c r="H1067"/>
      <c r="I1067"/>
    </row>
    <row r="1068" spans="8:9" x14ac:dyDescent="0.25">
      <c r="H1068"/>
      <c r="I1068"/>
    </row>
    <row r="1069" spans="8:9" x14ac:dyDescent="0.25">
      <c r="H1069"/>
      <c r="I1069"/>
    </row>
    <row r="1070" spans="8:9" x14ac:dyDescent="0.25">
      <c r="H1070"/>
      <c r="I1070"/>
    </row>
    <row r="1071" spans="8:9" x14ac:dyDescent="0.25">
      <c r="H1071"/>
      <c r="I1071"/>
    </row>
    <row r="1072" spans="8:9" x14ac:dyDescent="0.25">
      <c r="H1072"/>
      <c r="I1072"/>
    </row>
    <row r="1073" spans="8:9" x14ac:dyDescent="0.25">
      <c r="H1073"/>
      <c r="I1073"/>
    </row>
    <row r="1074" spans="8:9" x14ac:dyDescent="0.25">
      <c r="H1074"/>
      <c r="I1074"/>
    </row>
    <row r="1075" spans="8:9" x14ac:dyDescent="0.25">
      <c r="H1075"/>
      <c r="I1075"/>
    </row>
    <row r="1076" spans="8:9" x14ac:dyDescent="0.25">
      <c r="H1076"/>
      <c r="I1076"/>
    </row>
    <row r="1077" spans="8:9" x14ac:dyDescent="0.25">
      <c r="H1077"/>
      <c r="I1077"/>
    </row>
    <row r="1078" spans="8:9" x14ac:dyDescent="0.25">
      <c r="H1078"/>
      <c r="I1078"/>
    </row>
    <row r="1079" spans="8:9" x14ac:dyDescent="0.25">
      <c r="H1079"/>
      <c r="I1079"/>
    </row>
    <row r="1080" spans="8:9" x14ac:dyDescent="0.25">
      <c r="H1080"/>
      <c r="I1080"/>
    </row>
    <row r="1081" spans="8:9" x14ac:dyDescent="0.25">
      <c r="H1081"/>
      <c r="I1081"/>
    </row>
    <row r="1082" spans="8:9" x14ac:dyDescent="0.25">
      <c r="H1082"/>
      <c r="I1082"/>
    </row>
    <row r="1083" spans="8:9" x14ac:dyDescent="0.25">
      <c r="H1083"/>
      <c r="I1083"/>
    </row>
    <row r="1084" spans="8:9" x14ac:dyDescent="0.25">
      <c r="H1084"/>
      <c r="I1084"/>
    </row>
    <row r="1085" spans="8:9" x14ac:dyDescent="0.25">
      <c r="H1085"/>
      <c r="I1085"/>
    </row>
    <row r="1086" spans="8:9" x14ac:dyDescent="0.25">
      <c r="H1086"/>
      <c r="I1086"/>
    </row>
    <row r="1087" spans="8:9" x14ac:dyDescent="0.25">
      <c r="H1087"/>
      <c r="I1087"/>
    </row>
    <row r="1088" spans="8:9" x14ac:dyDescent="0.25">
      <c r="H1088"/>
      <c r="I1088"/>
    </row>
    <row r="1089" spans="8:9" x14ac:dyDescent="0.25">
      <c r="H1089"/>
      <c r="I1089"/>
    </row>
    <row r="1090" spans="8:9" x14ac:dyDescent="0.25">
      <c r="H1090"/>
      <c r="I1090"/>
    </row>
    <row r="1091" spans="8:9" x14ac:dyDescent="0.25">
      <c r="H1091"/>
      <c r="I1091"/>
    </row>
    <row r="1092" spans="8:9" x14ac:dyDescent="0.25">
      <c r="H1092"/>
      <c r="I1092"/>
    </row>
    <row r="1093" spans="8:9" x14ac:dyDescent="0.25">
      <c r="H1093"/>
      <c r="I1093"/>
    </row>
    <row r="1094" spans="8:9" x14ac:dyDescent="0.25">
      <c r="H1094"/>
      <c r="I1094"/>
    </row>
    <row r="1095" spans="8:9" x14ac:dyDescent="0.25">
      <c r="H1095"/>
      <c r="I1095"/>
    </row>
    <row r="1096" spans="8:9" x14ac:dyDescent="0.25">
      <c r="H1096"/>
      <c r="I1096"/>
    </row>
    <row r="1097" spans="8:9" x14ac:dyDescent="0.25">
      <c r="H1097"/>
      <c r="I1097"/>
    </row>
    <row r="1098" spans="8:9" x14ac:dyDescent="0.25">
      <c r="H1098"/>
      <c r="I1098"/>
    </row>
    <row r="1099" spans="8:9" x14ac:dyDescent="0.25">
      <c r="H1099"/>
      <c r="I1099"/>
    </row>
    <row r="1100" spans="8:9" x14ac:dyDescent="0.25">
      <c r="H1100"/>
      <c r="I1100"/>
    </row>
    <row r="1101" spans="8:9" x14ac:dyDescent="0.25">
      <c r="H1101"/>
      <c r="I1101"/>
    </row>
    <row r="1102" spans="8:9" x14ac:dyDescent="0.25">
      <c r="H1102"/>
      <c r="I1102"/>
    </row>
    <row r="1103" spans="8:9" x14ac:dyDescent="0.25">
      <c r="H1103"/>
      <c r="I1103"/>
    </row>
    <row r="1104" spans="8:9" x14ac:dyDescent="0.25">
      <c r="H1104"/>
      <c r="I1104"/>
    </row>
    <row r="1105" spans="8:9" x14ac:dyDescent="0.25">
      <c r="H1105"/>
      <c r="I1105"/>
    </row>
    <row r="1106" spans="8:9" x14ac:dyDescent="0.25">
      <c r="H1106"/>
      <c r="I1106"/>
    </row>
    <row r="1107" spans="8:9" x14ac:dyDescent="0.25">
      <c r="H1107"/>
      <c r="I1107"/>
    </row>
    <row r="1108" spans="8:9" x14ac:dyDescent="0.25">
      <c r="H1108"/>
      <c r="I1108"/>
    </row>
    <row r="1109" spans="8:9" x14ac:dyDescent="0.25">
      <c r="H1109"/>
      <c r="I1109"/>
    </row>
    <row r="1110" spans="8:9" x14ac:dyDescent="0.25">
      <c r="H1110"/>
      <c r="I1110"/>
    </row>
    <row r="1111" spans="8:9" x14ac:dyDescent="0.25">
      <c r="H1111"/>
      <c r="I1111"/>
    </row>
    <row r="1112" spans="8:9" x14ac:dyDescent="0.25">
      <c r="H1112"/>
      <c r="I1112"/>
    </row>
    <row r="1113" spans="8:9" x14ac:dyDescent="0.25">
      <c r="H1113"/>
      <c r="I1113"/>
    </row>
    <row r="1114" spans="8:9" x14ac:dyDescent="0.25">
      <c r="H1114"/>
      <c r="I1114"/>
    </row>
    <row r="1115" spans="8:9" x14ac:dyDescent="0.25">
      <c r="H1115"/>
      <c r="I1115"/>
    </row>
    <row r="1116" spans="8:9" x14ac:dyDescent="0.25">
      <c r="H1116"/>
      <c r="I1116"/>
    </row>
    <row r="1117" spans="8:9" x14ac:dyDescent="0.25">
      <c r="H1117"/>
      <c r="I1117"/>
    </row>
    <row r="1118" spans="8:9" x14ac:dyDescent="0.25">
      <c r="H1118"/>
      <c r="I1118"/>
    </row>
    <row r="1119" spans="8:9" x14ac:dyDescent="0.25">
      <c r="H1119"/>
      <c r="I1119"/>
    </row>
    <row r="1120" spans="8:9" x14ac:dyDescent="0.25">
      <c r="H1120"/>
      <c r="I1120"/>
    </row>
    <row r="1121" spans="8:9" x14ac:dyDescent="0.25">
      <c r="H1121"/>
      <c r="I1121"/>
    </row>
    <row r="1122" spans="8:9" x14ac:dyDescent="0.25">
      <c r="H1122"/>
      <c r="I1122"/>
    </row>
    <row r="1123" spans="8:9" x14ac:dyDescent="0.25">
      <c r="H1123"/>
      <c r="I1123"/>
    </row>
    <row r="1124" spans="8:9" x14ac:dyDescent="0.25">
      <c r="H1124"/>
      <c r="I1124"/>
    </row>
    <row r="1125" spans="8:9" x14ac:dyDescent="0.25">
      <c r="H1125"/>
      <c r="I1125"/>
    </row>
    <row r="1126" spans="8:9" x14ac:dyDescent="0.25">
      <c r="H1126"/>
      <c r="I1126"/>
    </row>
    <row r="1127" spans="8:9" x14ac:dyDescent="0.25">
      <c r="H1127"/>
      <c r="I1127"/>
    </row>
    <row r="1128" spans="8:9" x14ac:dyDescent="0.25">
      <c r="H1128"/>
      <c r="I1128"/>
    </row>
    <row r="1129" spans="8:9" x14ac:dyDescent="0.25">
      <c r="H1129"/>
      <c r="I1129"/>
    </row>
    <row r="1130" spans="8:9" x14ac:dyDescent="0.25">
      <c r="H1130"/>
      <c r="I1130"/>
    </row>
    <row r="1131" spans="8:9" x14ac:dyDescent="0.25">
      <c r="H1131"/>
      <c r="I1131"/>
    </row>
    <row r="1132" spans="8:9" x14ac:dyDescent="0.25">
      <c r="H1132"/>
      <c r="I1132"/>
    </row>
    <row r="1133" spans="8:9" x14ac:dyDescent="0.25">
      <c r="H1133"/>
      <c r="I1133"/>
    </row>
    <row r="1134" spans="8:9" x14ac:dyDescent="0.25">
      <c r="H1134"/>
      <c r="I1134"/>
    </row>
    <row r="1135" spans="8:9" x14ac:dyDescent="0.25">
      <c r="H1135"/>
      <c r="I1135"/>
    </row>
    <row r="1136" spans="8:9" x14ac:dyDescent="0.25">
      <c r="H1136"/>
      <c r="I1136"/>
    </row>
    <row r="1137" spans="8:9" x14ac:dyDescent="0.25">
      <c r="H1137"/>
      <c r="I1137"/>
    </row>
    <row r="1138" spans="8:9" x14ac:dyDescent="0.25">
      <c r="H1138"/>
      <c r="I1138"/>
    </row>
    <row r="1139" spans="8:9" x14ac:dyDescent="0.25">
      <c r="H1139"/>
      <c r="I1139"/>
    </row>
    <row r="1140" spans="8:9" x14ac:dyDescent="0.25">
      <c r="H1140"/>
      <c r="I1140"/>
    </row>
    <row r="1141" spans="8:9" x14ac:dyDescent="0.25">
      <c r="H1141"/>
      <c r="I1141"/>
    </row>
    <row r="1142" spans="8:9" x14ac:dyDescent="0.25">
      <c r="H1142"/>
      <c r="I1142"/>
    </row>
    <row r="1143" spans="8:9" x14ac:dyDescent="0.25">
      <c r="H1143"/>
      <c r="I1143"/>
    </row>
    <row r="1144" spans="8:9" x14ac:dyDescent="0.25">
      <c r="H1144"/>
      <c r="I1144"/>
    </row>
    <row r="1145" spans="8:9" x14ac:dyDescent="0.25">
      <c r="H1145"/>
      <c r="I1145"/>
    </row>
    <row r="1146" spans="8:9" x14ac:dyDescent="0.25">
      <c r="H1146"/>
      <c r="I1146"/>
    </row>
    <row r="1147" spans="8:9" x14ac:dyDescent="0.25">
      <c r="H1147"/>
      <c r="I1147"/>
    </row>
    <row r="1148" spans="8:9" x14ac:dyDescent="0.25">
      <c r="H1148"/>
      <c r="I1148"/>
    </row>
    <row r="1149" spans="8:9" x14ac:dyDescent="0.25">
      <c r="H1149"/>
      <c r="I1149"/>
    </row>
    <row r="1150" spans="8:9" x14ac:dyDescent="0.25">
      <c r="H1150"/>
      <c r="I1150"/>
    </row>
    <row r="1151" spans="8:9" x14ac:dyDescent="0.25">
      <c r="H1151"/>
      <c r="I1151"/>
    </row>
    <row r="1152" spans="8:9" x14ac:dyDescent="0.25">
      <c r="H1152"/>
      <c r="I1152"/>
    </row>
    <row r="1153" spans="8:9" x14ac:dyDescent="0.25">
      <c r="H1153"/>
      <c r="I1153"/>
    </row>
    <row r="1154" spans="8:9" x14ac:dyDescent="0.25">
      <c r="H1154"/>
      <c r="I1154"/>
    </row>
    <row r="1155" spans="8:9" x14ac:dyDescent="0.25">
      <c r="H1155"/>
      <c r="I1155"/>
    </row>
    <row r="1156" spans="8:9" x14ac:dyDescent="0.25">
      <c r="H1156"/>
      <c r="I1156"/>
    </row>
    <row r="1157" spans="8:9" x14ac:dyDescent="0.25">
      <c r="H1157"/>
      <c r="I1157"/>
    </row>
    <row r="1158" spans="8:9" x14ac:dyDescent="0.25">
      <c r="H1158"/>
      <c r="I1158"/>
    </row>
    <row r="1159" spans="8:9" x14ac:dyDescent="0.25">
      <c r="H1159"/>
      <c r="I1159"/>
    </row>
    <row r="1160" spans="8:9" x14ac:dyDescent="0.25">
      <c r="H1160"/>
      <c r="I1160"/>
    </row>
    <row r="1161" spans="8:9" x14ac:dyDescent="0.25">
      <c r="H1161"/>
      <c r="I1161"/>
    </row>
    <row r="1162" spans="8:9" x14ac:dyDescent="0.25">
      <c r="H1162"/>
      <c r="I1162"/>
    </row>
    <row r="1163" spans="8:9" x14ac:dyDescent="0.25">
      <c r="H1163"/>
      <c r="I1163"/>
    </row>
    <row r="1164" spans="8:9" x14ac:dyDescent="0.25">
      <c r="H1164"/>
      <c r="I1164"/>
    </row>
    <row r="1165" spans="8:9" x14ac:dyDescent="0.25">
      <c r="H1165"/>
      <c r="I1165"/>
    </row>
    <row r="1166" spans="8:9" x14ac:dyDescent="0.25">
      <c r="H1166"/>
      <c r="I1166"/>
    </row>
    <row r="1167" spans="8:9" x14ac:dyDescent="0.25">
      <c r="H1167"/>
      <c r="I1167"/>
    </row>
    <row r="1168" spans="8:9" x14ac:dyDescent="0.25">
      <c r="H1168"/>
      <c r="I1168"/>
    </row>
    <row r="1169" spans="8:9" x14ac:dyDescent="0.25">
      <c r="H1169"/>
      <c r="I1169"/>
    </row>
    <row r="1170" spans="8:9" x14ac:dyDescent="0.25">
      <c r="H1170"/>
      <c r="I1170"/>
    </row>
    <row r="1171" spans="8:9" x14ac:dyDescent="0.25">
      <c r="H1171"/>
      <c r="I1171"/>
    </row>
    <row r="1172" spans="8:9" x14ac:dyDescent="0.25">
      <c r="H1172"/>
      <c r="I1172"/>
    </row>
    <row r="1173" spans="8:9" x14ac:dyDescent="0.25">
      <c r="H1173"/>
      <c r="I1173"/>
    </row>
    <row r="1174" spans="8:9" x14ac:dyDescent="0.25">
      <c r="H1174"/>
      <c r="I1174"/>
    </row>
    <row r="1175" spans="8:9" x14ac:dyDescent="0.25">
      <c r="H1175"/>
      <c r="I1175"/>
    </row>
    <row r="1176" spans="8:9" x14ac:dyDescent="0.25">
      <c r="H1176"/>
      <c r="I1176"/>
    </row>
    <row r="1177" spans="8:9" x14ac:dyDescent="0.25">
      <c r="H1177"/>
      <c r="I1177"/>
    </row>
    <row r="1178" spans="8:9" x14ac:dyDescent="0.25">
      <c r="H1178"/>
      <c r="I1178"/>
    </row>
    <row r="1179" spans="8:9" x14ac:dyDescent="0.25">
      <c r="H1179"/>
      <c r="I1179"/>
    </row>
    <row r="1180" spans="8:9" x14ac:dyDescent="0.25">
      <c r="H1180"/>
      <c r="I1180"/>
    </row>
    <row r="1181" spans="8:9" x14ac:dyDescent="0.25">
      <c r="H1181"/>
      <c r="I1181"/>
    </row>
    <row r="1182" spans="8:9" x14ac:dyDescent="0.25">
      <c r="H1182"/>
      <c r="I1182"/>
    </row>
    <row r="1183" spans="8:9" x14ac:dyDescent="0.25">
      <c r="H1183"/>
      <c r="I1183"/>
    </row>
    <row r="1184" spans="8:9" x14ac:dyDescent="0.25">
      <c r="H1184"/>
      <c r="I1184"/>
    </row>
    <row r="1185" spans="8:9" x14ac:dyDescent="0.25">
      <c r="H1185"/>
      <c r="I1185"/>
    </row>
    <row r="1186" spans="8:9" x14ac:dyDescent="0.25">
      <c r="H1186"/>
      <c r="I1186"/>
    </row>
    <row r="1187" spans="8:9" x14ac:dyDescent="0.25">
      <c r="H1187"/>
      <c r="I1187"/>
    </row>
    <row r="1188" spans="8:9" x14ac:dyDescent="0.25">
      <c r="H1188"/>
      <c r="I1188"/>
    </row>
    <row r="1189" spans="8:9" x14ac:dyDescent="0.25">
      <c r="H1189"/>
      <c r="I1189"/>
    </row>
    <row r="1190" spans="8:9" x14ac:dyDescent="0.25">
      <c r="H1190"/>
      <c r="I1190"/>
    </row>
    <row r="1191" spans="8:9" x14ac:dyDescent="0.25">
      <c r="H1191"/>
      <c r="I1191"/>
    </row>
    <row r="1192" spans="8:9" x14ac:dyDescent="0.25">
      <c r="H1192"/>
      <c r="I1192"/>
    </row>
    <row r="1193" spans="8:9" x14ac:dyDescent="0.25">
      <c r="H1193"/>
      <c r="I1193"/>
    </row>
    <row r="1194" spans="8:9" x14ac:dyDescent="0.25">
      <c r="H1194"/>
      <c r="I1194"/>
    </row>
    <row r="1195" spans="8:9" x14ac:dyDescent="0.25">
      <c r="H1195"/>
      <c r="I1195"/>
    </row>
    <row r="1196" spans="8:9" x14ac:dyDescent="0.25">
      <c r="H1196"/>
      <c r="I1196"/>
    </row>
    <row r="1197" spans="8:9" x14ac:dyDescent="0.25">
      <c r="H1197"/>
      <c r="I1197"/>
    </row>
    <row r="1198" spans="8:9" x14ac:dyDescent="0.25">
      <c r="H1198"/>
      <c r="I1198"/>
    </row>
    <row r="1199" spans="8:9" x14ac:dyDescent="0.25">
      <c r="H1199"/>
      <c r="I1199"/>
    </row>
    <row r="1200" spans="8:9" x14ac:dyDescent="0.25">
      <c r="H1200"/>
      <c r="I1200"/>
    </row>
    <row r="1201" spans="8:9" x14ac:dyDescent="0.25">
      <c r="H1201"/>
      <c r="I1201"/>
    </row>
    <row r="1202" spans="8:9" x14ac:dyDescent="0.25">
      <c r="H1202"/>
      <c r="I1202"/>
    </row>
    <row r="1203" spans="8:9" x14ac:dyDescent="0.25">
      <c r="H1203"/>
      <c r="I1203"/>
    </row>
    <row r="1204" spans="8:9" x14ac:dyDescent="0.25">
      <c r="H1204"/>
      <c r="I1204"/>
    </row>
    <row r="1205" spans="8:9" x14ac:dyDescent="0.25">
      <c r="H1205"/>
      <c r="I1205"/>
    </row>
    <row r="1206" spans="8:9" x14ac:dyDescent="0.25">
      <c r="H1206"/>
      <c r="I1206"/>
    </row>
    <row r="1207" spans="8:9" x14ac:dyDescent="0.25">
      <c r="H1207"/>
      <c r="I1207"/>
    </row>
    <row r="1208" spans="8:9" x14ac:dyDescent="0.25">
      <c r="H1208"/>
      <c r="I1208"/>
    </row>
    <row r="1209" spans="8:9" x14ac:dyDescent="0.25">
      <c r="H1209"/>
      <c r="I1209"/>
    </row>
    <row r="1210" spans="8:9" x14ac:dyDescent="0.25">
      <c r="H1210"/>
      <c r="I1210"/>
    </row>
    <row r="1211" spans="8:9" x14ac:dyDescent="0.25">
      <c r="H1211"/>
      <c r="I1211"/>
    </row>
    <row r="1212" spans="8:9" x14ac:dyDescent="0.25">
      <c r="H1212"/>
      <c r="I1212"/>
    </row>
    <row r="1213" spans="8:9" x14ac:dyDescent="0.25">
      <c r="H1213"/>
      <c r="I1213"/>
    </row>
    <row r="1214" spans="8:9" x14ac:dyDescent="0.25">
      <c r="H1214"/>
      <c r="I1214"/>
    </row>
    <row r="1215" spans="8:9" x14ac:dyDescent="0.25">
      <c r="H1215"/>
      <c r="I1215"/>
    </row>
    <row r="1216" spans="8:9" x14ac:dyDescent="0.25">
      <c r="H1216"/>
      <c r="I1216"/>
    </row>
    <row r="1217" spans="8:9" x14ac:dyDescent="0.25">
      <c r="H1217"/>
      <c r="I1217"/>
    </row>
    <row r="1218" spans="8:9" x14ac:dyDescent="0.25">
      <c r="H1218"/>
      <c r="I1218"/>
    </row>
    <row r="1219" spans="8:9" x14ac:dyDescent="0.25">
      <c r="H1219"/>
      <c r="I1219"/>
    </row>
    <row r="1220" spans="8:9" x14ac:dyDescent="0.25">
      <c r="H1220"/>
      <c r="I1220"/>
    </row>
    <row r="1221" spans="8:9" x14ac:dyDescent="0.25">
      <c r="H1221"/>
      <c r="I1221"/>
    </row>
    <row r="1222" spans="8:9" x14ac:dyDescent="0.25">
      <c r="H1222"/>
      <c r="I1222"/>
    </row>
    <row r="1223" spans="8:9" x14ac:dyDescent="0.25">
      <c r="H1223"/>
      <c r="I1223"/>
    </row>
    <row r="1224" spans="8:9" x14ac:dyDescent="0.25">
      <c r="H1224"/>
      <c r="I1224"/>
    </row>
    <row r="1225" spans="8:9" x14ac:dyDescent="0.25">
      <c r="H1225"/>
      <c r="I1225"/>
    </row>
    <row r="1226" spans="8:9" x14ac:dyDescent="0.25">
      <c r="H1226"/>
      <c r="I1226"/>
    </row>
    <row r="1227" spans="8:9" x14ac:dyDescent="0.25">
      <c r="H1227"/>
      <c r="I1227"/>
    </row>
    <row r="1228" spans="8:9" x14ac:dyDescent="0.25">
      <c r="H1228"/>
      <c r="I1228"/>
    </row>
    <row r="1229" spans="8:9" x14ac:dyDescent="0.25">
      <c r="H1229"/>
      <c r="I1229"/>
    </row>
    <row r="1230" spans="8:9" x14ac:dyDescent="0.25">
      <c r="H1230"/>
      <c r="I1230"/>
    </row>
    <row r="1231" spans="8:9" x14ac:dyDescent="0.25">
      <c r="H1231"/>
      <c r="I1231"/>
    </row>
    <row r="1232" spans="8:9" x14ac:dyDescent="0.25">
      <c r="H1232"/>
      <c r="I1232"/>
    </row>
    <row r="1233" spans="8:9" x14ac:dyDescent="0.25">
      <c r="H1233"/>
      <c r="I1233"/>
    </row>
    <row r="1234" spans="8:9" x14ac:dyDescent="0.25">
      <c r="H1234"/>
      <c r="I1234"/>
    </row>
    <row r="1235" spans="8:9" x14ac:dyDescent="0.25">
      <c r="H1235"/>
      <c r="I1235"/>
    </row>
    <row r="1236" spans="8:9" x14ac:dyDescent="0.25">
      <c r="H1236"/>
      <c r="I1236"/>
    </row>
    <row r="1237" spans="8:9" x14ac:dyDescent="0.25">
      <c r="H1237"/>
      <c r="I1237"/>
    </row>
    <row r="1238" spans="8:9" x14ac:dyDescent="0.25">
      <c r="H1238"/>
      <c r="I1238"/>
    </row>
    <row r="1239" spans="8:9" x14ac:dyDescent="0.25">
      <c r="H1239"/>
      <c r="I1239"/>
    </row>
    <row r="1240" spans="8:9" x14ac:dyDescent="0.25">
      <c r="H1240"/>
      <c r="I1240"/>
    </row>
    <row r="1241" spans="8:9" x14ac:dyDescent="0.25">
      <c r="H1241"/>
      <c r="I1241"/>
    </row>
    <row r="1242" spans="8:9" x14ac:dyDescent="0.25">
      <c r="H1242"/>
      <c r="I1242"/>
    </row>
    <row r="1243" spans="8:9" x14ac:dyDescent="0.25">
      <c r="H1243"/>
      <c r="I1243"/>
    </row>
    <row r="1244" spans="8:9" x14ac:dyDescent="0.25">
      <c r="H1244"/>
      <c r="I1244"/>
    </row>
    <row r="1245" spans="8:9" x14ac:dyDescent="0.25">
      <c r="H1245"/>
      <c r="I1245"/>
    </row>
    <row r="1246" spans="8:9" x14ac:dyDescent="0.25">
      <c r="H1246"/>
      <c r="I1246"/>
    </row>
    <row r="1247" spans="8:9" x14ac:dyDescent="0.25">
      <c r="H1247"/>
      <c r="I1247"/>
    </row>
    <row r="1248" spans="8:9" x14ac:dyDescent="0.25">
      <c r="H1248"/>
      <c r="I1248"/>
    </row>
    <row r="1249" spans="8:9" x14ac:dyDescent="0.25">
      <c r="H1249"/>
      <c r="I1249"/>
    </row>
    <row r="1250" spans="8:9" x14ac:dyDescent="0.25">
      <c r="H1250"/>
      <c r="I1250"/>
    </row>
    <row r="1251" spans="8:9" x14ac:dyDescent="0.25">
      <c r="H1251"/>
      <c r="I1251"/>
    </row>
    <row r="1252" spans="8:9" x14ac:dyDescent="0.25">
      <c r="H1252"/>
      <c r="I1252"/>
    </row>
    <row r="1253" spans="8:9" x14ac:dyDescent="0.25">
      <c r="H1253"/>
      <c r="I1253"/>
    </row>
    <row r="1254" spans="8:9" x14ac:dyDescent="0.25">
      <c r="H1254"/>
      <c r="I1254"/>
    </row>
  </sheetData>
  <pageMargins left="0.70866141732283472" right="0.70866141732283472" top="1.1417322834645669" bottom="0.74803149606299213" header="0.31496062992125984" footer="0.31496062992125984"/>
  <pageSetup paperSize="9" scale="58" fitToHeight="0" orientation="portrait" horizontalDpi="1200" verticalDpi="120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3FFCD-83B0-4414-AA89-C681430E4AA4}">
  <dimension ref="A1:I1209"/>
  <sheetViews>
    <sheetView showGridLines="0" zoomScaleNormal="100" workbookViewId="0">
      <selection activeCell="A15" sqref="A15"/>
    </sheetView>
  </sheetViews>
  <sheetFormatPr defaultRowHeight="15" x14ac:dyDescent="0.25"/>
  <cols>
    <col min="1" max="1" width="19.28515625" customWidth="1"/>
    <col min="2" max="2" width="37.140625" bestFit="1" customWidth="1"/>
    <col min="3" max="3" width="16.7109375" customWidth="1"/>
    <col min="4" max="4" width="35" bestFit="1" customWidth="1"/>
    <col min="5" max="5" width="18.140625" customWidth="1"/>
    <col min="6" max="6" width="15.85546875" customWidth="1"/>
    <col min="7" max="7" width="11.140625" customWidth="1"/>
    <col min="8" max="8" width="16.42578125" style="2" customWidth="1"/>
    <col min="9" max="9" width="15.85546875" style="2" customWidth="1"/>
  </cols>
  <sheetData>
    <row r="1" spans="1:8" x14ac:dyDescent="0.25">
      <c r="A1" s="14"/>
      <c r="B1" s="14"/>
      <c r="C1" s="14"/>
      <c r="D1" s="14"/>
      <c r="E1" s="14"/>
      <c r="F1" s="27" t="s">
        <v>495</v>
      </c>
      <c r="G1" s="14"/>
      <c r="H1" s="87"/>
    </row>
    <row r="2" spans="1:8" x14ac:dyDescent="0.25">
      <c r="A2" s="14"/>
      <c r="B2" s="14"/>
      <c r="C2" s="14"/>
      <c r="D2" s="14"/>
      <c r="E2" s="14"/>
      <c r="F2" s="27"/>
      <c r="G2" s="14"/>
      <c r="H2" s="87"/>
    </row>
    <row r="3" spans="1:8" x14ac:dyDescent="0.25">
      <c r="A3" s="14"/>
      <c r="B3" s="14"/>
      <c r="C3" s="14"/>
      <c r="D3" s="14"/>
      <c r="E3" s="14"/>
      <c r="F3" s="14"/>
      <c r="G3" s="14"/>
      <c r="H3" s="87"/>
    </row>
    <row r="4" spans="1:8" x14ac:dyDescent="0.25">
      <c r="A4" s="14"/>
      <c r="B4" s="14"/>
      <c r="C4" s="14"/>
      <c r="D4" s="14"/>
      <c r="E4" s="14"/>
      <c r="F4" s="28" t="s">
        <v>494</v>
      </c>
      <c r="G4" s="28"/>
      <c r="H4" s="88"/>
    </row>
    <row r="5" spans="1:8" x14ac:dyDescent="0.25">
      <c r="A5" s="14"/>
      <c r="B5" s="14"/>
      <c r="C5" s="14"/>
      <c r="D5" s="14"/>
      <c r="E5" s="14"/>
      <c r="F5" s="14"/>
      <c r="G5" s="14"/>
      <c r="H5" s="87"/>
    </row>
    <row r="6" spans="1:8" x14ac:dyDescent="0.25">
      <c r="A6" s="14"/>
      <c r="B6" s="14"/>
      <c r="C6" s="14"/>
      <c r="D6" s="14"/>
      <c r="E6" s="14"/>
      <c r="F6" s="14"/>
      <c r="G6" s="14"/>
      <c r="H6" s="87"/>
    </row>
    <row r="7" spans="1:8" x14ac:dyDescent="0.25">
      <c r="A7" s="14"/>
      <c r="B7" s="14"/>
      <c r="C7" s="14"/>
      <c r="D7" s="14"/>
      <c r="E7" s="14"/>
      <c r="F7" s="14"/>
      <c r="G7" s="14"/>
      <c r="H7" s="87"/>
    </row>
    <row r="8" spans="1:8" x14ac:dyDescent="0.25">
      <c r="A8" s="14"/>
      <c r="B8" s="14"/>
      <c r="C8" s="14"/>
      <c r="D8" s="14"/>
      <c r="E8" s="14"/>
      <c r="F8" s="14"/>
      <c r="G8" s="14"/>
      <c r="H8" s="87"/>
    </row>
    <row r="9" spans="1:8" x14ac:dyDescent="0.25">
      <c r="A9" s="14"/>
      <c r="B9" s="14"/>
      <c r="C9" s="14"/>
      <c r="D9" s="14"/>
      <c r="E9" s="14"/>
      <c r="F9" s="14"/>
      <c r="G9" s="14"/>
      <c r="H9" s="87"/>
    </row>
    <row r="10" spans="1:8" x14ac:dyDescent="0.25">
      <c r="A10" s="14"/>
      <c r="B10" s="14"/>
      <c r="C10" s="14"/>
      <c r="D10" s="14"/>
      <c r="E10" s="14"/>
      <c r="F10" s="14"/>
      <c r="G10" s="14"/>
      <c r="H10" s="87"/>
    </row>
    <row r="11" spans="1:8" x14ac:dyDescent="0.25">
      <c r="A11" s="14"/>
      <c r="B11" s="14"/>
      <c r="C11" s="14"/>
      <c r="D11" s="14"/>
      <c r="E11" s="14"/>
      <c r="F11" s="14"/>
      <c r="G11" s="14"/>
      <c r="H11" s="87"/>
    </row>
    <row r="12" spans="1:8" x14ac:dyDescent="0.25">
      <c r="A12" s="14"/>
      <c r="B12" s="14"/>
      <c r="C12" s="14"/>
      <c r="D12" s="14"/>
      <c r="E12" s="14"/>
      <c r="F12" s="14"/>
      <c r="G12" s="14"/>
      <c r="H12" s="87"/>
    </row>
    <row r="13" spans="1:8" ht="28.5" x14ac:dyDescent="0.45">
      <c r="A13" s="13" t="s">
        <v>491</v>
      </c>
      <c r="B13" s="14"/>
      <c r="C13" s="14"/>
      <c r="D13" s="34"/>
      <c r="E13" s="35"/>
      <c r="F13" s="35"/>
      <c r="G13" s="35"/>
      <c r="H13" s="89"/>
    </row>
    <row r="14" spans="1:8" x14ac:dyDescent="0.25">
      <c r="A14" s="14" t="s">
        <v>497</v>
      </c>
      <c r="B14" s="14"/>
      <c r="C14" s="14"/>
      <c r="D14" s="14"/>
      <c r="E14" s="14"/>
      <c r="F14" s="14"/>
      <c r="G14" s="14"/>
      <c r="H14" s="87"/>
    </row>
    <row r="15" spans="1:8" x14ac:dyDescent="0.25">
      <c r="A15" s="15" t="s">
        <v>1852</v>
      </c>
      <c r="C15" s="14"/>
      <c r="D15" s="14"/>
      <c r="E15" s="14"/>
      <c r="F15" s="14"/>
      <c r="G15" s="14"/>
      <c r="H15" s="87"/>
    </row>
    <row r="16" spans="1:8" x14ac:dyDescent="0.25">
      <c r="A16" s="14"/>
      <c r="B16" s="14"/>
      <c r="C16" s="14"/>
      <c r="D16" s="14"/>
      <c r="E16" s="14"/>
      <c r="F16" s="14"/>
      <c r="G16" s="14"/>
      <c r="H16" s="87"/>
    </row>
    <row r="17" spans="1:9" x14ac:dyDescent="0.25">
      <c r="A17" s="8" t="s">
        <v>490</v>
      </c>
      <c r="B17" s="8" t="s">
        <v>374</v>
      </c>
      <c r="C17" s="8" t="s">
        <v>375</v>
      </c>
      <c r="D17" s="8" t="s">
        <v>311</v>
      </c>
      <c r="E17" s="39" t="s">
        <v>1168</v>
      </c>
      <c r="F17" s="39" t="s">
        <v>898</v>
      </c>
      <c r="G17" s="9" t="s">
        <v>498</v>
      </c>
      <c r="H17" s="81" t="s">
        <v>1734</v>
      </c>
      <c r="I17" s="81" t="s">
        <v>1737</v>
      </c>
    </row>
    <row r="18" spans="1:9" x14ac:dyDescent="0.25">
      <c r="A18" s="115" t="s">
        <v>305</v>
      </c>
      <c r="B18" s="116"/>
      <c r="C18" s="116"/>
      <c r="D18" s="116"/>
      <c r="E18" s="116"/>
      <c r="F18" s="116"/>
      <c r="G18" s="116"/>
      <c r="H18" s="116"/>
      <c r="I18" s="116"/>
    </row>
    <row r="19" spans="1:9" x14ac:dyDescent="0.25">
      <c r="A19" s="10" t="s">
        <v>199</v>
      </c>
      <c r="B19" s="7"/>
      <c r="C19" s="7"/>
      <c r="D19" s="7"/>
      <c r="E19" s="7"/>
      <c r="F19" s="7"/>
      <c r="G19" s="7"/>
      <c r="H19" s="7"/>
      <c r="I19" s="7"/>
    </row>
    <row r="20" spans="1:9" x14ac:dyDescent="0.25">
      <c r="A20" s="113" t="s">
        <v>41</v>
      </c>
      <c r="B20" s="1" t="s">
        <v>164</v>
      </c>
      <c r="H20"/>
      <c r="I20"/>
    </row>
    <row r="21" spans="1:9" x14ac:dyDescent="0.25">
      <c r="A21" s="114"/>
      <c r="B21" s="5" t="s">
        <v>41</v>
      </c>
      <c r="C21" s="3" t="s">
        <v>313</v>
      </c>
      <c r="D21" s="3" t="s">
        <v>546</v>
      </c>
      <c r="E21" s="36">
        <v>24</v>
      </c>
      <c r="F21" s="36" t="s">
        <v>916</v>
      </c>
      <c r="G21" s="29">
        <v>0</v>
      </c>
      <c r="H21" s="11">
        <v>279.89999999999998</v>
      </c>
      <c r="I21" s="11">
        <v>279.89999999999998</v>
      </c>
    </row>
    <row r="22" spans="1:9" x14ac:dyDescent="0.25">
      <c r="A22" s="113" t="s">
        <v>159</v>
      </c>
      <c r="B22" s="1" t="s">
        <v>215</v>
      </c>
      <c r="H22"/>
      <c r="I22"/>
    </row>
    <row r="23" spans="1:9" x14ac:dyDescent="0.25">
      <c r="A23" s="114"/>
      <c r="B23" s="5" t="s">
        <v>159</v>
      </c>
      <c r="C23" s="3" t="s">
        <v>365</v>
      </c>
      <c r="D23" s="3" t="s">
        <v>546</v>
      </c>
      <c r="E23" s="36">
        <v>48</v>
      </c>
      <c r="F23" s="36" t="s">
        <v>916</v>
      </c>
      <c r="G23" s="29">
        <v>0</v>
      </c>
      <c r="H23" s="11">
        <v>319.89999999999998</v>
      </c>
      <c r="I23" s="11">
        <v>319.89999999999998</v>
      </c>
    </row>
    <row r="24" spans="1:9" x14ac:dyDescent="0.25">
      <c r="A24" s="113" t="s">
        <v>37</v>
      </c>
      <c r="B24" s="1" t="s">
        <v>199</v>
      </c>
      <c r="H24"/>
      <c r="I24"/>
    </row>
    <row r="25" spans="1:9" x14ac:dyDescent="0.25">
      <c r="A25" s="114"/>
      <c r="B25" s="5" t="s">
        <v>37</v>
      </c>
      <c r="C25" s="3" t="s">
        <v>359</v>
      </c>
      <c r="D25" s="3" t="s">
        <v>546</v>
      </c>
      <c r="E25" s="36">
        <v>24</v>
      </c>
      <c r="F25" s="36" t="s">
        <v>916</v>
      </c>
      <c r="G25" s="29">
        <v>0</v>
      </c>
      <c r="H25" s="11">
        <v>389.9</v>
      </c>
      <c r="I25" s="11">
        <v>389.9</v>
      </c>
    </row>
    <row r="26" spans="1:9" x14ac:dyDescent="0.25">
      <c r="A26" s="113" t="s">
        <v>156</v>
      </c>
      <c r="B26" s="1" t="s">
        <v>236</v>
      </c>
      <c r="H26"/>
      <c r="I26"/>
    </row>
    <row r="27" spans="1:9" x14ac:dyDescent="0.25">
      <c r="A27" s="114"/>
      <c r="B27" s="5" t="s">
        <v>156</v>
      </c>
      <c r="C27" s="3" t="s">
        <v>364</v>
      </c>
      <c r="D27" s="3" t="s">
        <v>546</v>
      </c>
      <c r="E27" s="36">
        <v>24</v>
      </c>
      <c r="F27" s="36" t="s">
        <v>916</v>
      </c>
      <c r="G27" s="29">
        <v>0</v>
      </c>
      <c r="H27" s="11">
        <v>479.9</v>
      </c>
      <c r="I27" s="11">
        <v>479.9</v>
      </c>
    </row>
    <row r="28" spans="1:9" x14ac:dyDescent="0.25">
      <c r="A28" s="113" t="s">
        <v>1185</v>
      </c>
      <c r="B28" s="1" t="s">
        <v>1186</v>
      </c>
      <c r="H28"/>
      <c r="I28"/>
    </row>
    <row r="29" spans="1:9" x14ac:dyDescent="0.25">
      <c r="A29" s="114"/>
      <c r="B29" s="5" t="s">
        <v>1185</v>
      </c>
      <c r="C29" s="3" t="s">
        <v>1187</v>
      </c>
      <c r="D29" s="3" t="s">
        <v>546</v>
      </c>
      <c r="E29" s="36">
        <v>24</v>
      </c>
      <c r="F29" s="36" t="s">
        <v>916</v>
      </c>
      <c r="G29" s="29">
        <v>0</v>
      </c>
      <c r="H29" s="11">
        <v>559.9</v>
      </c>
      <c r="I29" s="11">
        <v>559.9</v>
      </c>
    </row>
    <row r="30" spans="1:9" x14ac:dyDescent="0.25">
      <c r="A30" s="113" t="s">
        <v>1188</v>
      </c>
      <c r="B30" s="1" t="s">
        <v>1189</v>
      </c>
      <c r="H30"/>
      <c r="I30"/>
    </row>
    <row r="31" spans="1:9" x14ac:dyDescent="0.25">
      <c r="A31" s="114"/>
      <c r="B31" s="5" t="s">
        <v>1188</v>
      </c>
      <c r="C31" s="3" t="s">
        <v>1190</v>
      </c>
      <c r="D31" s="3" t="s">
        <v>1388</v>
      </c>
      <c r="E31" s="36" t="s">
        <v>546</v>
      </c>
      <c r="F31" s="36" t="s">
        <v>916</v>
      </c>
      <c r="G31" s="29">
        <v>0</v>
      </c>
      <c r="H31" s="11">
        <v>224.9</v>
      </c>
      <c r="I31" s="11">
        <v>224.9</v>
      </c>
    </row>
    <row r="32" spans="1:9" x14ac:dyDescent="0.25">
      <c r="A32" s="113" t="s">
        <v>1206</v>
      </c>
      <c r="B32" s="1" t="s">
        <v>1208</v>
      </c>
      <c r="H32"/>
      <c r="I32"/>
    </row>
    <row r="33" spans="1:9" x14ac:dyDescent="0.25">
      <c r="A33" s="114"/>
      <c r="B33" s="5" t="s">
        <v>1206</v>
      </c>
      <c r="C33" s="3" t="s">
        <v>1207</v>
      </c>
      <c r="D33" s="3" t="s">
        <v>546</v>
      </c>
      <c r="E33" s="36">
        <v>1</v>
      </c>
      <c r="F33" s="36" t="s">
        <v>916</v>
      </c>
      <c r="G33" s="29">
        <v>0</v>
      </c>
      <c r="H33" s="11">
        <v>784.8</v>
      </c>
      <c r="I33" s="11">
        <v>784.8</v>
      </c>
    </row>
    <row r="34" spans="1:9" x14ac:dyDescent="0.25">
      <c r="A34" s="10" t="s">
        <v>481</v>
      </c>
      <c r="B34" s="7"/>
      <c r="C34" s="7"/>
      <c r="D34" s="7"/>
      <c r="E34" s="7"/>
      <c r="F34" s="7"/>
      <c r="G34" s="7"/>
      <c r="H34" s="7"/>
      <c r="I34" s="7"/>
    </row>
    <row r="35" spans="1:9" x14ac:dyDescent="0.25">
      <c r="A35" s="113" t="s">
        <v>29</v>
      </c>
      <c r="B35" s="1" t="s">
        <v>201</v>
      </c>
      <c r="H35"/>
      <c r="I35"/>
    </row>
    <row r="36" spans="1:9" x14ac:dyDescent="0.25">
      <c r="A36" s="114"/>
      <c r="B36" s="5" t="s">
        <v>29</v>
      </c>
      <c r="C36" s="3" t="s">
        <v>360</v>
      </c>
      <c r="D36" s="3" t="s">
        <v>572</v>
      </c>
      <c r="E36" s="36">
        <v>12</v>
      </c>
      <c r="F36" s="36" t="s">
        <v>916</v>
      </c>
      <c r="G36" s="29">
        <v>0</v>
      </c>
      <c r="H36" s="11">
        <v>459.90000000000003</v>
      </c>
      <c r="I36" s="11">
        <v>459.90000000000003</v>
      </c>
    </row>
    <row r="37" spans="1:9" x14ac:dyDescent="0.25">
      <c r="A37" s="114"/>
      <c r="B37" s="6" t="s">
        <v>149</v>
      </c>
      <c r="C37" s="4" t="s">
        <v>361</v>
      </c>
      <c r="D37" s="4" t="s">
        <v>570</v>
      </c>
      <c r="E37" s="41">
        <v>20</v>
      </c>
      <c r="F37" s="41" t="s">
        <v>916</v>
      </c>
      <c r="G37" s="30">
        <v>0</v>
      </c>
      <c r="H37" s="12">
        <v>459.9</v>
      </c>
      <c r="I37" s="12">
        <v>459.9</v>
      </c>
    </row>
    <row r="38" spans="1:9" x14ac:dyDescent="0.25">
      <c r="A38" s="114"/>
      <c r="B38" s="6" t="s">
        <v>728</v>
      </c>
      <c r="C38" s="4" t="s">
        <v>729</v>
      </c>
      <c r="D38" s="4" t="s">
        <v>575</v>
      </c>
      <c r="E38" s="41">
        <v>12</v>
      </c>
      <c r="F38" s="41" t="s">
        <v>916</v>
      </c>
      <c r="G38" s="30">
        <v>0</v>
      </c>
      <c r="H38" s="12">
        <v>459.90000000000003</v>
      </c>
      <c r="I38" s="12">
        <v>459.90000000000003</v>
      </c>
    </row>
    <row r="39" spans="1:9" x14ac:dyDescent="0.25">
      <c r="A39" s="113" t="s">
        <v>32</v>
      </c>
      <c r="B39" s="1" t="s">
        <v>203</v>
      </c>
      <c r="H39"/>
      <c r="I39"/>
    </row>
    <row r="40" spans="1:9" x14ac:dyDescent="0.25">
      <c r="A40" s="114"/>
      <c r="B40" s="5" t="s">
        <v>32</v>
      </c>
      <c r="C40" s="3" t="s">
        <v>362</v>
      </c>
      <c r="D40" s="3" t="s">
        <v>546</v>
      </c>
      <c r="E40" s="36">
        <v>24</v>
      </c>
      <c r="F40" s="36" t="s">
        <v>916</v>
      </c>
      <c r="G40" s="29">
        <v>0</v>
      </c>
      <c r="H40" s="11">
        <v>589.9</v>
      </c>
      <c r="I40" s="11">
        <v>589.9</v>
      </c>
    </row>
    <row r="41" spans="1:9" x14ac:dyDescent="0.25">
      <c r="A41" s="113" t="s">
        <v>1301</v>
      </c>
      <c r="B41" s="1" t="s">
        <v>200</v>
      </c>
      <c r="H41"/>
      <c r="I41"/>
    </row>
    <row r="42" spans="1:9" x14ac:dyDescent="0.25">
      <c r="A42" s="114"/>
      <c r="B42" s="5" t="s">
        <v>1301</v>
      </c>
      <c r="C42" s="3" t="s">
        <v>1322</v>
      </c>
      <c r="D42" s="3" t="s">
        <v>546</v>
      </c>
      <c r="E42" s="36">
        <v>48</v>
      </c>
      <c r="F42" s="36" t="s">
        <v>916</v>
      </c>
      <c r="G42" s="29">
        <v>0</v>
      </c>
      <c r="H42" s="11">
        <v>419.9</v>
      </c>
      <c r="I42" s="11">
        <v>419.9</v>
      </c>
    </row>
    <row r="43" spans="1:9" x14ac:dyDescent="0.25">
      <c r="A43" s="113" t="s">
        <v>1299</v>
      </c>
      <c r="B43" s="1" t="s">
        <v>202</v>
      </c>
      <c r="H43"/>
      <c r="I43"/>
    </row>
    <row r="44" spans="1:9" x14ac:dyDescent="0.25">
      <c r="A44" s="114"/>
      <c r="B44" s="5" t="s">
        <v>1299</v>
      </c>
      <c r="C44" s="3" t="s">
        <v>1323</v>
      </c>
      <c r="D44" s="3" t="s">
        <v>546</v>
      </c>
      <c r="E44" s="36">
        <v>24</v>
      </c>
      <c r="F44" s="36" t="s">
        <v>916</v>
      </c>
      <c r="G44" s="29">
        <v>0</v>
      </c>
      <c r="H44" s="11">
        <v>668.9</v>
      </c>
      <c r="I44" s="11">
        <v>668.9</v>
      </c>
    </row>
    <row r="45" spans="1:9" x14ac:dyDescent="0.25">
      <c r="A45" s="113" t="s">
        <v>1300</v>
      </c>
      <c r="B45" s="1" t="s">
        <v>204</v>
      </c>
      <c r="H45"/>
      <c r="I45"/>
    </row>
    <row r="46" spans="1:9" x14ac:dyDescent="0.25">
      <c r="A46" s="114"/>
      <c r="B46" s="5" t="s">
        <v>1300</v>
      </c>
      <c r="C46" s="3" t="s">
        <v>1324</v>
      </c>
      <c r="D46" s="3" t="s">
        <v>546</v>
      </c>
      <c r="E46" s="36">
        <v>48</v>
      </c>
      <c r="F46" s="36" t="s">
        <v>916</v>
      </c>
      <c r="G46" s="29">
        <v>0</v>
      </c>
      <c r="H46" s="11">
        <v>339.9</v>
      </c>
      <c r="I46" s="11">
        <v>339.9</v>
      </c>
    </row>
    <row r="47" spans="1:9" x14ac:dyDescent="0.25">
      <c r="A47" s="10" t="s">
        <v>485</v>
      </c>
      <c r="B47" s="7"/>
      <c r="C47" s="7"/>
      <c r="D47" s="7"/>
      <c r="E47" s="7"/>
      <c r="F47" s="7"/>
      <c r="G47" s="7"/>
      <c r="H47" s="7"/>
      <c r="I47" s="7"/>
    </row>
    <row r="48" spans="1:9" x14ac:dyDescent="0.25">
      <c r="A48" s="113" t="s">
        <v>531</v>
      </c>
      <c r="B48" s="1" t="s">
        <v>536</v>
      </c>
      <c r="H48"/>
      <c r="I48"/>
    </row>
    <row r="49" spans="1:9" x14ac:dyDescent="0.25">
      <c r="A49" s="114"/>
      <c r="B49" s="5" t="s">
        <v>531</v>
      </c>
      <c r="C49" s="3" t="s">
        <v>541</v>
      </c>
      <c r="D49" s="3" t="s">
        <v>546</v>
      </c>
      <c r="E49" s="36">
        <v>24</v>
      </c>
      <c r="F49" s="36" t="s">
        <v>918</v>
      </c>
      <c r="G49" s="29">
        <v>0</v>
      </c>
      <c r="H49" s="11">
        <v>184.9</v>
      </c>
      <c r="I49" s="11">
        <v>184.9</v>
      </c>
    </row>
    <row r="50" spans="1:9" x14ac:dyDescent="0.25">
      <c r="A50" s="113" t="s">
        <v>532</v>
      </c>
      <c r="B50" s="1" t="s">
        <v>537</v>
      </c>
      <c r="H50"/>
      <c r="I50"/>
    </row>
    <row r="51" spans="1:9" x14ac:dyDescent="0.25">
      <c r="A51" s="114"/>
      <c r="B51" s="5" t="s">
        <v>532</v>
      </c>
      <c r="C51" s="3" t="s">
        <v>542</v>
      </c>
      <c r="D51" s="3" t="s">
        <v>546</v>
      </c>
      <c r="E51" s="36">
        <v>24</v>
      </c>
      <c r="F51" s="36" t="s">
        <v>918</v>
      </c>
      <c r="G51" s="29">
        <v>0</v>
      </c>
      <c r="H51" s="11">
        <v>259.89999999999998</v>
      </c>
      <c r="I51" s="11">
        <v>259.89999999999998</v>
      </c>
    </row>
    <row r="52" spans="1:9" x14ac:dyDescent="0.25">
      <c r="A52" s="10" t="s">
        <v>486</v>
      </c>
      <c r="B52" s="7"/>
      <c r="C52" s="7"/>
      <c r="D52" s="7"/>
      <c r="E52" s="7"/>
      <c r="F52" s="7"/>
      <c r="G52" s="7"/>
      <c r="H52" s="7"/>
      <c r="I52" s="7"/>
    </row>
    <row r="53" spans="1:9" x14ac:dyDescent="0.25">
      <c r="A53" s="113" t="s">
        <v>39</v>
      </c>
      <c r="B53" s="1" t="s">
        <v>897</v>
      </c>
      <c r="H53"/>
      <c r="I53"/>
    </row>
    <row r="54" spans="1:9" x14ac:dyDescent="0.25">
      <c r="A54" s="114"/>
      <c r="B54" s="5" t="s">
        <v>39</v>
      </c>
      <c r="C54" s="3" t="s">
        <v>367</v>
      </c>
      <c r="D54" s="3" t="s">
        <v>572</v>
      </c>
      <c r="E54" s="36">
        <v>4</v>
      </c>
      <c r="F54" s="36" t="s">
        <v>918</v>
      </c>
      <c r="G54" s="29">
        <v>0</v>
      </c>
      <c r="H54" s="11">
        <v>999.9</v>
      </c>
      <c r="I54" s="11">
        <v>999.9</v>
      </c>
    </row>
    <row r="55" spans="1:9" x14ac:dyDescent="0.25">
      <c r="A55" s="114"/>
      <c r="B55" s="6" t="s">
        <v>150</v>
      </c>
      <c r="C55" s="4" t="s">
        <v>366</v>
      </c>
      <c r="D55" s="4" t="s">
        <v>570</v>
      </c>
      <c r="E55" s="41" t="s">
        <v>546</v>
      </c>
      <c r="F55" s="41" t="s">
        <v>918</v>
      </c>
      <c r="G55" s="30">
        <v>0</v>
      </c>
      <c r="H55" s="12">
        <v>966.9</v>
      </c>
      <c r="I55" s="12">
        <v>966.9</v>
      </c>
    </row>
    <row r="56" spans="1:9" x14ac:dyDescent="0.25">
      <c r="A56" s="114"/>
      <c r="B56" s="6" t="s">
        <v>730</v>
      </c>
      <c r="C56" s="4" t="s">
        <v>731</v>
      </c>
      <c r="D56" s="4" t="s">
        <v>575</v>
      </c>
      <c r="E56" s="41">
        <v>4</v>
      </c>
      <c r="F56" s="41" t="s">
        <v>918</v>
      </c>
      <c r="G56" s="30">
        <v>0</v>
      </c>
      <c r="H56" s="12">
        <v>999.9</v>
      </c>
      <c r="I56" s="12">
        <v>999.9</v>
      </c>
    </row>
    <row r="57" spans="1:9" x14ac:dyDescent="0.25">
      <c r="A57" s="113" t="s">
        <v>40</v>
      </c>
      <c r="B57" s="1" t="s">
        <v>486</v>
      </c>
      <c r="H57"/>
      <c r="I57"/>
    </row>
    <row r="58" spans="1:9" x14ac:dyDescent="0.25">
      <c r="A58" s="114"/>
      <c r="B58" s="5" t="s">
        <v>40</v>
      </c>
      <c r="C58" s="3" t="s">
        <v>368</v>
      </c>
      <c r="D58" s="3" t="s">
        <v>572</v>
      </c>
      <c r="E58" s="36">
        <v>4</v>
      </c>
      <c r="F58" s="36" t="s">
        <v>918</v>
      </c>
      <c r="G58" s="29">
        <v>0</v>
      </c>
      <c r="H58" s="11">
        <v>1152.9000000000001</v>
      </c>
      <c r="I58" s="11">
        <v>1152.9000000000001</v>
      </c>
    </row>
    <row r="59" spans="1:9" x14ac:dyDescent="0.25">
      <c r="A59" s="113" t="s">
        <v>888</v>
      </c>
      <c r="B59" s="1" t="s">
        <v>889</v>
      </c>
      <c r="H59"/>
      <c r="I59"/>
    </row>
    <row r="60" spans="1:9" x14ac:dyDescent="0.25">
      <c r="A60" s="114"/>
      <c r="B60" s="5" t="s">
        <v>888</v>
      </c>
      <c r="C60" s="3" t="s">
        <v>942</v>
      </c>
      <c r="D60" s="3" t="s">
        <v>572</v>
      </c>
      <c r="E60" s="36">
        <v>4</v>
      </c>
      <c r="F60" s="36" t="s">
        <v>918</v>
      </c>
      <c r="G60" s="29">
        <v>0</v>
      </c>
      <c r="H60" s="11">
        <v>999.9</v>
      </c>
      <c r="I60" s="11">
        <v>999.9</v>
      </c>
    </row>
    <row r="61" spans="1:9" x14ac:dyDescent="0.25">
      <c r="A61" s="114"/>
      <c r="B61" s="6" t="s">
        <v>1776</v>
      </c>
      <c r="C61" s="4" t="s">
        <v>1777</v>
      </c>
      <c r="D61" s="4" t="s">
        <v>903</v>
      </c>
      <c r="E61" s="41" t="s">
        <v>546</v>
      </c>
      <c r="F61" s="41" t="s">
        <v>918</v>
      </c>
      <c r="G61" s="30">
        <v>0</v>
      </c>
      <c r="H61" s="12">
        <v>999.9</v>
      </c>
      <c r="I61" s="12">
        <v>999.9</v>
      </c>
    </row>
    <row r="62" spans="1:9" x14ac:dyDescent="0.25">
      <c r="A62" s="113" t="s">
        <v>1198</v>
      </c>
      <c r="B62" s="1" t="s">
        <v>1199</v>
      </c>
      <c r="H62"/>
      <c r="I62"/>
    </row>
    <row r="63" spans="1:9" x14ac:dyDescent="0.25">
      <c r="A63" s="114"/>
      <c r="B63" s="5" t="s">
        <v>1198</v>
      </c>
      <c r="C63" s="3" t="s">
        <v>1200</v>
      </c>
      <c r="D63" s="3" t="s">
        <v>572</v>
      </c>
      <c r="E63" s="36">
        <v>4</v>
      </c>
      <c r="F63" s="36" t="s">
        <v>918</v>
      </c>
      <c r="G63" s="29">
        <v>0</v>
      </c>
      <c r="H63" s="11">
        <v>1349.9</v>
      </c>
      <c r="I63" s="11">
        <v>1349.9</v>
      </c>
    </row>
    <row r="64" spans="1:9" x14ac:dyDescent="0.25">
      <c r="A64" s="114"/>
      <c r="B64" s="6" t="s">
        <v>1750</v>
      </c>
      <c r="C64" s="4" t="s">
        <v>1749</v>
      </c>
      <c r="D64" s="4" t="s">
        <v>903</v>
      </c>
      <c r="E64" s="41">
        <v>4</v>
      </c>
      <c r="F64" s="41" t="s">
        <v>918</v>
      </c>
      <c r="G64" s="30">
        <v>0</v>
      </c>
      <c r="H64" s="12">
        <v>1349.9</v>
      </c>
      <c r="I64" s="12">
        <v>1349.9</v>
      </c>
    </row>
    <row r="65" spans="1:9" x14ac:dyDescent="0.25">
      <c r="A65" s="10" t="s">
        <v>234</v>
      </c>
      <c r="B65" s="7"/>
      <c r="C65" s="7"/>
      <c r="D65" s="7"/>
      <c r="E65" s="7"/>
      <c r="F65" s="7"/>
      <c r="G65" s="7"/>
      <c r="H65" s="7"/>
      <c r="I65" s="7"/>
    </row>
    <row r="66" spans="1:9" x14ac:dyDescent="0.25">
      <c r="A66" s="113" t="s">
        <v>528</v>
      </c>
      <c r="B66" s="1" t="s">
        <v>535</v>
      </c>
      <c r="H66"/>
      <c r="I66"/>
    </row>
    <row r="67" spans="1:9" x14ac:dyDescent="0.25">
      <c r="A67" s="114"/>
      <c r="B67" s="5" t="s">
        <v>528</v>
      </c>
      <c r="C67" s="3" t="s">
        <v>538</v>
      </c>
      <c r="D67" s="3" t="s">
        <v>546</v>
      </c>
      <c r="E67" s="36">
        <v>24</v>
      </c>
      <c r="F67" s="36" t="s">
        <v>918</v>
      </c>
      <c r="G67" s="29">
        <v>0</v>
      </c>
      <c r="H67" s="11">
        <v>110.9</v>
      </c>
      <c r="I67" s="11">
        <v>110.9</v>
      </c>
    </row>
    <row r="68" spans="1:9" x14ac:dyDescent="0.25">
      <c r="A68" s="113" t="s">
        <v>529</v>
      </c>
      <c r="B68" s="1" t="s">
        <v>234</v>
      </c>
      <c r="H68"/>
      <c r="I68"/>
    </row>
    <row r="69" spans="1:9" x14ac:dyDescent="0.25">
      <c r="A69" s="114"/>
      <c r="B69" s="5" t="s">
        <v>529</v>
      </c>
      <c r="C69" s="3" t="s">
        <v>539</v>
      </c>
      <c r="D69" s="3" t="s">
        <v>546</v>
      </c>
      <c r="E69" s="36">
        <v>24</v>
      </c>
      <c r="F69" s="36" t="s">
        <v>918</v>
      </c>
      <c r="G69" s="29">
        <v>0</v>
      </c>
      <c r="H69" s="11">
        <v>249.9</v>
      </c>
      <c r="I69" s="11">
        <v>249.9</v>
      </c>
    </row>
    <row r="70" spans="1:9" x14ac:dyDescent="0.25">
      <c r="A70" s="113" t="s">
        <v>530</v>
      </c>
      <c r="B70" s="1" t="s">
        <v>235</v>
      </c>
      <c r="H70"/>
      <c r="I70"/>
    </row>
    <row r="71" spans="1:9" x14ac:dyDescent="0.25">
      <c r="A71" s="114"/>
      <c r="B71" s="5" t="s">
        <v>530</v>
      </c>
      <c r="C71" s="3" t="s">
        <v>540</v>
      </c>
      <c r="D71" s="3" t="s">
        <v>546</v>
      </c>
      <c r="E71" s="36">
        <v>24</v>
      </c>
      <c r="F71" s="36" t="s">
        <v>918</v>
      </c>
      <c r="G71" s="29">
        <v>0</v>
      </c>
      <c r="H71" s="11">
        <v>169.9</v>
      </c>
      <c r="I71" s="11">
        <v>169.9</v>
      </c>
    </row>
    <row r="72" spans="1:9" x14ac:dyDescent="0.25">
      <c r="A72" s="10" t="s">
        <v>209</v>
      </c>
      <c r="B72" s="7"/>
      <c r="C72" s="7"/>
      <c r="D72" s="7"/>
      <c r="E72" s="7"/>
      <c r="F72" s="7"/>
      <c r="G72" s="7"/>
      <c r="H72" s="7"/>
      <c r="I72" s="7"/>
    </row>
    <row r="73" spans="1:9" x14ac:dyDescent="0.25">
      <c r="A73" s="113" t="s">
        <v>1298</v>
      </c>
      <c r="B73" s="1" t="s">
        <v>208</v>
      </c>
      <c r="H73"/>
      <c r="I73"/>
    </row>
    <row r="74" spans="1:9" x14ac:dyDescent="0.25">
      <c r="A74" s="114"/>
      <c r="B74" s="5" t="s">
        <v>1298</v>
      </c>
      <c r="C74" s="3" t="s">
        <v>1325</v>
      </c>
      <c r="D74" s="3" t="s">
        <v>546</v>
      </c>
      <c r="E74" s="36">
        <v>24</v>
      </c>
      <c r="F74" s="36" t="s">
        <v>916</v>
      </c>
      <c r="G74" s="29">
        <v>0</v>
      </c>
      <c r="H74" s="11">
        <v>467.9</v>
      </c>
      <c r="I74" s="11">
        <v>467.9</v>
      </c>
    </row>
    <row r="75" spans="1:9" x14ac:dyDescent="0.25">
      <c r="A75" s="113" t="s">
        <v>1297</v>
      </c>
      <c r="B75" s="1" t="s">
        <v>209</v>
      </c>
      <c r="H75"/>
      <c r="I75"/>
    </row>
    <row r="76" spans="1:9" x14ac:dyDescent="0.25">
      <c r="A76" s="114"/>
      <c r="B76" s="5" t="s">
        <v>1297</v>
      </c>
      <c r="C76" s="3" t="s">
        <v>1326</v>
      </c>
      <c r="D76" s="3" t="s">
        <v>546</v>
      </c>
      <c r="E76" s="36">
        <v>24</v>
      </c>
      <c r="F76" s="36" t="s">
        <v>916</v>
      </c>
      <c r="G76" s="29">
        <v>0</v>
      </c>
      <c r="H76" s="11">
        <v>579.9</v>
      </c>
      <c r="I76" s="11">
        <v>579.9</v>
      </c>
    </row>
    <row r="77" spans="1:9" x14ac:dyDescent="0.25">
      <c r="A77" s="10" t="s">
        <v>544</v>
      </c>
      <c r="B77" s="7"/>
      <c r="C77" s="7"/>
      <c r="D77" s="7"/>
      <c r="E77" s="7"/>
      <c r="F77" s="7"/>
      <c r="G77" s="7"/>
      <c r="H77" s="7"/>
      <c r="I77" s="7"/>
    </row>
    <row r="78" spans="1:9" x14ac:dyDescent="0.25">
      <c r="A78" s="113" t="s">
        <v>33</v>
      </c>
      <c r="B78" s="1" t="s">
        <v>210</v>
      </c>
      <c r="H78"/>
      <c r="I78"/>
    </row>
    <row r="79" spans="1:9" x14ac:dyDescent="0.25">
      <c r="A79" s="114"/>
      <c r="B79" s="5" t="s">
        <v>33</v>
      </c>
      <c r="C79" s="3" t="s">
        <v>363</v>
      </c>
      <c r="D79" s="3" t="s">
        <v>546</v>
      </c>
      <c r="E79" s="36">
        <v>12</v>
      </c>
      <c r="F79" s="36" t="s">
        <v>916</v>
      </c>
      <c r="G79" s="29">
        <v>0</v>
      </c>
      <c r="H79" s="11">
        <v>739.9</v>
      </c>
      <c r="I79" s="11">
        <v>739.9</v>
      </c>
    </row>
    <row r="80" spans="1:9" x14ac:dyDescent="0.25">
      <c r="A80" s="113" t="s">
        <v>533</v>
      </c>
      <c r="B80" s="1" t="s">
        <v>232</v>
      </c>
      <c r="H80"/>
      <c r="I80"/>
    </row>
    <row r="81" spans="1:9" x14ac:dyDescent="0.25">
      <c r="A81" s="114"/>
      <c r="B81" s="5" t="s">
        <v>533</v>
      </c>
      <c r="C81" s="3" t="s">
        <v>543</v>
      </c>
      <c r="D81" s="3" t="s">
        <v>572</v>
      </c>
      <c r="E81" s="36">
        <v>20</v>
      </c>
      <c r="F81" s="36" t="s">
        <v>918</v>
      </c>
      <c r="G81" s="29">
        <v>0</v>
      </c>
      <c r="H81" s="11">
        <v>259.89999999999998</v>
      </c>
      <c r="I81" s="11">
        <v>259.89999999999998</v>
      </c>
    </row>
    <row r="82" spans="1:9" x14ac:dyDescent="0.25">
      <c r="A82" s="113" t="s">
        <v>1135</v>
      </c>
      <c r="B82" s="1" t="s">
        <v>1136</v>
      </c>
      <c r="H82"/>
      <c r="I82"/>
    </row>
    <row r="83" spans="1:9" x14ac:dyDescent="0.25">
      <c r="A83" s="114"/>
      <c r="B83" s="5" t="s">
        <v>1135</v>
      </c>
      <c r="C83" s="3" t="s">
        <v>1137</v>
      </c>
      <c r="D83" s="3" t="s">
        <v>546</v>
      </c>
      <c r="E83" s="36">
        <v>48</v>
      </c>
      <c r="F83" s="36" t="s">
        <v>918</v>
      </c>
      <c r="G83" s="29">
        <v>0</v>
      </c>
      <c r="H83" s="11">
        <v>219.9</v>
      </c>
      <c r="I83" s="11">
        <v>219.9</v>
      </c>
    </row>
    <row r="84" spans="1:9" x14ac:dyDescent="0.25">
      <c r="A84" s="113" t="s">
        <v>1144</v>
      </c>
      <c r="B84" s="1" t="s">
        <v>1147</v>
      </c>
      <c r="H84"/>
      <c r="I84"/>
    </row>
    <row r="85" spans="1:9" x14ac:dyDescent="0.25">
      <c r="A85" s="114"/>
      <c r="B85" s="5" t="s">
        <v>1144</v>
      </c>
      <c r="C85" s="3" t="s">
        <v>1145</v>
      </c>
      <c r="D85" s="3" t="s">
        <v>546</v>
      </c>
      <c r="E85" s="36">
        <v>96</v>
      </c>
      <c r="F85" s="36" t="s">
        <v>918</v>
      </c>
      <c r="G85" s="29">
        <v>0</v>
      </c>
      <c r="H85" s="11">
        <v>229.9</v>
      </c>
      <c r="I85" s="11">
        <v>229.9</v>
      </c>
    </row>
    <row r="86" spans="1:9" x14ac:dyDescent="0.25">
      <c r="A86" s="113" t="s">
        <v>1159</v>
      </c>
      <c r="B86" s="1" t="s">
        <v>1160</v>
      </c>
      <c r="H86"/>
      <c r="I86"/>
    </row>
    <row r="87" spans="1:9" x14ac:dyDescent="0.25">
      <c r="A87" s="114"/>
      <c r="B87" s="5" t="s">
        <v>1159</v>
      </c>
      <c r="C87" s="3" t="s">
        <v>1161</v>
      </c>
      <c r="D87" s="3" t="s">
        <v>546</v>
      </c>
      <c r="E87" s="36">
        <v>24</v>
      </c>
      <c r="F87" s="36" t="s">
        <v>916</v>
      </c>
      <c r="G87" s="29">
        <v>0</v>
      </c>
      <c r="H87" s="11">
        <v>299.89999999999998</v>
      </c>
      <c r="I87" s="11">
        <v>299.89999999999998</v>
      </c>
    </row>
    <row r="88" spans="1:9" x14ac:dyDescent="0.25">
      <c r="A88" s="113" t="s">
        <v>1265</v>
      </c>
      <c r="B88" s="1" t="s">
        <v>1148</v>
      </c>
      <c r="H88"/>
      <c r="I88"/>
    </row>
    <row r="89" spans="1:9" x14ac:dyDescent="0.25">
      <c r="A89" s="114"/>
      <c r="B89" s="5" t="s">
        <v>1265</v>
      </c>
      <c r="C89" s="3" t="s">
        <v>1285</v>
      </c>
      <c r="D89" s="3" t="s">
        <v>546</v>
      </c>
      <c r="E89" s="36">
        <v>48</v>
      </c>
      <c r="F89" s="36" t="s">
        <v>918</v>
      </c>
      <c r="G89" s="29">
        <v>0</v>
      </c>
      <c r="H89" s="11">
        <v>309.89999999999998</v>
      </c>
      <c r="I89" s="11">
        <v>309.89999999999998</v>
      </c>
    </row>
    <row r="90" spans="1:9" x14ac:dyDescent="0.25">
      <c r="A90" s="113" t="s">
        <v>1146</v>
      </c>
      <c r="B90" s="1" t="s">
        <v>1148</v>
      </c>
      <c r="H90"/>
      <c r="I90"/>
    </row>
    <row r="91" spans="1:9" x14ac:dyDescent="0.25">
      <c r="A91" s="114"/>
      <c r="B91" s="5" t="s">
        <v>1146</v>
      </c>
      <c r="C91" s="3" t="s">
        <v>1149</v>
      </c>
      <c r="D91" s="3" t="s">
        <v>546</v>
      </c>
      <c r="E91" s="36">
        <v>48</v>
      </c>
      <c r="F91" s="36" t="s">
        <v>918</v>
      </c>
      <c r="G91" s="29">
        <v>0</v>
      </c>
      <c r="H91" s="11">
        <v>309.89999999999998</v>
      </c>
      <c r="I91" s="11">
        <v>309.89999999999998</v>
      </c>
    </row>
    <row r="92" spans="1:9" x14ac:dyDescent="0.25">
      <c r="A92" s="113" t="s">
        <v>1302</v>
      </c>
      <c r="B92" s="1" t="s">
        <v>161</v>
      </c>
      <c r="H92"/>
      <c r="I92"/>
    </row>
    <row r="93" spans="1:9" x14ac:dyDescent="0.25">
      <c r="A93" s="114"/>
      <c r="B93" s="5" t="s">
        <v>1302</v>
      </c>
      <c r="C93" s="3" t="s">
        <v>1327</v>
      </c>
      <c r="D93" s="3" t="s">
        <v>546</v>
      </c>
      <c r="E93" s="36">
        <v>48</v>
      </c>
      <c r="F93" s="36" t="s">
        <v>916</v>
      </c>
      <c r="G93" s="29">
        <v>0</v>
      </c>
      <c r="H93" s="11">
        <v>534.9</v>
      </c>
      <c r="I93" s="11">
        <v>534.9</v>
      </c>
    </row>
    <row r="94" spans="1:9" x14ac:dyDescent="0.25">
      <c r="A94" s="113" t="s">
        <v>1702</v>
      </c>
      <c r="B94" s="1" t="s">
        <v>1703</v>
      </c>
      <c r="H94"/>
      <c r="I94"/>
    </row>
    <row r="95" spans="1:9" x14ac:dyDescent="0.25">
      <c r="A95" s="114"/>
      <c r="B95" s="5" t="s">
        <v>1702</v>
      </c>
      <c r="C95" s="3" t="s">
        <v>1704</v>
      </c>
      <c r="D95" s="3" t="s">
        <v>546</v>
      </c>
      <c r="E95" s="36">
        <v>24</v>
      </c>
      <c r="F95" s="36" t="s">
        <v>916</v>
      </c>
      <c r="G95" s="29">
        <v>0</v>
      </c>
      <c r="H95" s="11">
        <v>334.9</v>
      </c>
      <c r="I95" s="11">
        <v>334.9</v>
      </c>
    </row>
    <row r="96" spans="1:9" x14ac:dyDescent="0.25">
      <c r="A96" s="10" t="s">
        <v>482</v>
      </c>
      <c r="B96" s="7"/>
      <c r="C96" s="7"/>
      <c r="D96" s="7"/>
      <c r="E96" s="7"/>
      <c r="F96" s="7"/>
      <c r="G96" s="7"/>
      <c r="H96" s="7"/>
      <c r="I96" s="7"/>
    </row>
    <row r="97" spans="1:9" x14ac:dyDescent="0.25">
      <c r="A97" s="113" t="s">
        <v>518</v>
      </c>
      <c r="B97" s="1" t="s">
        <v>519</v>
      </c>
      <c r="H97"/>
      <c r="I97"/>
    </row>
    <row r="98" spans="1:9" x14ac:dyDescent="0.25">
      <c r="A98" s="114"/>
      <c r="B98" s="5" t="s">
        <v>518</v>
      </c>
      <c r="C98" s="3" t="s">
        <v>520</v>
      </c>
      <c r="D98" s="3" t="s">
        <v>546</v>
      </c>
      <c r="E98" s="36" t="s">
        <v>546</v>
      </c>
      <c r="F98" s="36" t="s">
        <v>916</v>
      </c>
      <c r="G98" s="29">
        <v>0</v>
      </c>
      <c r="H98" s="11">
        <v>1114.9000000000001</v>
      </c>
      <c r="I98" s="11">
        <v>1114.9000000000001</v>
      </c>
    </row>
    <row r="99" spans="1:9" x14ac:dyDescent="0.25">
      <c r="A99" s="113" t="s">
        <v>1306</v>
      </c>
      <c r="B99" s="1" t="s">
        <v>492</v>
      </c>
      <c r="H99"/>
      <c r="I99"/>
    </row>
    <row r="100" spans="1:9" x14ac:dyDescent="0.25">
      <c r="A100" s="114"/>
      <c r="B100" s="5" t="s">
        <v>1306</v>
      </c>
      <c r="C100" s="3" t="s">
        <v>1315</v>
      </c>
      <c r="D100" s="3" t="s">
        <v>546</v>
      </c>
      <c r="E100" s="36">
        <v>24</v>
      </c>
      <c r="F100" s="36" t="s">
        <v>916</v>
      </c>
      <c r="G100" s="29">
        <v>0</v>
      </c>
      <c r="H100" s="11">
        <v>559.9</v>
      </c>
      <c r="I100" s="11">
        <v>559.9</v>
      </c>
    </row>
    <row r="101" spans="1:9" x14ac:dyDescent="0.25">
      <c r="A101" s="113" t="s">
        <v>1305</v>
      </c>
      <c r="B101" s="1" t="s">
        <v>207</v>
      </c>
      <c r="H101"/>
      <c r="I101"/>
    </row>
    <row r="102" spans="1:9" x14ac:dyDescent="0.25">
      <c r="A102" s="114"/>
      <c r="B102" s="5" t="s">
        <v>1305</v>
      </c>
      <c r="C102" s="3" t="s">
        <v>1316</v>
      </c>
      <c r="D102" s="3" t="s">
        <v>546</v>
      </c>
      <c r="E102" s="36">
        <v>6</v>
      </c>
      <c r="F102" s="36" t="s">
        <v>916</v>
      </c>
      <c r="G102" s="29">
        <v>0</v>
      </c>
      <c r="H102" s="11">
        <v>779.9</v>
      </c>
      <c r="I102" s="11">
        <v>779.9</v>
      </c>
    </row>
    <row r="103" spans="1:9" x14ac:dyDescent="0.25">
      <c r="A103" s="113" t="s">
        <v>1309</v>
      </c>
      <c r="B103" s="1" t="s">
        <v>1314</v>
      </c>
      <c r="H103"/>
      <c r="I103"/>
    </row>
    <row r="104" spans="1:9" x14ac:dyDescent="0.25">
      <c r="A104" s="114"/>
      <c r="B104" s="5" t="s">
        <v>1309</v>
      </c>
      <c r="C104" s="3" t="s">
        <v>1317</v>
      </c>
      <c r="D104" s="3" t="s">
        <v>572</v>
      </c>
      <c r="E104" s="36">
        <v>4</v>
      </c>
      <c r="F104" s="36" t="s">
        <v>917</v>
      </c>
      <c r="G104" s="29">
        <v>0</v>
      </c>
      <c r="H104" s="11">
        <v>999.9</v>
      </c>
      <c r="I104" s="11">
        <v>999.9</v>
      </c>
    </row>
    <row r="105" spans="1:9" x14ac:dyDescent="0.25">
      <c r="A105" s="114"/>
      <c r="B105" s="6" t="s">
        <v>1373</v>
      </c>
      <c r="C105" s="4" t="s">
        <v>1391</v>
      </c>
      <c r="D105" s="4" t="s">
        <v>1380</v>
      </c>
      <c r="E105" s="41">
        <v>4</v>
      </c>
      <c r="F105" s="41" t="s">
        <v>917</v>
      </c>
      <c r="G105" s="30">
        <v>0</v>
      </c>
      <c r="H105" s="12">
        <v>999.9</v>
      </c>
      <c r="I105" s="12">
        <v>999.9</v>
      </c>
    </row>
    <row r="106" spans="1:9" x14ac:dyDescent="0.25">
      <c r="A106" s="114"/>
      <c r="B106" s="6" t="s">
        <v>1401</v>
      </c>
      <c r="C106" s="4" t="s">
        <v>1402</v>
      </c>
      <c r="D106" s="4" t="s">
        <v>903</v>
      </c>
      <c r="E106" s="41">
        <v>4</v>
      </c>
      <c r="F106" s="41" t="s">
        <v>917</v>
      </c>
      <c r="G106" s="30">
        <v>0</v>
      </c>
      <c r="H106" s="12">
        <v>999.9</v>
      </c>
      <c r="I106" s="12">
        <v>999.9</v>
      </c>
    </row>
    <row r="107" spans="1:9" x14ac:dyDescent="0.25">
      <c r="A107" s="113" t="s">
        <v>1308</v>
      </c>
      <c r="B107" s="1" t="s">
        <v>1313</v>
      </c>
      <c r="H107"/>
      <c r="I107"/>
    </row>
    <row r="108" spans="1:9" x14ac:dyDescent="0.25">
      <c r="A108" s="114"/>
      <c r="B108" s="5" t="s">
        <v>1308</v>
      </c>
      <c r="C108" s="3" t="s">
        <v>1318</v>
      </c>
      <c r="D108" s="3" t="s">
        <v>572</v>
      </c>
      <c r="E108" s="36">
        <v>4</v>
      </c>
      <c r="F108" s="36" t="s">
        <v>917</v>
      </c>
      <c r="G108" s="29">
        <v>0</v>
      </c>
      <c r="H108" s="11">
        <v>1149.9000000000001</v>
      </c>
      <c r="I108" s="11">
        <v>1149.9000000000001</v>
      </c>
    </row>
    <row r="109" spans="1:9" x14ac:dyDescent="0.25">
      <c r="A109" s="114"/>
      <c r="B109" s="6" t="s">
        <v>1374</v>
      </c>
      <c r="C109" s="4" t="s">
        <v>1392</v>
      </c>
      <c r="D109" s="4" t="s">
        <v>1380</v>
      </c>
      <c r="E109" s="41">
        <v>4</v>
      </c>
      <c r="F109" s="41" t="s">
        <v>917</v>
      </c>
      <c r="G109" s="30">
        <v>0</v>
      </c>
      <c r="H109" s="12">
        <v>1149.9000000000001</v>
      </c>
      <c r="I109" s="12">
        <v>1149.9000000000001</v>
      </c>
    </row>
    <row r="110" spans="1:9" x14ac:dyDescent="0.25">
      <c r="A110" s="114"/>
      <c r="B110" s="6" t="s">
        <v>1403</v>
      </c>
      <c r="C110" s="4" t="s">
        <v>1404</v>
      </c>
      <c r="D110" s="4" t="s">
        <v>903</v>
      </c>
      <c r="E110" s="41">
        <v>4</v>
      </c>
      <c r="F110" s="41" t="s">
        <v>917</v>
      </c>
      <c r="G110" s="30">
        <v>0</v>
      </c>
      <c r="H110" s="12">
        <v>1149.9000000000001</v>
      </c>
      <c r="I110" s="12">
        <v>1149.9000000000001</v>
      </c>
    </row>
    <row r="111" spans="1:9" x14ac:dyDescent="0.25">
      <c r="A111" s="113" t="s">
        <v>1304</v>
      </c>
      <c r="B111" s="1" t="s">
        <v>1311</v>
      </c>
      <c r="H111"/>
      <c r="I111"/>
    </row>
    <row r="112" spans="1:9" x14ac:dyDescent="0.25">
      <c r="A112" s="114"/>
      <c r="B112" s="5" t="s">
        <v>1304</v>
      </c>
      <c r="C112" s="3" t="s">
        <v>1319</v>
      </c>
      <c r="D112" s="3" t="s">
        <v>572</v>
      </c>
      <c r="E112" s="36">
        <v>4</v>
      </c>
      <c r="F112" s="36" t="s">
        <v>917</v>
      </c>
      <c r="G112" s="29">
        <v>0</v>
      </c>
      <c r="H112" s="11">
        <v>1598.9</v>
      </c>
      <c r="I112" s="11">
        <v>1598.9</v>
      </c>
    </row>
    <row r="113" spans="1:9" x14ac:dyDescent="0.25">
      <c r="A113" s="114"/>
      <c r="B113" s="6" t="s">
        <v>1375</v>
      </c>
      <c r="C113" s="4" t="s">
        <v>1393</v>
      </c>
      <c r="D113" s="4" t="s">
        <v>1381</v>
      </c>
      <c r="E113" s="41">
        <v>4</v>
      </c>
      <c r="F113" s="41" t="s">
        <v>917</v>
      </c>
      <c r="G113" s="30">
        <v>0</v>
      </c>
      <c r="H113" s="12">
        <v>1598.9</v>
      </c>
      <c r="I113" s="12">
        <v>1598.9</v>
      </c>
    </row>
    <row r="114" spans="1:9" x14ac:dyDescent="0.25">
      <c r="A114" s="114"/>
      <c r="B114" s="6" t="s">
        <v>1378</v>
      </c>
      <c r="C114" s="4" t="s">
        <v>1396</v>
      </c>
      <c r="D114" s="4" t="s">
        <v>1380</v>
      </c>
      <c r="E114" s="41">
        <v>4</v>
      </c>
      <c r="F114" s="41" t="s">
        <v>917</v>
      </c>
      <c r="G114" s="30">
        <v>0</v>
      </c>
      <c r="H114" s="12">
        <v>1598.9</v>
      </c>
      <c r="I114" s="12">
        <v>1598.9</v>
      </c>
    </row>
    <row r="115" spans="1:9" x14ac:dyDescent="0.25">
      <c r="A115" s="114"/>
      <c r="B115" s="6" t="s">
        <v>1405</v>
      </c>
      <c r="C115" s="4" t="s">
        <v>1406</v>
      </c>
      <c r="D115" s="4" t="s">
        <v>575</v>
      </c>
      <c r="E115" s="41">
        <v>4</v>
      </c>
      <c r="F115" s="41" t="s">
        <v>917</v>
      </c>
      <c r="G115" s="30">
        <v>0</v>
      </c>
      <c r="H115" s="12">
        <v>1598.9</v>
      </c>
      <c r="I115" s="12">
        <v>1598.9</v>
      </c>
    </row>
    <row r="116" spans="1:9" x14ac:dyDescent="0.25">
      <c r="A116" s="113" t="s">
        <v>1303</v>
      </c>
      <c r="B116" s="1" t="s">
        <v>1310</v>
      </c>
      <c r="H116"/>
      <c r="I116"/>
    </row>
    <row r="117" spans="1:9" x14ac:dyDescent="0.25">
      <c r="A117" s="114"/>
      <c r="B117" s="5" t="s">
        <v>1303</v>
      </c>
      <c r="C117" s="3" t="s">
        <v>1320</v>
      </c>
      <c r="D117" s="3" t="s">
        <v>572</v>
      </c>
      <c r="E117" s="36">
        <v>4</v>
      </c>
      <c r="F117" s="36" t="s">
        <v>917</v>
      </c>
      <c r="G117" s="29">
        <v>0</v>
      </c>
      <c r="H117" s="11">
        <v>1896.9</v>
      </c>
      <c r="I117" s="11">
        <v>1896.9</v>
      </c>
    </row>
    <row r="118" spans="1:9" x14ac:dyDescent="0.25">
      <c r="A118" s="114"/>
      <c r="B118" s="6" t="s">
        <v>1376</v>
      </c>
      <c r="C118" s="4" t="s">
        <v>1394</v>
      </c>
      <c r="D118" s="4" t="s">
        <v>1381</v>
      </c>
      <c r="E118" s="41">
        <v>4</v>
      </c>
      <c r="F118" s="41" t="s">
        <v>917</v>
      </c>
      <c r="G118" s="30">
        <v>0</v>
      </c>
      <c r="H118" s="12">
        <v>1896.9</v>
      </c>
      <c r="I118" s="12">
        <v>1896.9</v>
      </c>
    </row>
    <row r="119" spans="1:9" x14ac:dyDescent="0.25">
      <c r="A119" s="114"/>
      <c r="B119" s="6" t="s">
        <v>1379</v>
      </c>
      <c r="C119" s="4" t="s">
        <v>1397</v>
      </c>
      <c r="D119" s="4" t="s">
        <v>1380</v>
      </c>
      <c r="E119" s="41">
        <v>4</v>
      </c>
      <c r="F119" s="41" t="s">
        <v>917</v>
      </c>
      <c r="G119" s="30">
        <v>0</v>
      </c>
      <c r="H119" s="12">
        <v>1896.9</v>
      </c>
      <c r="I119" s="12">
        <v>1896.9</v>
      </c>
    </row>
    <row r="120" spans="1:9" x14ac:dyDescent="0.25">
      <c r="A120" s="114"/>
      <c r="B120" s="6" t="s">
        <v>1408</v>
      </c>
      <c r="C120" s="4" t="s">
        <v>1407</v>
      </c>
      <c r="D120" s="4" t="s">
        <v>575</v>
      </c>
      <c r="E120" s="41">
        <v>4</v>
      </c>
      <c r="F120" s="41" t="s">
        <v>917</v>
      </c>
      <c r="G120" s="30">
        <v>0</v>
      </c>
      <c r="H120" s="12">
        <v>1896.9</v>
      </c>
      <c r="I120" s="12">
        <v>1896.9</v>
      </c>
    </row>
    <row r="121" spans="1:9" x14ac:dyDescent="0.25">
      <c r="A121" s="113" t="s">
        <v>1307</v>
      </c>
      <c r="B121" s="1" t="s">
        <v>1312</v>
      </c>
      <c r="H121"/>
      <c r="I121"/>
    </row>
    <row r="122" spans="1:9" x14ac:dyDescent="0.25">
      <c r="A122" s="114"/>
      <c r="B122" s="5" t="s">
        <v>1307</v>
      </c>
      <c r="C122" s="3" t="s">
        <v>1321</v>
      </c>
      <c r="D122" s="3" t="s">
        <v>572</v>
      </c>
      <c r="E122" s="36">
        <v>3</v>
      </c>
      <c r="F122" s="36" t="s">
        <v>917</v>
      </c>
      <c r="G122" s="29">
        <v>0</v>
      </c>
      <c r="H122" s="11">
        <v>2119.9</v>
      </c>
      <c r="I122" s="11">
        <v>2119.9</v>
      </c>
    </row>
    <row r="123" spans="1:9" x14ac:dyDescent="0.25">
      <c r="A123" s="114"/>
      <c r="B123" s="6" t="s">
        <v>1377</v>
      </c>
      <c r="C123" s="4" t="s">
        <v>1395</v>
      </c>
      <c r="D123" s="4" t="s">
        <v>1380</v>
      </c>
      <c r="E123" s="41">
        <v>3</v>
      </c>
      <c r="F123" s="41" t="s">
        <v>917</v>
      </c>
      <c r="G123" s="30">
        <v>0</v>
      </c>
      <c r="H123" s="12">
        <v>2119.9</v>
      </c>
      <c r="I123" s="12">
        <v>2119.9</v>
      </c>
    </row>
    <row r="124" spans="1:9" x14ac:dyDescent="0.25">
      <c r="A124" s="114"/>
      <c r="B124" s="6" t="s">
        <v>1409</v>
      </c>
      <c r="C124" s="4" t="s">
        <v>1410</v>
      </c>
      <c r="D124" s="4" t="s">
        <v>903</v>
      </c>
      <c r="E124" s="41">
        <v>3</v>
      </c>
      <c r="F124" s="41" t="s">
        <v>917</v>
      </c>
      <c r="G124" s="30">
        <v>0</v>
      </c>
      <c r="H124" s="12">
        <v>2119.9</v>
      </c>
      <c r="I124" s="12">
        <v>2119.9</v>
      </c>
    </row>
    <row r="125" spans="1:9" x14ac:dyDescent="0.25">
      <c r="A125" s="10" t="s">
        <v>483</v>
      </c>
      <c r="B125" s="7"/>
      <c r="C125" s="7"/>
      <c r="D125" s="7"/>
      <c r="E125" s="7"/>
      <c r="F125" s="7"/>
      <c r="G125" s="7"/>
      <c r="H125" s="7"/>
      <c r="I125" s="7"/>
    </row>
    <row r="126" spans="1:9" x14ac:dyDescent="0.25">
      <c r="A126" s="113" t="s">
        <v>0</v>
      </c>
      <c r="B126" s="1" t="s">
        <v>534</v>
      </c>
      <c r="H126"/>
      <c r="I126"/>
    </row>
    <row r="127" spans="1:9" x14ac:dyDescent="0.25">
      <c r="A127" s="114"/>
      <c r="B127" s="5" t="s">
        <v>0</v>
      </c>
      <c r="C127" s="3" t="s">
        <v>312</v>
      </c>
      <c r="D127" s="3" t="s">
        <v>546</v>
      </c>
      <c r="E127" s="36">
        <v>144</v>
      </c>
      <c r="F127" s="36" t="s">
        <v>918</v>
      </c>
      <c r="G127" s="29">
        <v>0</v>
      </c>
      <c r="H127" s="11">
        <v>69.900000000000006</v>
      </c>
      <c r="I127" s="11">
        <v>69.900000000000006</v>
      </c>
    </row>
    <row r="128" spans="1:9" x14ac:dyDescent="0.25">
      <c r="A128" s="113" t="s">
        <v>294</v>
      </c>
      <c r="B128" s="1" t="s">
        <v>301</v>
      </c>
      <c r="H128"/>
      <c r="I128"/>
    </row>
    <row r="129" spans="1:9" x14ac:dyDescent="0.25">
      <c r="A129" s="114"/>
      <c r="B129" s="5" t="s">
        <v>294</v>
      </c>
      <c r="C129" s="3" t="s">
        <v>315</v>
      </c>
      <c r="D129" s="3" t="s">
        <v>546</v>
      </c>
      <c r="E129" s="36">
        <v>48</v>
      </c>
      <c r="F129" s="36" t="s">
        <v>916</v>
      </c>
      <c r="G129" s="29">
        <v>0</v>
      </c>
      <c r="H129" s="11">
        <v>149.9</v>
      </c>
      <c r="I129" s="11">
        <v>149.9</v>
      </c>
    </row>
    <row r="130" spans="1:9" x14ac:dyDescent="0.25">
      <c r="A130" s="113" t="s">
        <v>295</v>
      </c>
      <c r="B130" s="1" t="s">
        <v>163</v>
      </c>
      <c r="H130"/>
      <c r="I130"/>
    </row>
    <row r="131" spans="1:9" x14ac:dyDescent="0.25">
      <c r="A131" s="114"/>
      <c r="B131" s="5" t="s">
        <v>295</v>
      </c>
      <c r="C131" s="3" t="s">
        <v>316</v>
      </c>
      <c r="D131" s="3" t="s">
        <v>546</v>
      </c>
      <c r="E131" s="36">
        <v>48</v>
      </c>
      <c r="F131" s="36" t="s">
        <v>916</v>
      </c>
      <c r="G131" s="29">
        <v>0</v>
      </c>
      <c r="H131" s="11">
        <v>209.9</v>
      </c>
      <c r="I131" s="11">
        <v>209.9</v>
      </c>
    </row>
    <row r="132" spans="1:9" x14ac:dyDescent="0.25">
      <c r="A132" s="113" t="s">
        <v>296</v>
      </c>
      <c r="B132" s="1" t="s">
        <v>162</v>
      </c>
      <c r="H132"/>
      <c r="I132"/>
    </row>
    <row r="133" spans="1:9" x14ac:dyDescent="0.25">
      <c r="A133" s="114"/>
      <c r="B133" s="5" t="s">
        <v>296</v>
      </c>
      <c r="C133" s="3" t="s">
        <v>317</v>
      </c>
      <c r="D133" s="3" t="s">
        <v>546</v>
      </c>
      <c r="E133" s="36">
        <v>24</v>
      </c>
      <c r="F133" s="36" t="s">
        <v>916</v>
      </c>
      <c r="G133" s="29">
        <v>0</v>
      </c>
      <c r="H133" s="11">
        <v>259.89999999999998</v>
      </c>
      <c r="I133" s="11">
        <v>259.89999999999998</v>
      </c>
    </row>
    <row r="134" spans="1:9" x14ac:dyDescent="0.25">
      <c r="A134" s="113" t="s">
        <v>297</v>
      </c>
      <c r="B134" s="1" t="s">
        <v>302</v>
      </c>
      <c r="H134"/>
      <c r="I134"/>
    </row>
    <row r="135" spans="1:9" x14ac:dyDescent="0.25">
      <c r="A135" s="114"/>
      <c r="B135" s="5" t="s">
        <v>297</v>
      </c>
      <c r="C135" s="3" t="s">
        <v>318</v>
      </c>
      <c r="D135" s="3" t="s">
        <v>546</v>
      </c>
      <c r="E135" s="36">
        <v>24</v>
      </c>
      <c r="F135" s="36" t="s">
        <v>916</v>
      </c>
      <c r="G135" s="29">
        <v>0</v>
      </c>
      <c r="H135" s="11">
        <v>333.9</v>
      </c>
      <c r="I135" s="11">
        <v>333.9</v>
      </c>
    </row>
    <row r="136" spans="1:9" x14ac:dyDescent="0.25">
      <c r="A136" s="113" t="s">
        <v>4</v>
      </c>
      <c r="B136" s="1" t="s">
        <v>166</v>
      </c>
      <c r="H136"/>
      <c r="I136"/>
    </row>
    <row r="137" spans="1:9" x14ac:dyDescent="0.25">
      <c r="A137" s="114"/>
      <c r="B137" s="5" t="s">
        <v>4</v>
      </c>
      <c r="C137" s="3" t="s">
        <v>314</v>
      </c>
      <c r="D137" s="3" t="s">
        <v>546</v>
      </c>
      <c r="E137" s="36">
        <v>48</v>
      </c>
      <c r="F137" s="36" t="s">
        <v>916</v>
      </c>
      <c r="G137" s="29">
        <v>0</v>
      </c>
      <c r="H137" s="11">
        <v>222.9</v>
      </c>
      <c r="I137" s="11">
        <v>222.9</v>
      </c>
    </row>
    <row r="138" spans="1:9" x14ac:dyDescent="0.25">
      <c r="A138" s="113" t="s">
        <v>298</v>
      </c>
      <c r="B138" s="1" t="s">
        <v>165</v>
      </c>
      <c r="H138"/>
      <c r="I138"/>
    </row>
    <row r="139" spans="1:9" x14ac:dyDescent="0.25">
      <c r="A139" s="114"/>
      <c r="B139" s="5" t="s">
        <v>298</v>
      </c>
      <c r="C139" s="3" t="s">
        <v>319</v>
      </c>
      <c r="D139" s="3" t="s">
        <v>546</v>
      </c>
      <c r="E139" s="36">
        <v>24</v>
      </c>
      <c r="F139" s="36" t="s">
        <v>916</v>
      </c>
      <c r="G139" s="29">
        <v>0</v>
      </c>
      <c r="H139" s="11">
        <v>299.89999999999998</v>
      </c>
      <c r="I139" s="11">
        <v>299.89999999999998</v>
      </c>
    </row>
    <row r="140" spans="1:9" x14ac:dyDescent="0.25">
      <c r="A140" s="113" t="s">
        <v>299</v>
      </c>
      <c r="B140" s="1" t="s">
        <v>303</v>
      </c>
      <c r="H140"/>
      <c r="I140"/>
    </row>
    <row r="141" spans="1:9" x14ac:dyDescent="0.25">
      <c r="A141" s="114"/>
      <c r="B141" s="5" t="s">
        <v>299</v>
      </c>
      <c r="C141" s="3" t="s">
        <v>320</v>
      </c>
      <c r="D141" s="3" t="s">
        <v>546</v>
      </c>
      <c r="E141" s="36">
        <v>24</v>
      </c>
      <c r="F141" s="36" t="s">
        <v>916</v>
      </c>
      <c r="G141" s="29">
        <v>0</v>
      </c>
      <c r="H141" s="11">
        <v>439.9</v>
      </c>
      <c r="I141" s="11">
        <v>439.9</v>
      </c>
    </row>
    <row r="142" spans="1:9" x14ac:dyDescent="0.25">
      <c r="A142" s="113" t="s">
        <v>300</v>
      </c>
      <c r="B142" s="1" t="s">
        <v>304</v>
      </c>
      <c r="H142"/>
      <c r="I142"/>
    </row>
    <row r="143" spans="1:9" x14ac:dyDescent="0.25">
      <c r="A143" s="114"/>
      <c r="B143" s="5" t="s">
        <v>300</v>
      </c>
      <c r="C143" s="3" t="s">
        <v>321</v>
      </c>
      <c r="D143" s="3" t="s">
        <v>546</v>
      </c>
      <c r="E143" s="36">
        <v>24</v>
      </c>
      <c r="F143" s="36" t="s">
        <v>916</v>
      </c>
      <c r="G143" s="29">
        <v>0</v>
      </c>
      <c r="H143" s="11">
        <v>519.9</v>
      </c>
      <c r="I143" s="11">
        <v>519.9</v>
      </c>
    </row>
    <row r="144" spans="1:9" x14ac:dyDescent="0.25">
      <c r="A144" s="113" t="s">
        <v>501</v>
      </c>
      <c r="B144" s="1" t="s">
        <v>502</v>
      </c>
      <c r="H144"/>
      <c r="I144"/>
    </row>
    <row r="145" spans="1:9" x14ac:dyDescent="0.25">
      <c r="A145" s="114"/>
      <c r="B145" s="5" t="s">
        <v>501</v>
      </c>
      <c r="C145" s="3" t="s">
        <v>503</v>
      </c>
      <c r="D145" s="3" t="s">
        <v>546</v>
      </c>
      <c r="E145" s="36">
        <v>24</v>
      </c>
      <c r="F145" s="36" t="s">
        <v>916</v>
      </c>
      <c r="G145" s="29">
        <v>0</v>
      </c>
      <c r="H145" s="11">
        <v>219.89999999999998</v>
      </c>
      <c r="I145" s="11">
        <v>219.89999999999998</v>
      </c>
    </row>
    <row r="146" spans="1:9" x14ac:dyDescent="0.25">
      <c r="A146" s="113" t="s">
        <v>547</v>
      </c>
      <c r="B146" s="1" t="s">
        <v>548</v>
      </c>
      <c r="H146"/>
      <c r="I146"/>
    </row>
    <row r="147" spans="1:9" x14ac:dyDescent="0.25">
      <c r="A147" s="114"/>
      <c r="B147" s="5" t="s">
        <v>547</v>
      </c>
      <c r="C147" s="3" t="s">
        <v>549</v>
      </c>
      <c r="D147" s="3" t="s">
        <v>546</v>
      </c>
      <c r="E147" s="36">
        <v>144</v>
      </c>
      <c r="F147" s="36" t="s">
        <v>916</v>
      </c>
      <c r="G147" s="29">
        <v>0</v>
      </c>
      <c r="H147" s="11">
        <v>110.9</v>
      </c>
      <c r="I147" s="11">
        <v>110.9</v>
      </c>
    </row>
    <row r="148" spans="1:9" x14ac:dyDescent="0.25">
      <c r="A148" s="113" t="s">
        <v>1227</v>
      </c>
      <c r="B148" s="1" t="s">
        <v>548</v>
      </c>
      <c r="H148"/>
      <c r="I148"/>
    </row>
    <row r="149" spans="1:9" x14ac:dyDescent="0.25">
      <c r="A149" s="114"/>
      <c r="B149" s="5" t="s">
        <v>1227</v>
      </c>
      <c r="C149" s="3" t="s">
        <v>1281</v>
      </c>
      <c r="D149" s="3" t="s">
        <v>546</v>
      </c>
      <c r="E149" s="36">
        <v>144</v>
      </c>
      <c r="F149" s="36" t="s">
        <v>916</v>
      </c>
      <c r="G149" s="29">
        <v>0</v>
      </c>
      <c r="H149" s="11">
        <v>109.9</v>
      </c>
      <c r="I149" s="11">
        <v>109.9</v>
      </c>
    </row>
    <row r="150" spans="1:9" x14ac:dyDescent="0.25">
      <c r="A150" s="113" t="s">
        <v>1263</v>
      </c>
      <c r="B150" s="1" t="s">
        <v>502</v>
      </c>
      <c r="H150"/>
      <c r="I150"/>
    </row>
    <row r="151" spans="1:9" x14ac:dyDescent="0.25">
      <c r="A151" s="114"/>
      <c r="B151" s="5" t="s">
        <v>1263</v>
      </c>
      <c r="C151" s="3" t="s">
        <v>1283</v>
      </c>
      <c r="D151" s="3" t="s">
        <v>546</v>
      </c>
      <c r="E151" s="36">
        <v>24</v>
      </c>
      <c r="F151" s="36" t="s">
        <v>916</v>
      </c>
      <c r="G151" s="29">
        <v>0</v>
      </c>
      <c r="H151" s="11">
        <v>219.9</v>
      </c>
      <c r="I151" s="11">
        <v>219.9</v>
      </c>
    </row>
    <row r="152" spans="1:9" x14ac:dyDescent="0.25">
      <c r="A152" s="113" t="s">
        <v>1264</v>
      </c>
      <c r="B152" s="1" t="s">
        <v>304</v>
      </c>
      <c r="H152"/>
      <c r="I152"/>
    </row>
    <row r="153" spans="1:9" x14ac:dyDescent="0.25">
      <c r="A153" s="114"/>
      <c r="B153" s="5" t="s">
        <v>1264</v>
      </c>
      <c r="C153" s="3" t="s">
        <v>1284</v>
      </c>
      <c r="D153" s="3" t="s">
        <v>546</v>
      </c>
      <c r="E153" s="36">
        <v>24</v>
      </c>
      <c r="F153" s="36" t="s">
        <v>916</v>
      </c>
      <c r="G153" s="29">
        <v>0</v>
      </c>
      <c r="H153" s="11">
        <v>519.9</v>
      </c>
      <c r="I153" s="11">
        <v>519.9</v>
      </c>
    </row>
    <row r="154" spans="1:9" x14ac:dyDescent="0.25">
      <c r="A154" s="10" t="s">
        <v>484</v>
      </c>
      <c r="B154" s="7"/>
      <c r="C154" s="7"/>
      <c r="D154" s="7"/>
      <c r="E154" s="7"/>
      <c r="F154" s="7"/>
      <c r="G154" s="7"/>
      <c r="H154" s="7"/>
      <c r="I154" s="7"/>
    </row>
    <row r="155" spans="1:9" x14ac:dyDescent="0.25">
      <c r="A155" s="113" t="s">
        <v>36</v>
      </c>
      <c r="B155" s="1" t="s">
        <v>187</v>
      </c>
      <c r="H155"/>
      <c r="I155"/>
    </row>
    <row r="156" spans="1:9" x14ac:dyDescent="0.25">
      <c r="A156" s="114"/>
      <c r="B156" s="5" t="s">
        <v>36</v>
      </c>
      <c r="C156" s="3" t="s">
        <v>353</v>
      </c>
      <c r="D156" s="3" t="s">
        <v>546</v>
      </c>
      <c r="E156" s="36">
        <v>1</v>
      </c>
      <c r="F156" s="36" t="s">
        <v>916</v>
      </c>
      <c r="G156" s="29">
        <v>0</v>
      </c>
      <c r="H156" s="11">
        <v>689.9</v>
      </c>
      <c r="I156" s="11">
        <v>689.9</v>
      </c>
    </row>
    <row r="157" spans="1:9" x14ac:dyDescent="0.25">
      <c r="A157" s="114"/>
      <c r="B157" s="6" t="s">
        <v>138</v>
      </c>
      <c r="C157" s="4" t="s">
        <v>584</v>
      </c>
      <c r="D157" s="4" t="s">
        <v>562</v>
      </c>
      <c r="E157" s="41">
        <v>1</v>
      </c>
      <c r="F157" s="41" t="s">
        <v>916</v>
      </c>
      <c r="G157" s="30">
        <v>0</v>
      </c>
      <c r="H157" s="12">
        <v>689.9</v>
      </c>
      <c r="I157" s="12">
        <v>689.9</v>
      </c>
    </row>
    <row r="158" spans="1:9" x14ac:dyDescent="0.25">
      <c r="A158" s="113" t="s">
        <v>35</v>
      </c>
      <c r="B158" s="1" t="s">
        <v>186</v>
      </c>
      <c r="H158"/>
      <c r="I158"/>
    </row>
    <row r="159" spans="1:9" x14ac:dyDescent="0.25">
      <c r="A159" s="114"/>
      <c r="B159" s="5" t="s">
        <v>35</v>
      </c>
      <c r="C159" s="3" t="s">
        <v>350</v>
      </c>
      <c r="D159" s="3" t="s">
        <v>572</v>
      </c>
      <c r="E159" s="36">
        <v>1</v>
      </c>
      <c r="F159" s="36" t="s">
        <v>916</v>
      </c>
      <c r="G159" s="29">
        <v>0</v>
      </c>
      <c r="H159" s="11">
        <v>779.9</v>
      </c>
      <c r="I159" s="11">
        <v>779.9</v>
      </c>
    </row>
    <row r="160" spans="1:9" x14ac:dyDescent="0.25">
      <c r="A160" s="114"/>
      <c r="B160" s="6" t="s">
        <v>139</v>
      </c>
      <c r="C160" s="4" t="s">
        <v>351</v>
      </c>
      <c r="D160" s="4" t="s">
        <v>571</v>
      </c>
      <c r="E160" s="41">
        <v>1</v>
      </c>
      <c r="F160" s="41" t="s">
        <v>916</v>
      </c>
      <c r="G160" s="30">
        <v>0</v>
      </c>
      <c r="H160" s="12">
        <v>779.9</v>
      </c>
      <c r="I160" s="12">
        <v>779.9</v>
      </c>
    </row>
    <row r="161" spans="1:9" x14ac:dyDescent="0.25">
      <c r="A161" s="114"/>
      <c r="B161" s="6" t="s">
        <v>137</v>
      </c>
      <c r="C161" s="4" t="s">
        <v>583</v>
      </c>
      <c r="D161" s="4" t="s">
        <v>562</v>
      </c>
      <c r="E161" s="41">
        <v>1</v>
      </c>
      <c r="F161" s="41" t="s">
        <v>916</v>
      </c>
      <c r="G161" s="30">
        <v>0</v>
      </c>
      <c r="H161" s="12">
        <v>779.9</v>
      </c>
      <c r="I161" s="12">
        <v>779.9</v>
      </c>
    </row>
    <row r="162" spans="1:9" x14ac:dyDescent="0.25">
      <c r="A162" s="114"/>
      <c r="B162" s="6" t="s">
        <v>581</v>
      </c>
      <c r="C162" s="4" t="s">
        <v>582</v>
      </c>
      <c r="D162" s="4" t="s">
        <v>575</v>
      </c>
      <c r="E162" s="41" t="s">
        <v>546</v>
      </c>
      <c r="F162" s="41" t="s">
        <v>916</v>
      </c>
      <c r="G162" s="30">
        <v>0</v>
      </c>
      <c r="H162" s="12">
        <v>779.9</v>
      </c>
      <c r="I162" s="12">
        <v>779.9</v>
      </c>
    </row>
    <row r="163" spans="1:9" x14ac:dyDescent="0.25">
      <c r="A163" s="114"/>
      <c r="B163" s="6" t="s">
        <v>1093</v>
      </c>
      <c r="C163" s="4" t="s">
        <v>352</v>
      </c>
      <c r="D163" s="4" t="s">
        <v>1091</v>
      </c>
      <c r="E163" s="41">
        <v>1</v>
      </c>
      <c r="F163" s="41" t="s">
        <v>916</v>
      </c>
      <c r="G163" s="30">
        <v>0</v>
      </c>
      <c r="H163" s="12">
        <v>779.9</v>
      </c>
      <c r="I163" s="12">
        <v>779.9</v>
      </c>
    </row>
    <row r="164" spans="1:9" x14ac:dyDescent="0.25">
      <c r="A164" s="113" t="s">
        <v>31</v>
      </c>
      <c r="B164" s="1" t="s">
        <v>185</v>
      </c>
      <c r="H164"/>
      <c r="I164"/>
    </row>
    <row r="165" spans="1:9" x14ac:dyDescent="0.25">
      <c r="A165" s="114"/>
      <c r="B165" s="5" t="s">
        <v>31</v>
      </c>
      <c r="C165" s="3" t="s">
        <v>347</v>
      </c>
      <c r="D165" s="3" t="s">
        <v>572</v>
      </c>
      <c r="E165" s="36">
        <v>1</v>
      </c>
      <c r="F165" s="36" t="s">
        <v>916</v>
      </c>
      <c r="G165" s="29">
        <v>0</v>
      </c>
      <c r="H165" s="11">
        <v>1259.9000000000001</v>
      </c>
      <c r="I165" s="11">
        <v>1259.9000000000001</v>
      </c>
    </row>
    <row r="166" spans="1:9" x14ac:dyDescent="0.25">
      <c r="A166" s="114"/>
      <c r="B166" s="6" t="s">
        <v>160</v>
      </c>
      <c r="C166" s="4" t="s">
        <v>348</v>
      </c>
      <c r="D166" s="4" t="s">
        <v>571</v>
      </c>
      <c r="E166" s="41">
        <v>1</v>
      </c>
      <c r="F166" s="41" t="s">
        <v>916</v>
      </c>
      <c r="G166" s="30">
        <v>0</v>
      </c>
      <c r="H166" s="12">
        <v>1259.9000000000001</v>
      </c>
      <c r="I166" s="12">
        <v>1259.9000000000001</v>
      </c>
    </row>
    <row r="167" spans="1:9" x14ac:dyDescent="0.25">
      <c r="A167" s="114"/>
      <c r="B167" s="6" t="s">
        <v>136</v>
      </c>
      <c r="C167" s="4" t="s">
        <v>580</v>
      </c>
      <c r="D167" s="4" t="s">
        <v>562</v>
      </c>
      <c r="E167" s="41">
        <v>1</v>
      </c>
      <c r="F167" s="41" t="s">
        <v>916</v>
      </c>
      <c r="G167" s="30">
        <v>0</v>
      </c>
      <c r="H167" s="12">
        <v>1259.9000000000001</v>
      </c>
      <c r="I167" s="12">
        <v>1259.9000000000001</v>
      </c>
    </row>
    <row r="168" spans="1:9" x14ac:dyDescent="0.25">
      <c r="A168" s="114"/>
      <c r="B168" s="6" t="s">
        <v>578</v>
      </c>
      <c r="C168" s="4" t="s">
        <v>579</v>
      </c>
      <c r="D168" s="4" t="s">
        <v>575</v>
      </c>
      <c r="E168" s="41" t="s">
        <v>546</v>
      </c>
      <c r="F168" s="41" t="s">
        <v>916</v>
      </c>
      <c r="G168" s="30">
        <v>0</v>
      </c>
      <c r="H168" s="12">
        <v>1259.9000000000001</v>
      </c>
      <c r="I168" s="12">
        <v>1259.9000000000001</v>
      </c>
    </row>
    <row r="169" spans="1:9" x14ac:dyDescent="0.25">
      <c r="A169" s="114"/>
      <c r="B169" s="6" t="s">
        <v>1092</v>
      </c>
      <c r="C169" s="4" t="s">
        <v>349</v>
      </c>
      <c r="D169" s="4" t="s">
        <v>1091</v>
      </c>
      <c r="E169" s="41">
        <v>1</v>
      </c>
      <c r="F169" s="41" t="s">
        <v>916</v>
      </c>
      <c r="G169" s="30">
        <v>0</v>
      </c>
      <c r="H169" s="12">
        <v>1259.9000000000001</v>
      </c>
      <c r="I169" s="12">
        <v>1259.9000000000001</v>
      </c>
    </row>
    <row r="170" spans="1:9" x14ac:dyDescent="0.25">
      <c r="A170" s="113" t="s">
        <v>20</v>
      </c>
      <c r="B170" s="1" t="s">
        <v>183</v>
      </c>
      <c r="H170"/>
      <c r="I170"/>
    </row>
    <row r="171" spans="1:9" x14ac:dyDescent="0.25">
      <c r="A171" s="114"/>
      <c r="B171" s="5" t="s">
        <v>20</v>
      </c>
      <c r="C171" s="3" t="s">
        <v>343</v>
      </c>
      <c r="D171" s="3" t="s">
        <v>572</v>
      </c>
      <c r="E171" s="36">
        <v>1</v>
      </c>
      <c r="F171" s="36" t="s">
        <v>916</v>
      </c>
      <c r="G171" s="29">
        <v>0</v>
      </c>
      <c r="H171" s="11">
        <v>2999.9</v>
      </c>
      <c r="I171" s="11">
        <v>2999.9</v>
      </c>
    </row>
    <row r="172" spans="1:9" x14ac:dyDescent="0.25">
      <c r="A172" s="114"/>
      <c r="B172" s="6" t="s">
        <v>135</v>
      </c>
      <c r="C172" s="4" t="s">
        <v>345</v>
      </c>
      <c r="D172" s="4" t="s">
        <v>562</v>
      </c>
      <c r="E172" s="41">
        <v>1</v>
      </c>
      <c r="F172" s="41" t="s">
        <v>916</v>
      </c>
      <c r="G172" s="30">
        <v>0</v>
      </c>
      <c r="H172" s="12">
        <v>2999.9</v>
      </c>
      <c r="I172" s="12">
        <v>2999.9</v>
      </c>
    </row>
    <row r="173" spans="1:9" x14ac:dyDescent="0.25">
      <c r="A173" s="114"/>
      <c r="B173" s="6" t="s">
        <v>1086</v>
      </c>
      <c r="C173" s="4" t="s">
        <v>344</v>
      </c>
      <c r="D173" s="4" t="s">
        <v>1091</v>
      </c>
      <c r="E173" s="41" t="s">
        <v>546</v>
      </c>
      <c r="F173" s="41" t="s">
        <v>916</v>
      </c>
      <c r="G173" s="30">
        <v>0</v>
      </c>
      <c r="H173" s="12">
        <v>2999.9</v>
      </c>
      <c r="I173" s="12">
        <v>2999.9</v>
      </c>
    </row>
    <row r="174" spans="1:9" x14ac:dyDescent="0.25">
      <c r="A174" s="113" t="s">
        <v>10</v>
      </c>
      <c r="B174" s="1" t="s">
        <v>174</v>
      </c>
      <c r="H174"/>
      <c r="I174"/>
    </row>
    <row r="175" spans="1:9" x14ac:dyDescent="0.25">
      <c r="A175" s="114"/>
      <c r="B175" s="5" t="s">
        <v>10</v>
      </c>
      <c r="C175" s="3" t="s">
        <v>331</v>
      </c>
      <c r="D175" s="3" t="s">
        <v>572</v>
      </c>
      <c r="E175" s="36">
        <v>1</v>
      </c>
      <c r="F175" s="36" t="s">
        <v>916</v>
      </c>
      <c r="G175" s="29">
        <v>0</v>
      </c>
      <c r="H175" s="11">
        <v>1799.9</v>
      </c>
      <c r="I175" s="11">
        <v>1799.9</v>
      </c>
    </row>
    <row r="176" spans="1:9" x14ac:dyDescent="0.25">
      <c r="A176" s="114"/>
      <c r="B176" s="6" t="s">
        <v>134</v>
      </c>
      <c r="C176" s="4" t="s">
        <v>333</v>
      </c>
      <c r="D176" s="4" t="s">
        <v>562</v>
      </c>
      <c r="E176" s="41">
        <v>1</v>
      </c>
      <c r="F176" s="41" t="s">
        <v>916</v>
      </c>
      <c r="G176" s="30">
        <v>0</v>
      </c>
      <c r="H176" s="12">
        <v>1799.9</v>
      </c>
      <c r="I176" s="12">
        <v>1799.9</v>
      </c>
    </row>
    <row r="177" spans="1:9" x14ac:dyDescent="0.25">
      <c r="A177" s="114"/>
      <c r="B177" s="6" t="s">
        <v>1087</v>
      </c>
      <c r="C177" s="4" t="s">
        <v>332</v>
      </c>
      <c r="D177" s="4" t="s">
        <v>1091</v>
      </c>
      <c r="E177" s="41" t="s">
        <v>546</v>
      </c>
      <c r="F177" s="41" t="s">
        <v>916</v>
      </c>
      <c r="G177" s="30">
        <v>0</v>
      </c>
      <c r="H177" s="12">
        <v>1799.9</v>
      </c>
      <c r="I177" s="12">
        <v>1799.9</v>
      </c>
    </row>
    <row r="178" spans="1:9" x14ac:dyDescent="0.25">
      <c r="A178" s="113" t="s">
        <v>9</v>
      </c>
      <c r="B178" s="1" t="s">
        <v>173</v>
      </c>
      <c r="H178"/>
      <c r="I178"/>
    </row>
    <row r="179" spans="1:9" x14ac:dyDescent="0.25">
      <c r="A179" s="114"/>
      <c r="B179" s="5" t="s">
        <v>9</v>
      </c>
      <c r="C179" s="3" t="s">
        <v>328</v>
      </c>
      <c r="D179" s="3" t="s">
        <v>572</v>
      </c>
      <c r="E179" s="36">
        <v>1</v>
      </c>
      <c r="F179" s="36" t="s">
        <v>916</v>
      </c>
      <c r="G179" s="29">
        <v>0</v>
      </c>
      <c r="H179" s="11">
        <v>2929.9</v>
      </c>
      <c r="I179" s="11">
        <v>2929.9</v>
      </c>
    </row>
    <row r="180" spans="1:9" x14ac:dyDescent="0.25">
      <c r="A180" s="114"/>
      <c r="B180" s="6" t="s">
        <v>133</v>
      </c>
      <c r="C180" s="4" t="s">
        <v>330</v>
      </c>
      <c r="D180" s="4" t="s">
        <v>562</v>
      </c>
      <c r="E180" s="41">
        <v>1</v>
      </c>
      <c r="F180" s="41" t="s">
        <v>916</v>
      </c>
      <c r="G180" s="30">
        <v>0</v>
      </c>
      <c r="H180" s="12">
        <v>2929.9</v>
      </c>
      <c r="I180" s="12">
        <v>2929.9</v>
      </c>
    </row>
    <row r="181" spans="1:9" x14ac:dyDescent="0.25">
      <c r="A181" s="114"/>
      <c r="B181" s="6" t="s">
        <v>1088</v>
      </c>
      <c r="C181" s="4" t="s">
        <v>329</v>
      </c>
      <c r="D181" s="4" t="s">
        <v>1091</v>
      </c>
      <c r="E181" s="41">
        <v>1</v>
      </c>
      <c r="F181" s="41" t="s">
        <v>916</v>
      </c>
      <c r="G181" s="30">
        <v>0</v>
      </c>
      <c r="H181" s="12">
        <v>2929.9</v>
      </c>
      <c r="I181" s="12">
        <v>2929.9</v>
      </c>
    </row>
    <row r="182" spans="1:9" x14ac:dyDescent="0.25">
      <c r="A182" s="113" t="s">
        <v>8</v>
      </c>
      <c r="B182" s="1" t="s">
        <v>172</v>
      </c>
      <c r="H182"/>
      <c r="I182"/>
    </row>
    <row r="183" spans="1:9" x14ac:dyDescent="0.25">
      <c r="A183" s="114"/>
      <c r="B183" s="5" t="s">
        <v>8</v>
      </c>
      <c r="C183" s="3" t="s">
        <v>325</v>
      </c>
      <c r="D183" s="3" t="s">
        <v>572</v>
      </c>
      <c r="E183" s="36">
        <v>1</v>
      </c>
      <c r="F183" s="36" t="s">
        <v>916</v>
      </c>
      <c r="G183" s="29">
        <v>0</v>
      </c>
      <c r="H183" s="11">
        <v>7513.9</v>
      </c>
      <c r="I183" s="11">
        <v>7513.9</v>
      </c>
    </row>
    <row r="184" spans="1:9" x14ac:dyDescent="0.25">
      <c r="A184" s="114"/>
      <c r="B184" s="6" t="s">
        <v>132</v>
      </c>
      <c r="C184" s="4" t="s">
        <v>327</v>
      </c>
      <c r="D184" s="4" t="s">
        <v>562</v>
      </c>
      <c r="E184" s="41">
        <v>1</v>
      </c>
      <c r="F184" s="41" t="s">
        <v>916</v>
      </c>
      <c r="G184" s="30">
        <v>0</v>
      </c>
      <c r="H184" s="12">
        <v>7513.9</v>
      </c>
      <c r="I184" s="12">
        <v>7513.9</v>
      </c>
    </row>
    <row r="185" spans="1:9" x14ac:dyDescent="0.25">
      <c r="A185" s="114"/>
      <c r="B185" s="6" t="s">
        <v>576</v>
      </c>
      <c r="C185" s="4" t="s">
        <v>577</v>
      </c>
      <c r="D185" s="4" t="s">
        <v>575</v>
      </c>
      <c r="E185" s="41" t="s">
        <v>546</v>
      </c>
      <c r="F185" s="41" t="s">
        <v>916</v>
      </c>
      <c r="G185" s="30">
        <v>0</v>
      </c>
      <c r="H185" s="12">
        <v>7513.9</v>
      </c>
      <c r="I185" s="12">
        <v>7513.9</v>
      </c>
    </row>
    <row r="186" spans="1:9" x14ac:dyDescent="0.25">
      <c r="A186" s="114"/>
      <c r="B186" s="6" t="s">
        <v>1089</v>
      </c>
      <c r="C186" s="4" t="s">
        <v>326</v>
      </c>
      <c r="D186" s="4" t="s">
        <v>1091</v>
      </c>
      <c r="E186" s="41">
        <v>1</v>
      </c>
      <c r="F186" s="41" t="s">
        <v>916</v>
      </c>
      <c r="G186" s="30">
        <v>0</v>
      </c>
      <c r="H186" s="12">
        <v>7513.9</v>
      </c>
      <c r="I186" s="12">
        <v>7513.9</v>
      </c>
    </row>
    <row r="187" spans="1:9" x14ac:dyDescent="0.25">
      <c r="A187" s="113" t="s">
        <v>7</v>
      </c>
      <c r="B187" s="1" t="s">
        <v>171</v>
      </c>
      <c r="H187"/>
      <c r="I187"/>
    </row>
    <row r="188" spans="1:9" x14ac:dyDescent="0.25">
      <c r="A188" s="114"/>
      <c r="B188" s="5" t="s">
        <v>7</v>
      </c>
      <c r="C188" s="3" t="s">
        <v>322</v>
      </c>
      <c r="D188" s="3" t="s">
        <v>572</v>
      </c>
      <c r="E188" s="36">
        <v>1</v>
      </c>
      <c r="F188" s="36" t="s">
        <v>916</v>
      </c>
      <c r="G188" s="29">
        <v>0</v>
      </c>
      <c r="H188" s="11">
        <v>11269.9</v>
      </c>
      <c r="I188" s="11">
        <v>11269.9</v>
      </c>
    </row>
    <row r="189" spans="1:9" x14ac:dyDescent="0.25">
      <c r="A189" s="114"/>
      <c r="B189" s="6" t="s">
        <v>131</v>
      </c>
      <c r="C189" s="4" t="s">
        <v>324</v>
      </c>
      <c r="D189" s="4" t="s">
        <v>562</v>
      </c>
      <c r="E189" s="41">
        <v>1</v>
      </c>
      <c r="F189" s="41" t="s">
        <v>916</v>
      </c>
      <c r="G189" s="30">
        <v>0</v>
      </c>
      <c r="H189" s="12">
        <v>11269.9</v>
      </c>
      <c r="I189" s="12">
        <v>11269.9</v>
      </c>
    </row>
    <row r="190" spans="1:9" x14ac:dyDescent="0.25">
      <c r="A190" s="114"/>
      <c r="B190" s="6" t="s">
        <v>573</v>
      </c>
      <c r="C190" s="4" t="s">
        <v>574</v>
      </c>
      <c r="D190" s="4" t="s">
        <v>575</v>
      </c>
      <c r="E190" s="41" t="s">
        <v>546</v>
      </c>
      <c r="F190" s="41" t="s">
        <v>916</v>
      </c>
      <c r="G190" s="30">
        <v>0</v>
      </c>
      <c r="H190" s="12">
        <v>11269.9</v>
      </c>
      <c r="I190" s="12">
        <v>11269.9</v>
      </c>
    </row>
    <row r="191" spans="1:9" x14ac:dyDescent="0.25">
      <c r="A191" s="114"/>
      <c r="B191" s="6" t="s">
        <v>1090</v>
      </c>
      <c r="C191" s="4" t="s">
        <v>323</v>
      </c>
      <c r="D191" s="4" t="s">
        <v>1091</v>
      </c>
      <c r="E191" s="41">
        <v>1</v>
      </c>
      <c r="F191" s="41" t="s">
        <v>916</v>
      </c>
      <c r="G191" s="30">
        <v>0</v>
      </c>
      <c r="H191" s="12">
        <v>11269.9</v>
      </c>
      <c r="I191" s="12">
        <v>11269.9</v>
      </c>
    </row>
    <row r="192" spans="1:9" x14ac:dyDescent="0.25">
      <c r="A192" s="113" t="s">
        <v>16</v>
      </c>
      <c r="B192" s="1" t="s">
        <v>179</v>
      </c>
      <c r="H192"/>
      <c r="I192"/>
    </row>
    <row r="193" spans="1:9" x14ac:dyDescent="0.25">
      <c r="A193" s="114"/>
      <c r="B193" s="5" t="s">
        <v>16</v>
      </c>
      <c r="C193" s="3" t="s">
        <v>339</v>
      </c>
      <c r="D193" s="3" t="s">
        <v>546</v>
      </c>
      <c r="E193" s="36">
        <v>1</v>
      </c>
      <c r="F193" s="36" t="s">
        <v>916</v>
      </c>
      <c r="G193" s="29">
        <v>0</v>
      </c>
      <c r="H193" s="11">
        <v>899.9</v>
      </c>
      <c r="I193" s="11">
        <v>899.9</v>
      </c>
    </row>
    <row r="194" spans="1:9" x14ac:dyDescent="0.25">
      <c r="A194" s="113" t="s">
        <v>17</v>
      </c>
      <c r="B194" s="1" t="s">
        <v>180</v>
      </c>
      <c r="H194"/>
      <c r="I194"/>
    </row>
    <row r="195" spans="1:9" x14ac:dyDescent="0.25">
      <c r="A195" s="114"/>
      <c r="B195" s="5" t="s">
        <v>17</v>
      </c>
      <c r="C195" s="3" t="s">
        <v>340</v>
      </c>
      <c r="D195" s="3" t="s">
        <v>546</v>
      </c>
      <c r="E195" s="36">
        <v>1</v>
      </c>
      <c r="F195" s="36" t="s">
        <v>916</v>
      </c>
      <c r="G195" s="29">
        <v>0</v>
      </c>
      <c r="H195" s="11">
        <v>1499.9</v>
      </c>
      <c r="I195" s="11">
        <v>1499.9</v>
      </c>
    </row>
    <row r="196" spans="1:9" x14ac:dyDescent="0.25">
      <c r="A196" s="113" t="s">
        <v>18</v>
      </c>
      <c r="B196" s="1" t="s">
        <v>181</v>
      </c>
      <c r="H196"/>
      <c r="I196"/>
    </row>
    <row r="197" spans="1:9" x14ac:dyDescent="0.25">
      <c r="A197" s="114"/>
      <c r="B197" s="5" t="s">
        <v>18</v>
      </c>
      <c r="C197" s="3" t="s">
        <v>341</v>
      </c>
      <c r="D197" s="3" t="s">
        <v>546</v>
      </c>
      <c r="E197" s="36">
        <v>1</v>
      </c>
      <c r="F197" s="36" t="s">
        <v>916</v>
      </c>
      <c r="G197" s="29">
        <v>0</v>
      </c>
      <c r="H197" s="11">
        <v>1724.9</v>
      </c>
      <c r="I197" s="11">
        <v>1724.9</v>
      </c>
    </row>
    <row r="198" spans="1:9" x14ac:dyDescent="0.25">
      <c r="A198" s="113" t="s">
        <v>19</v>
      </c>
      <c r="B198" s="1" t="s">
        <v>182</v>
      </c>
      <c r="H198"/>
      <c r="I198"/>
    </row>
    <row r="199" spans="1:9" x14ac:dyDescent="0.25">
      <c r="A199" s="114"/>
      <c r="B199" s="5" t="s">
        <v>19</v>
      </c>
      <c r="C199" s="3" t="s">
        <v>342</v>
      </c>
      <c r="D199" s="3" t="s">
        <v>546</v>
      </c>
      <c r="E199" s="36">
        <v>1</v>
      </c>
      <c r="F199" s="36" t="s">
        <v>916</v>
      </c>
      <c r="G199" s="29">
        <v>0</v>
      </c>
      <c r="H199" s="11">
        <v>2029.9</v>
      </c>
      <c r="I199" s="11">
        <v>2029.9</v>
      </c>
    </row>
    <row r="200" spans="1:9" x14ac:dyDescent="0.25">
      <c r="A200" s="113" t="s">
        <v>34</v>
      </c>
      <c r="B200" s="1" t="s">
        <v>184</v>
      </c>
      <c r="H200"/>
      <c r="I200"/>
    </row>
    <row r="201" spans="1:9" x14ac:dyDescent="0.25">
      <c r="A201" s="114"/>
      <c r="B201" s="5" t="s">
        <v>34</v>
      </c>
      <c r="C201" s="3" t="s">
        <v>346</v>
      </c>
      <c r="D201" s="3" t="s">
        <v>572</v>
      </c>
      <c r="E201" s="36">
        <v>1</v>
      </c>
      <c r="F201" s="36" t="s">
        <v>916</v>
      </c>
      <c r="G201" s="29">
        <v>0</v>
      </c>
      <c r="H201" s="11">
        <v>229.9</v>
      </c>
      <c r="I201" s="11">
        <v>229.9</v>
      </c>
    </row>
    <row r="202" spans="1:9" x14ac:dyDescent="0.25">
      <c r="A202" s="113" t="s">
        <v>50</v>
      </c>
      <c r="B202" s="1" t="s">
        <v>189</v>
      </c>
      <c r="H202"/>
      <c r="I202"/>
    </row>
    <row r="203" spans="1:9" x14ac:dyDescent="0.25">
      <c r="A203" s="114"/>
      <c r="B203" s="5" t="s">
        <v>50</v>
      </c>
      <c r="C203" s="3" t="s">
        <v>355</v>
      </c>
      <c r="D203" s="3" t="s">
        <v>546</v>
      </c>
      <c r="E203" s="36">
        <v>1</v>
      </c>
      <c r="F203" s="36" t="s">
        <v>916</v>
      </c>
      <c r="G203" s="29">
        <v>0</v>
      </c>
      <c r="H203" s="11">
        <v>529.9</v>
      </c>
      <c r="I203" s="11">
        <v>529.9</v>
      </c>
    </row>
    <row r="204" spans="1:9" x14ac:dyDescent="0.25">
      <c r="A204" s="113" t="s">
        <v>1244</v>
      </c>
      <c r="B204" s="1" t="s">
        <v>1342</v>
      </c>
      <c r="H204"/>
      <c r="I204"/>
    </row>
    <row r="205" spans="1:9" x14ac:dyDescent="0.25">
      <c r="A205" s="114"/>
      <c r="B205" s="5" t="s">
        <v>1244</v>
      </c>
      <c r="C205" s="3" t="s">
        <v>1270</v>
      </c>
      <c r="D205" s="3" t="s">
        <v>546</v>
      </c>
      <c r="E205" s="36">
        <v>1</v>
      </c>
      <c r="F205" s="36" t="s">
        <v>916</v>
      </c>
      <c r="G205" s="29">
        <v>0</v>
      </c>
      <c r="H205" s="11">
        <v>554.9</v>
      </c>
      <c r="I205" s="11">
        <v>554.9</v>
      </c>
    </row>
    <row r="206" spans="1:9" x14ac:dyDescent="0.25">
      <c r="A206" s="113" t="s">
        <v>1426</v>
      </c>
      <c r="B206" s="1" t="s">
        <v>1427</v>
      </c>
      <c r="H206"/>
      <c r="I206"/>
    </row>
    <row r="207" spans="1:9" x14ac:dyDescent="0.25">
      <c r="A207" s="114"/>
      <c r="B207" s="5" t="s">
        <v>1426</v>
      </c>
      <c r="C207" s="3" t="s">
        <v>1428</v>
      </c>
      <c r="D207" s="3" t="s">
        <v>546</v>
      </c>
      <c r="E207" s="36" t="s">
        <v>546</v>
      </c>
      <c r="F207" s="36" t="s">
        <v>916</v>
      </c>
      <c r="G207" s="29">
        <v>0</v>
      </c>
      <c r="H207" s="11">
        <v>389.9</v>
      </c>
      <c r="I207" s="11">
        <v>389.9</v>
      </c>
    </row>
    <row r="208" spans="1:9" x14ac:dyDescent="0.25">
      <c r="A208" s="113" t="s">
        <v>1651</v>
      </c>
      <c r="B208" s="1" t="s">
        <v>1652</v>
      </c>
      <c r="H208"/>
      <c r="I208"/>
    </row>
    <row r="209" spans="1:9" x14ac:dyDescent="0.25">
      <c r="A209" s="114"/>
      <c r="B209" s="5" t="s">
        <v>1651</v>
      </c>
      <c r="C209" s="3" t="s">
        <v>1653</v>
      </c>
      <c r="D209" s="3" t="s">
        <v>546</v>
      </c>
      <c r="E209" s="36" t="s">
        <v>546</v>
      </c>
      <c r="F209" s="36" t="s">
        <v>916</v>
      </c>
      <c r="G209" s="29">
        <v>0</v>
      </c>
      <c r="H209" s="11">
        <v>269.89999999999998</v>
      </c>
      <c r="I209" s="11">
        <v>269.89999999999998</v>
      </c>
    </row>
    <row r="210" spans="1:9" x14ac:dyDescent="0.25">
      <c r="A210" s="10" t="s">
        <v>505</v>
      </c>
      <c r="B210" s="7"/>
      <c r="C210" s="7"/>
      <c r="D210" s="7"/>
      <c r="E210" s="7"/>
      <c r="F210" s="7"/>
      <c r="G210" s="7"/>
      <c r="H210" s="7"/>
      <c r="I210" s="7"/>
    </row>
    <row r="211" spans="1:9" x14ac:dyDescent="0.25">
      <c r="A211" s="113" t="s">
        <v>504</v>
      </c>
      <c r="B211" s="1" t="s">
        <v>911</v>
      </c>
      <c r="H211"/>
      <c r="I211"/>
    </row>
    <row r="212" spans="1:9" x14ac:dyDescent="0.25">
      <c r="A212" s="114"/>
      <c r="B212" s="5" t="s">
        <v>504</v>
      </c>
      <c r="C212" s="3" t="s">
        <v>507</v>
      </c>
      <c r="D212" s="3" t="s">
        <v>572</v>
      </c>
      <c r="E212" s="36">
        <v>1</v>
      </c>
      <c r="F212" s="36" t="s">
        <v>924</v>
      </c>
      <c r="G212" s="29">
        <v>0</v>
      </c>
      <c r="H212" s="11">
        <v>4979.8999999999996</v>
      </c>
      <c r="I212" s="11">
        <v>4979.8999999999996</v>
      </c>
    </row>
    <row r="213" spans="1:9" x14ac:dyDescent="0.25">
      <c r="A213" s="114"/>
      <c r="B213" s="6" t="s">
        <v>925</v>
      </c>
      <c r="C213" s="4" t="s">
        <v>926</v>
      </c>
      <c r="D213" s="4" t="s">
        <v>903</v>
      </c>
      <c r="E213" s="41">
        <v>1</v>
      </c>
      <c r="F213" s="41" t="s">
        <v>924</v>
      </c>
      <c r="G213" s="30">
        <v>0</v>
      </c>
      <c r="H213" s="12">
        <v>4979.8999999999996</v>
      </c>
      <c r="I213" s="12">
        <v>4979.8999999999996</v>
      </c>
    </row>
    <row r="214" spans="1:9" x14ac:dyDescent="0.25">
      <c r="A214" s="113" t="s">
        <v>506</v>
      </c>
      <c r="B214" s="1" t="s">
        <v>912</v>
      </c>
      <c r="H214"/>
      <c r="I214"/>
    </row>
    <row r="215" spans="1:9" x14ac:dyDescent="0.25">
      <c r="A215" s="114"/>
      <c r="B215" s="5" t="s">
        <v>506</v>
      </c>
      <c r="C215" s="3" t="s">
        <v>508</v>
      </c>
      <c r="D215" s="3" t="s">
        <v>572</v>
      </c>
      <c r="E215" s="36">
        <v>1</v>
      </c>
      <c r="F215" s="36" t="s">
        <v>924</v>
      </c>
      <c r="G215" s="29">
        <v>0</v>
      </c>
      <c r="H215" s="11">
        <v>7959.9</v>
      </c>
      <c r="I215" s="11">
        <v>7959.9</v>
      </c>
    </row>
    <row r="216" spans="1:9" x14ac:dyDescent="0.25">
      <c r="A216" s="114"/>
      <c r="B216" s="6" t="s">
        <v>927</v>
      </c>
      <c r="C216" s="4" t="s">
        <v>928</v>
      </c>
      <c r="D216" s="4" t="s">
        <v>903</v>
      </c>
      <c r="E216" s="41">
        <v>1</v>
      </c>
      <c r="F216" s="41" t="s">
        <v>924</v>
      </c>
      <c r="G216" s="30">
        <v>0</v>
      </c>
      <c r="H216" s="12">
        <v>7959.9</v>
      </c>
      <c r="I216" s="12">
        <v>7959.9</v>
      </c>
    </row>
    <row r="217" spans="1:9" x14ac:dyDescent="0.25">
      <c r="A217" s="113" t="s">
        <v>1236</v>
      </c>
      <c r="B217" s="1" t="s">
        <v>1237</v>
      </c>
      <c r="H217"/>
      <c r="I217"/>
    </row>
    <row r="218" spans="1:9" x14ac:dyDescent="0.25">
      <c r="A218" s="114"/>
      <c r="B218" s="5" t="s">
        <v>1236</v>
      </c>
      <c r="C218" s="3" t="s">
        <v>1268</v>
      </c>
      <c r="D218" s="3" t="s">
        <v>546</v>
      </c>
      <c r="E218" s="36">
        <v>1</v>
      </c>
      <c r="F218" s="36" t="s">
        <v>924</v>
      </c>
      <c r="G218" s="29">
        <v>0</v>
      </c>
      <c r="H218" s="11">
        <v>5499.9</v>
      </c>
      <c r="I218" s="11">
        <v>5499.9</v>
      </c>
    </row>
    <row r="219" spans="1:9" x14ac:dyDescent="0.25">
      <c r="A219" s="113" t="s">
        <v>1238</v>
      </c>
      <c r="B219" s="1" t="s">
        <v>1239</v>
      </c>
      <c r="H219"/>
      <c r="I219"/>
    </row>
    <row r="220" spans="1:9" x14ac:dyDescent="0.25">
      <c r="A220" s="114"/>
      <c r="B220" s="5" t="s">
        <v>1238</v>
      </c>
      <c r="C220" s="3" t="s">
        <v>1269</v>
      </c>
      <c r="D220" s="3" t="s">
        <v>546</v>
      </c>
      <c r="E220" s="36">
        <v>1</v>
      </c>
      <c r="F220" s="36" t="s">
        <v>924</v>
      </c>
      <c r="G220" s="29">
        <v>0</v>
      </c>
      <c r="H220" s="11">
        <v>8779.9</v>
      </c>
      <c r="I220" s="11">
        <v>8779.9</v>
      </c>
    </row>
    <row r="221" spans="1:9" x14ac:dyDescent="0.25">
      <c r="A221" s="10" t="s">
        <v>734</v>
      </c>
      <c r="B221" s="7"/>
      <c r="C221" s="7"/>
      <c r="D221" s="7"/>
      <c r="E221" s="7"/>
      <c r="F221" s="7"/>
      <c r="G221" s="7"/>
      <c r="H221" s="7"/>
      <c r="I221" s="7"/>
    </row>
    <row r="222" spans="1:9" x14ac:dyDescent="0.25">
      <c r="A222" s="113" t="s">
        <v>44</v>
      </c>
      <c r="B222" s="1" t="s">
        <v>233</v>
      </c>
      <c r="H222"/>
      <c r="I222"/>
    </row>
    <row r="223" spans="1:9" x14ac:dyDescent="0.25">
      <c r="A223" s="114"/>
      <c r="B223" s="5" t="s">
        <v>44</v>
      </c>
      <c r="C223" s="3" t="s">
        <v>369</v>
      </c>
      <c r="D223" s="3" t="s">
        <v>572</v>
      </c>
      <c r="E223" s="36">
        <v>4</v>
      </c>
      <c r="F223" s="36" t="s">
        <v>918</v>
      </c>
      <c r="G223" s="29">
        <v>0</v>
      </c>
      <c r="H223" s="11">
        <v>1226.9000000000001</v>
      </c>
      <c r="I223" s="11">
        <v>1226.9000000000001</v>
      </c>
    </row>
    <row r="224" spans="1:9" x14ac:dyDescent="0.25">
      <c r="A224" s="114"/>
      <c r="B224" s="6" t="s">
        <v>1751</v>
      </c>
      <c r="C224" s="4" t="s">
        <v>735</v>
      </c>
      <c r="D224" s="4" t="s">
        <v>903</v>
      </c>
      <c r="E224" s="41">
        <v>4</v>
      </c>
      <c r="F224" s="41" t="s">
        <v>918</v>
      </c>
      <c r="G224" s="30">
        <v>0</v>
      </c>
      <c r="H224" s="12">
        <v>1226.9000000000001</v>
      </c>
      <c r="I224" s="12">
        <v>1226.9000000000001</v>
      </c>
    </row>
    <row r="225" spans="1:9" x14ac:dyDescent="0.25">
      <c r="A225" s="10" t="s">
        <v>546</v>
      </c>
      <c r="B225" s="7"/>
      <c r="C225" s="7"/>
      <c r="D225" s="7"/>
      <c r="E225" s="7"/>
      <c r="F225" s="7"/>
      <c r="G225" s="7"/>
      <c r="H225" s="7"/>
      <c r="I225" s="7"/>
    </row>
    <row r="226" spans="1:9" x14ac:dyDescent="0.25">
      <c r="A226" s="113" t="s">
        <v>1838</v>
      </c>
      <c r="B226" s="1" t="s">
        <v>1208</v>
      </c>
      <c r="H226"/>
      <c r="I226"/>
    </row>
    <row r="227" spans="1:9" x14ac:dyDescent="0.25">
      <c r="A227" s="114"/>
      <c r="B227" s="5" t="s">
        <v>1838</v>
      </c>
      <c r="C227" s="3" t="s">
        <v>1839</v>
      </c>
      <c r="D227" s="3" t="s">
        <v>546</v>
      </c>
      <c r="E227" s="36" t="s">
        <v>546</v>
      </c>
      <c r="F227" s="36" t="s">
        <v>916</v>
      </c>
      <c r="G227" s="29">
        <v>0</v>
      </c>
      <c r="H227" s="11">
        <v>169.9</v>
      </c>
      <c r="I227" s="11">
        <v>169.9</v>
      </c>
    </row>
    <row r="228" spans="1:9" x14ac:dyDescent="0.25">
      <c r="A228" s="10" t="s">
        <v>1205</v>
      </c>
      <c r="B228" s="7"/>
      <c r="C228" s="7"/>
      <c r="D228" s="7"/>
      <c r="E228" s="7"/>
      <c r="F228" s="7"/>
      <c r="G228" s="7"/>
      <c r="H228" s="7"/>
      <c r="I228" s="7"/>
    </row>
    <row r="229" spans="1:9" x14ac:dyDescent="0.25">
      <c r="A229" s="113" t="s">
        <v>1677</v>
      </c>
      <c r="B229" s="1" t="s">
        <v>1678</v>
      </c>
      <c r="H229"/>
      <c r="I229"/>
    </row>
    <row r="230" spans="1:9" x14ac:dyDescent="0.25">
      <c r="A230" s="114"/>
      <c r="B230" s="5" t="s">
        <v>1677</v>
      </c>
      <c r="C230" s="3" t="s">
        <v>1679</v>
      </c>
      <c r="D230" s="3" t="s">
        <v>1382</v>
      </c>
      <c r="E230" s="36" t="s">
        <v>546</v>
      </c>
      <c r="F230" s="36" t="s">
        <v>924</v>
      </c>
      <c r="G230" s="29">
        <v>0</v>
      </c>
      <c r="H230" s="11">
        <v>3124.9</v>
      </c>
      <c r="I230" s="11">
        <v>3124.9</v>
      </c>
    </row>
    <row r="231" spans="1:9" x14ac:dyDescent="0.25">
      <c r="A231" s="114"/>
      <c r="B231" s="6" t="s">
        <v>1745</v>
      </c>
      <c r="C231" s="4" t="s">
        <v>1746</v>
      </c>
      <c r="D231" s="4" t="s">
        <v>903</v>
      </c>
      <c r="E231" s="41" t="s">
        <v>546</v>
      </c>
      <c r="F231" s="41" t="s">
        <v>924</v>
      </c>
      <c r="G231" s="30">
        <v>0</v>
      </c>
      <c r="H231" s="12">
        <v>3124.9</v>
      </c>
      <c r="I231" s="12">
        <v>3124.9</v>
      </c>
    </row>
    <row r="232" spans="1:9" x14ac:dyDescent="0.25">
      <c r="A232" s="114"/>
      <c r="B232" s="6" t="s">
        <v>1747</v>
      </c>
      <c r="C232" s="4" t="s">
        <v>1748</v>
      </c>
      <c r="D232" s="4" t="s">
        <v>570</v>
      </c>
      <c r="E232" s="41" t="s">
        <v>546</v>
      </c>
      <c r="F232" s="41" t="s">
        <v>924</v>
      </c>
      <c r="G232" s="30">
        <v>0</v>
      </c>
      <c r="H232" s="12">
        <v>3124.9</v>
      </c>
      <c r="I232" s="12">
        <v>3124.9</v>
      </c>
    </row>
    <row r="233" spans="1:9" x14ac:dyDescent="0.25">
      <c r="A233" s="113" t="s">
        <v>1683</v>
      </c>
      <c r="B233" s="1" t="s">
        <v>1686</v>
      </c>
      <c r="H233"/>
      <c r="I233"/>
    </row>
    <row r="234" spans="1:9" x14ac:dyDescent="0.25">
      <c r="A234" s="114"/>
      <c r="B234" s="5" t="s">
        <v>1683</v>
      </c>
      <c r="C234" s="3" t="s">
        <v>1690</v>
      </c>
      <c r="D234" s="3" t="s">
        <v>1382</v>
      </c>
      <c r="E234" s="36" t="s">
        <v>546</v>
      </c>
      <c r="F234" s="36" t="s">
        <v>1689</v>
      </c>
      <c r="G234" s="29" t="s">
        <v>546</v>
      </c>
      <c r="H234" s="11" t="s">
        <v>1693</v>
      </c>
      <c r="I234" s="11" t="s">
        <v>1693</v>
      </c>
    </row>
    <row r="235" spans="1:9" x14ac:dyDescent="0.25">
      <c r="A235" s="114"/>
      <c r="B235" s="6" t="s">
        <v>1739</v>
      </c>
      <c r="C235" s="4" t="s">
        <v>1742</v>
      </c>
      <c r="D235" s="4" t="s">
        <v>903</v>
      </c>
      <c r="E235" s="41" t="s">
        <v>546</v>
      </c>
      <c r="F235" s="41" t="s">
        <v>1689</v>
      </c>
      <c r="G235" s="30" t="s">
        <v>546</v>
      </c>
      <c r="H235" s="12" t="s">
        <v>1693</v>
      </c>
      <c r="I235" s="12" t="s">
        <v>1693</v>
      </c>
    </row>
    <row r="236" spans="1:9" x14ac:dyDescent="0.25">
      <c r="A236" s="113" t="s">
        <v>1684</v>
      </c>
      <c r="B236" s="1" t="s">
        <v>1687</v>
      </c>
      <c r="H236"/>
      <c r="I236"/>
    </row>
    <row r="237" spans="1:9" x14ac:dyDescent="0.25">
      <c r="A237" s="114"/>
      <c r="B237" s="5" t="s">
        <v>1684</v>
      </c>
      <c r="C237" s="3" t="s">
        <v>1691</v>
      </c>
      <c r="D237" s="3" t="s">
        <v>1382</v>
      </c>
      <c r="E237" s="36" t="s">
        <v>546</v>
      </c>
      <c r="F237" s="36" t="s">
        <v>1689</v>
      </c>
      <c r="G237" s="29" t="s">
        <v>546</v>
      </c>
      <c r="H237" s="11" t="s">
        <v>1693</v>
      </c>
      <c r="I237" s="11" t="s">
        <v>1693</v>
      </c>
    </row>
    <row r="238" spans="1:9" x14ac:dyDescent="0.25">
      <c r="A238" s="114"/>
      <c r="B238" s="6" t="s">
        <v>1740</v>
      </c>
      <c r="C238" s="4" t="s">
        <v>1743</v>
      </c>
      <c r="D238" s="4" t="s">
        <v>903</v>
      </c>
      <c r="E238" s="41" t="s">
        <v>546</v>
      </c>
      <c r="F238" s="41" t="s">
        <v>1689</v>
      </c>
      <c r="G238" s="30" t="s">
        <v>546</v>
      </c>
      <c r="H238" s="12" t="s">
        <v>1693</v>
      </c>
      <c r="I238" s="12" t="s">
        <v>1693</v>
      </c>
    </row>
    <row r="239" spans="1:9" x14ac:dyDescent="0.25">
      <c r="A239" s="113" t="s">
        <v>1685</v>
      </c>
      <c r="B239" s="1" t="s">
        <v>1688</v>
      </c>
      <c r="H239"/>
      <c r="I239"/>
    </row>
    <row r="240" spans="1:9" x14ac:dyDescent="0.25">
      <c r="A240" s="114"/>
      <c r="B240" s="5" t="s">
        <v>1685</v>
      </c>
      <c r="C240" s="3" t="s">
        <v>1692</v>
      </c>
      <c r="D240" s="3" t="s">
        <v>1382</v>
      </c>
      <c r="E240" s="36" t="s">
        <v>546</v>
      </c>
      <c r="F240" s="36" t="s">
        <v>1689</v>
      </c>
      <c r="G240" s="29" t="s">
        <v>546</v>
      </c>
      <c r="H240" s="11" t="s">
        <v>1693</v>
      </c>
      <c r="I240" s="11" t="s">
        <v>1693</v>
      </c>
    </row>
    <row r="241" spans="1:9" x14ac:dyDescent="0.25">
      <c r="A241" s="114"/>
      <c r="B241" s="6" t="s">
        <v>1741</v>
      </c>
      <c r="C241" s="4" t="s">
        <v>1744</v>
      </c>
      <c r="D241" s="4" t="s">
        <v>903</v>
      </c>
      <c r="E241" s="41" t="s">
        <v>546</v>
      </c>
      <c r="F241" s="41" t="s">
        <v>1689</v>
      </c>
      <c r="G241" s="30" t="s">
        <v>546</v>
      </c>
      <c r="H241" s="12" t="s">
        <v>1693</v>
      </c>
      <c r="I241" s="12" t="s">
        <v>1693</v>
      </c>
    </row>
    <row r="242" spans="1:9" x14ac:dyDescent="0.25">
      <c r="A242" s="115" t="s">
        <v>1011</v>
      </c>
      <c r="B242" s="116"/>
      <c r="C242" s="116"/>
      <c r="D242" s="116"/>
      <c r="E242" s="116"/>
      <c r="F242" s="116"/>
      <c r="G242" s="116"/>
      <c r="H242" s="116"/>
      <c r="I242" s="116"/>
    </row>
    <row r="243" spans="1:9" x14ac:dyDescent="0.25">
      <c r="A243" s="10" t="s">
        <v>482</v>
      </c>
      <c r="B243" s="7"/>
      <c r="C243" s="7"/>
      <c r="D243" s="7"/>
      <c r="E243" s="7"/>
      <c r="F243" s="7"/>
      <c r="G243" s="7"/>
      <c r="H243" s="7"/>
      <c r="I243" s="7"/>
    </row>
    <row r="244" spans="1:9" x14ac:dyDescent="0.25">
      <c r="A244" s="113" t="s">
        <v>986</v>
      </c>
      <c r="B244" s="1" t="s">
        <v>1016</v>
      </c>
      <c r="H244"/>
      <c r="I244"/>
    </row>
    <row r="245" spans="1:9" x14ac:dyDescent="0.25">
      <c r="A245" s="114"/>
      <c r="B245" s="5" t="s">
        <v>986</v>
      </c>
      <c r="C245" s="3" t="s">
        <v>1017</v>
      </c>
      <c r="D245" s="3" t="s">
        <v>546</v>
      </c>
      <c r="E245" s="36">
        <v>6</v>
      </c>
      <c r="F245" s="36" t="s">
        <v>919</v>
      </c>
      <c r="G245" s="29">
        <v>0</v>
      </c>
      <c r="H245" s="11">
        <v>743.9</v>
      </c>
      <c r="I245" s="11">
        <v>743.9</v>
      </c>
    </row>
    <row r="246" spans="1:9" x14ac:dyDescent="0.25">
      <c r="A246" s="113" t="s">
        <v>987</v>
      </c>
      <c r="B246" s="1" t="s">
        <v>1018</v>
      </c>
      <c r="H246"/>
      <c r="I246"/>
    </row>
    <row r="247" spans="1:9" x14ac:dyDescent="0.25">
      <c r="A247" s="114"/>
      <c r="B247" s="5" t="s">
        <v>987</v>
      </c>
      <c r="C247" s="3" t="s">
        <v>1019</v>
      </c>
      <c r="D247" s="3" t="s">
        <v>546</v>
      </c>
      <c r="E247" s="36">
        <v>4</v>
      </c>
      <c r="F247" s="36" t="s">
        <v>919</v>
      </c>
      <c r="G247" s="29">
        <v>0</v>
      </c>
      <c r="H247" s="11">
        <v>1409.9</v>
      </c>
      <c r="I247" s="11">
        <v>1409.9</v>
      </c>
    </row>
    <row r="248" spans="1:9" x14ac:dyDescent="0.25">
      <c r="A248" s="113" t="s">
        <v>988</v>
      </c>
      <c r="B248" s="1" t="s">
        <v>1020</v>
      </c>
      <c r="H248"/>
      <c r="I248"/>
    </row>
    <row r="249" spans="1:9" x14ac:dyDescent="0.25">
      <c r="A249" s="114"/>
      <c r="B249" s="5" t="s">
        <v>988</v>
      </c>
      <c r="C249" s="3" t="s">
        <v>1021</v>
      </c>
      <c r="D249" s="3" t="s">
        <v>546</v>
      </c>
      <c r="E249" s="36">
        <v>3</v>
      </c>
      <c r="F249" s="36" t="s">
        <v>919</v>
      </c>
      <c r="G249" s="29">
        <v>0</v>
      </c>
      <c r="H249" s="11">
        <v>2231.9</v>
      </c>
      <c r="I249" s="11">
        <v>2231.9</v>
      </c>
    </row>
    <row r="250" spans="1:9" x14ac:dyDescent="0.25">
      <c r="A250" s="10" t="s">
        <v>899</v>
      </c>
      <c r="B250" s="7"/>
      <c r="C250" s="7"/>
      <c r="D250" s="7"/>
      <c r="E250" s="7"/>
      <c r="F250" s="7"/>
      <c r="G250" s="7"/>
      <c r="H250" s="7"/>
      <c r="I250" s="7"/>
    </row>
    <row r="251" spans="1:9" x14ac:dyDescent="0.25">
      <c r="A251" s="113" t="s">
        <v>989</v>
      </c>
      <c r="B251" s="1" t="s">
        <v>1022</v>
      </c>
      <c r="H251"/>
      <c r="I251"/>
    </row>
    <row r="252" spans="1:9" x14ac:dyDescent="0.25">
      <c r="A252" s="114"/>
      <c r="B252" s="5" t="s">
        <v>989</v>
      </c>
      <c r="C252" s="3" t="s">
        <v>1023</v>
      </c>
      <c r="D252" s="3" t="s">
        <v>546</v>
      </c>
      <c r="E252" s="36">
        <v>4</v>
      </c>
      <c r="F252" s="36" t="s">
        <v>919</v>
      </c>
      <c r="G252" s="29">
        <v>0</v>
      </c>
      <c r="H252" s="11">
        <v>1339.9</v>
      </c>
      <c r="I252" s="11">
        <v>1339.9</v>
      </c>
    </row>
    <row r="253" spans="1:9" x14ac:dyDescent="0.25">
      <c r="A253" s="113" t="s">
        <v>990</v>
      </c>
      <c r="B253" s="1" t="s">
        <v>1024</v>
      </c>
      <c r="H253"/>
      <c r="I253"/>
    </row>
    <row r="254" spans="1:9" x14ac:dyDescent="0.25">
      <c r="A254" s="114"/>
      <c r="B254" s="5" t="s">
        <v>990</v>
      </c>
      <c r="C254" s="3" t="s">
        <v>1025</v>
      </c>
      <c r="D254" s="3" t="s">
        <v>546</v>
      </c>
      <c r="E254" s="36">
        <v>3</v>
      </c>
      <c r="F254" s="36" t="s">
        <v>919</v>
      </c>
      <c r="G254" s="29">
        <v>0</v>
      </c>
      <c r="H254" s="11">
        <v>2268</v>
      </c>
      <c r="I254" s="11">
        <v>2268</v>
      </c>
    </row>
    <row r="255" spans="1:9" x14ac:dyDescent="0.25">
      <c r="A255" s="10" t="s">
        <v>1013</v>
      </c>
      <c r="B255" s="7"/>
      <c r="C255" s="7"/>
      <c r="D255" s="7"/>
      <c r="E255" s="7"/>
      <c r="F255" s="7"/>
      <c r="G255" s="7"/>
      <c r="H255" s="7"/>
      <c r="I255" s="7"/>
    </row>
    <row r="256" spans="1:9" x14ac:dyDescent="0.25">
      <c r="A256" s="113" t="s">
        <v>991</v>
      </c>
      <c r="B256" s="1" t="s">
        <v>1026</v>
      </c>
      <c r="H256"/>
      <c r="I256"/>
    </row>
    <row r="257" spans="1:9" x14ac:dyDescent="0.25">
      <c r="A257" s="114"/>
      <c r="B257" s="5" t="s">
        <v>991</v>
      </c>
      <c r="C257" s="3" t="s">
        <v>1027</v>
      </c>
      <c r="D257" s="3" t="s">
        <v>546</v>
      </c>
      <c r="E257" s="36">
        <v>4</v>
      </c>
      <c r="F257" s="36" t="s">
        <v>919</v>
      </c>
      <c r="G257" s="29">
        <v>0</v>
      </c>
      <c r="H257" s="11">
        <v>999.9</v>
      </c>
      <c r="I257" s="11">
        <v>999.9</v>
      </c>
    </row>
    <row r="258" spans="1:9" x14ac:dyDescent="0.25">
      <c r="A258" s="113" t="s">
        <v>992</v>
      </c>
      <c r="B258" s="1" t="s">
        <v>1028</v>
      </c>
      <c r="H258"/>
      <c r="I258"/>
    </row>
    <row r="259" spans="1:9" x14ac:dyDescent="0.25">
      <c r="A259" s="114"/>
      <c r="B259" s="5" t="s">
        <v>992</v>
      </c>
      <c r="C259" s="3" t="s">
        <v>1029</v>
      </c>
      <c r="D259" s="3" t="s">
        <v>546</v>
      </c>
      <c r="E259" s="36">
        <v>12</v>
      </c>
      <c r="F259" s="36" t="s">
        <v>919</v>
      </c>
      <c r="G259" s="29">
        <v>0</v>
      </c>
      <c r="H259" s="11">
        <v>629.9</v>
      </c>
      <c r="I259" s="11">
        <v>629.9</v>
      </c>
    </row>
    <row r="260" spans="1:9" x14ac:dyDescent="0.25">
      <c r="A260" s="10" t="s">
        <v>1014</v>
      </c>
      <c r="B260" s="7"/>
      <c r="C260" s="7"/>
      <c r="D260" s="7"/>
      <c r="E260" s="7"/>
      <c r="F260" s="7"/>
      <c r="G260" s="7"/>
      <c r="H260" s="7"/>
      <c r="I260" s="7"/>
    </row>
    <row r="261" spans="1:9" x14ac:dyDescent="0.25">
      <c r="A261" s="113" t="s">
        <v>1694</v>
      </c>
      <c r="B261" s="1" t="s">
        <v>1695</v>
      </c>
      <c r="H261"/>
      <c r="I261"/>
    </row>
    <row r="262" spans="1:9" x14ac:dyDescent="0.25">
      <c r="A262" s="114"/>
      <c r="B262" s="5" t="s">
        <v>1694</v>
      </c>
      <c r="C262" s="3" t="s">
        <v>1696</v>
      </c>
      <c r="D262" s="3" t="s">
        <v>546</v>
      </c>
      <c r="E262" s="36" t="s">
        <v>546</v>
      </c>
      <c r="F262" s="36" t="s">
        <v>919</v>
      </c>
      <c r="G262" s="29">
        <v>0</v>
      </c>
      <c r="H262" s="11">
        <v>1999.9</v>
      </c>
      <c r="I262" s="11">
        <v>1999.9</v>
      </c>
    </row>
    <row r="263" spans="1:9" x14ac:dyDescent="0.25">
      <c r="A263" s="10" t="s">
        <v>1012</v>
      </c>
      <c r="B263" s="7"/>
      <c r="C263" s="7"/>
      <c r="D263" s="7"/>
      <c r="E263" s="7"/>
      <c r="F263" s="7"/>
      <c r="G263" s="7"/>
      <c r="H263" s="7"/>
      <c r="I263" s="7"/>
    </row>
    <row r="264" spans="1:9" x14ac:dyDescent="0.25">
      <c r="A264" s="113" t="s">
        <v>995</v>
      </c>
      <c r="B264" s="1" t="s">
        <v>1034</v>
      </c>
      <c r="H264"/>
      <c r="I264"/>
    </row>
    <row r="265" spans="1:9" x14ac:dyDescent="0.25">
      <c r="A265" s="114"/>
      <c r="B265" s="5" t="s">
        <v>995</v>
      </c>
      <c r="C265" s="3" t="s">
        <v>1035</v>
      </c>
      <c r="D265" s="3" t="s">
        <v>546</v>
      </c>
      <c r="E265" s="36">
        <v>48</v>
      </c>
      <c r="F265" s="36" t="s">
        <v>919</v>
      </c>
      <c r="G265" s="29">
        <v>0</v>
      </c>
      <c r="H265" s="11">
        <v>74.900000000000006</v>
      </c>
      <c r="I265" s="11">
        <v>74.900000000000006</v>
      </c>
    </row>
    <row r="266" spans="1:9" x14ac:dyDescent="0.25">
      <c r="A266" s="113" t="s">
        <v>996</v>
      </c>
      <c r="B266" s="1" t="s">
        <v>1036</v>
      </c>
      <c r="H266"/>
      <c r="I266"/>
    </row>
    <row r="267" spans="1:9" x14ac:dyDescent="0.25">
      <c r="A267" s="114"/>
      <c r="B267" s="5" t="s">
        <v>996</v>
      </c>
      <c r="C267" s="3" t="s">
        <v>1037</v>
      </c>
      <c r="D267" s="3" t="s">
        <v>546</v>
      </c>
      <c r="E267" s="36">
        <v>48</v>
      </c>
      <c r="F267" s="36" t="s">
        <v>919</v>
      </c>
      <c r="G267" s="29">
        <v>0</v>
      </c>
      <c r="H267" s="11">
        <v>74.900000000000006</v>
      </c>
      <c r="I267" s="11">
        <v>74.900000000000006</v>
      </c>
    </row>
    <row r="268" spans="1:9" x14ac:dyDescent="0.25">
      <c r="A268" s="113" t="s">
        <v>997</v>
      </c>
      <c r="B268" s="1" t="s">
        <v>1038</v>
      </c>
      <c r="H268"/>
      <c r="I268"/>
    </row>
    <row r="269" spans="1:9" x14ac:dyDescent="0.25">
      <c r="A269" s="114"/>
      <c r="B269" s="5" t="s">
        <v>997</v>
      </c>
      <c r="C269" s="3" t="s">
        <v>1039</v>
      </c>
      <c r="D269" s="3" t="s">
        <v>546</v>
      </c>
      <c r="E269" s="36">
        <v>48</v>
      </c>
      <c r="F269" s="36" t="s">
        <v>919</v>
      </c>
      <c r="G269" s="29">
        <v>0</v>
      </c>
      <c r="H269" s="11">
        <v>74.900000000000006</v>
      </c>
      <c r="I269" s="11">
        <v>74.900000000000006</v>
      </c>
    </row>
    <row r="270" spans="1:9" x14ac:dyDescent="0.25">
      <c r="A270" s="113" t="s">
        <v>998</v>
      </c>
      <c r="B270" s="1" t="s">
        <v>1040</v>
      </c>
      <c r="H270"/>
      <c r="I270"/>
    </row>
    <row r="271" spans="1:9" x14ac:dyDescent="0.25">
      <c r="A271" s="114"/>
      <c r="B271" s="5" t="s">
        <v>998</v>
      </c>
      <c r="C271" s="3" t="s">
        <v>1041</v>
      </c>
      <c r="D271" s="3" t="s">
        <v>546</v>
      </c>
      <c r="E271" s="36">
        <v>48</v>
      </c>
      <c r="F271" s="36" t="s">
        <v>919</v>
      </c>
      <c r="G271" s="29">
        <v>0</v>
      </c>
      <c r="H271" s="11">
        <v>74.900000000000006</v>
      </c>
      <c r="I271" s="11">
        <v>74.900000000000006</v>
      </c>
    </row>
    <row r="272" spans="1:9" x14ac:dyDescent="0.25">
      <c r="A272" s="113" t="s">
        <v>999</v>
      </c>
      <c r="B272" s="1" t="s">
        <v>1042</v>
      </c>
      <c r="H272"/>
      <c r="I272"/>
    </row>
    <row r="273" spans="1:9" x14ac:dyDescent="0.25">
      <c r="A273" s="114"/>
      <c r="B273" s="5" t="s">
        <v>999</v>
      </c>
      <c r="C273" s="3" t="s">
        <v>1043</v>
      </c>
      <c r="D273" s="3" t="s">
        <v>546</v>
      </c>
      <c r="E273" s="36">
        <v>48</v>
      </c>
      <c r="F273" s="36" t="s">
        <v>919</v>
      </c>
      <c r="G273" s="29">
        <v>0</v>
      </c>
      <c r="H273" s="11">
        <v>74.900000000000006</v>
      </c>
      <c r="I273" s="11">
        <v>74.900000000000006</v>
      </c>
    </row>
    <row r="274" spans="1:9" x14ac:dyDescent="0.25">
      <c r="A274" s="113" t="s">
        <v>1000</v>
      </c>
      <c r="B274" s="1" t="s">
        <v>1044</v>
      </c>
      <c r="H274"/>
      <c r="I274"/>
    </row>
    <row r="275" spans="1:9" x14ac:dyDescent="0.25">
      <c r="A275" s="114"/>
      <c r="B275" s="5" t="s">
        <v>1000</v>
      </c>
      <c r="C275" s="3" t="s">
        <v>1045</v>
      </c>
      <c r="D275" s="3" t="s">
        <v>546</v>
      </c>
      <c r="E275" s="36">
        <v>48</v>
      </c>
      <c r="F275" s="36" t="s">
        <v>919</v>
      </c>
      <c r="G275" s="29">
        <v>0</v>
      </c>
      <c r="H275" s="11">
        <v>74.900000000000006</v>
      </c>
      <c r="I275" s="11">
        <v>74.900000000000006</v>
      </c>
    </row>
    <row r="276" spans="1:9" x14ac:dyDescent="0.25">
      <c r="A276" s="113" t="s">
        <v>1001</v>
      </c>
      <c r="B276" s="1" t="s">
        <v>1046</v>
      </c>
      <c r="H276"/>
      <c r="I276"/>
    </row>
    <row r="277" spans="1:9" x14ac:dyDescent="0.25">
      <c r="A277" s="114"/>
      <c r="B277" s="5" t="s">
        <v>1001</v>
      </c>
      <c r="C277" s="3" t="s">
        <v>1047</v>
      </c>
      <c r="D277" s="3" t="s">
        <v>546</v>
      </c>
      <c r="E277" s="36">
        <v>48</v>
      </c>
      <c r="F277" s="36" t="s">
        <v>919</v>
      </c>
      <c r="G277" s="29">
        <v>0</v>
      </c>
      <c r="H277" s="11">
        <v>74.900000000000006</v>
      </c>
      <c r="I277" s="11">
        <v>74.900000000000006</v>
      </c>
    </row>
    <row r="278" spans="1:9" x14ac:dyDescent="0.25">
      <c r="A278" s="113" t="s">
        <v>1002</v>
      </c>
      <c r="B278" s="1" t="s">
        <v>1048</v>
      </c>
      <c r="H278"/>
      <c r="I278"/>
    </row>
    <row r="279" spans="1:9" x14ac:dyDescent="0.25">
      <c r="A279" s="114"/>
      <c r="B279" s="5" t="s">
        <v>1002</v>
      </c>
      <c r="C279" s="3" t="s">
        <v>1049</v>
      </c>
      <c r="D279" s="3" t="s">
        <v>546</v>
      </c>
      <c r="E279" s="36">
        <v>48</v>
      </c>
      <c r="F279" s="36" t="s">
        <v>919</v>
      </c>
      <c r="G279" s="29">
        <v>0</v>
      </c>
      <c r="H279" s="11">
        <v>74.900000000000006</v>
      </c>
      <c r="I279" s="11">
        <v>74.900000000000006</v>
      </c>
    </row>
    <row r="280" spans="1:9" x14ac:dyDescent="0.25">
      <c r="A280" s="113" t="s">
        <v>1003</v>
      </c>
      <c r="B280" s="1" t="s">
        <v>1050</v>
      </c>
      <c r="H280"/>
      <c r="I280"/>
    </row>
    <row r="281" spans="1:9" x14ac:dyDescent="0.25">
      <c r="A281" s="114"/>
      <c r="B281" s="5" t="s">
        <v>1003</v>
      </c>
      <c r="C281" s="3" t="s">
        <v>1051</v>
      </c>
      <c r="D281" s="3" t="s">
        <v>546</v>
      </c>
      <c r="E281" s="36">
        <v>48</v>
      </c>
      <c r="F281" s="36" t="s">
        <v>919</v>
      </c>
      <c r="G281" s="29">
        <v>0</v>
      </c>
      <c r="H281" s="11">
        <v>74.900000000000006</v>
      </c>
      <c r="I281" s="11">
        <v>74.900000000000006</v>
      </c>
    </row>
    <row r="282" spans="1:9" x14ac:dyDescent="0.25">
      <c r="A282" s="113" t="s">
        <v>1004</v>
      </c>
      <c r="B282" s="1" t="s">
        <v>1052</v>
      </c>
      <c r="H282"/>
      <c r="I282"/>
    </row>
    <row r="283" spans="1:9" x14ac:dyDescent="0.25">
      <c r="A283" s="114"/>
      <c r="B283" s="5" t="s">
        <v>1004</v>
      </c>
      <c r="C283" s="3" t="s">
        <v>1053</v>
      </c>
      <c r="D283" s="3" t="s">
        <v>546</v>
      </c>
      <c r="E283" s="36">
        <v>48</v>
      </c>
      <c r="F283" s="36" t="s">
        <v>919</v>
      </c>
      <c r="G283" s="29">
        <v>0</v>
      </c>
      <c r="H283" s="11">
        <v>74.900000000000006</v>
      </c>
      <c r="I283" s="11">
        <v>74.900000000000006</v>
      </c>
    </row>
    <row r="284" spans="1:9" x14ac:dyDescent="0.25">
      <c r="A284" s="113" t="s">
        <v>1005</v>
      </c>
      <c r="B284" s="1" t="s">
        <v>1054</v>
      </c>
      <c r="H284"/>
      <c r="I284"/>
    </row>
    <row r="285" spans="1:9" x14ac:dyDescent="0.25">
      <c r="A285" s="114"/>
      <c r="B285" s="5" t="s">
        <v>1005</v>
      </c>
      <c r="C285" s="3" t="s">
        <v>1055</v>
      </c>
      <c r="D285" s="3" t="s">
        <v>546</v>
      </c>
      <c r="E285" s="36">
        <v>48</v>
      </c>
      <c r="F285" s="36" t="s">
        <v>919</v>
      </c>
      <c r="G285" s="29">
        <v>0</v>
      </c>
      <c r="H285" s="11">
        <v>74.900000000000006</v>
      </c>
      <c r="I285" s="11">
        <v>74.900000000000006</v>
      </c>
    </row>
    <row r="286" spans="1:9" x14ac:dyDescent="0.25">
      <c r="A286" s="113" t="s">
        <v>1006</v>
      </c>
      <c r="B286" s="1" t="s">
        <v>1056</v>
      </c>
      <c r="H286"/>
      <c r="I286"/>
    </row>
    <row r="287" spans="1:9" x14ac:dyDescent="0.25">
      <c r="A287" s="114"/>
      <c r="B287" s="5" t="s">
        <v>1006</v>
      </c>
      <c r="C287" s="3" t="s">
        <v>1057</v>
      </c>
      <c r="D287" s="3" t="s">
        <v>546</v>
      </c>
      <c r="E287" s="36">
        <v>48</v>
      </c>
      <c r="F287" s="36" t="s">
        <v>919</v>
      </c>
      <c r="G287" s="29">
        <v>0</v>
      </c>
      <c r="H287" s="11">
        <v>74.900000000000006</v>
      </c>
      <c r="I287" s="11">
        <v>74.900000000000006</v>
      </c>
    </row>
    <row r="288" spans="1:9" x14ac:dyDescent="0.25">
      <c r="A288" s="113" t="s">
        <v>1007</v>
      </c>
      <c r="B288" s="1" t="s">
        <v>1058</v>
      </c>
      <c r="H288"/>
      <c r="I288"/>
    </row>
    <row r="289" spans="1:9" x14ac:dyDescent="0.25">
      <c r="A289" s="114"/>
      <c r="B289" s="5" t="s">
        <v>1007</v>
      </c>
      <c r="C289" s="3" t="s">
        <v>1059</v>
      </c>
      <c r="D289" s="3" t="s">
        <v>546</v>
      </c>
      <c r="E289" s="36">
        <v>48</v>
      </c>
      <c r="F289" s="36" t="s">
        <v>919</v>
      </c>
      <c r="G289" s="29">
        <v>0</v>
      </c>
      <c r="H289" s="11">
        <v>74.900000000000006</v>
      </c>
      <c r="I289" s="11">
        <v>74.900000000000006</v>
      </c>
    </row>
    <row r="290" spans="1:9" x14ac:dyDescent="0.25">
      <c r="A290" s="113" t="s">
        <v>1008</v>
      </c>
      <c r="B290" s="1" t="s">
        <v>1060</v>
      </c>
      <c r="H290"/>
      <c r="I290"/>
    </row>
    <row r="291" spans="1:9" x14ac:dyDescent="0.25">
      <c r="A291" s="114"/>
      <c r="B291" s="5" t="s">
        <v>1008</v>
      </c>
      <c r="C291" s="3" t="s">
        <v>1061</v>
      </c>
      <c r="D291" s="3" t="s">
        <v>546</v>
      </c>
      <c r="E291" s="36">
        <v>48</v>
      </c>
      <c r="F291" s="36" t="s">
        <v>919</v>
      </c>
      <c r="G291" s="29">
        <v>0</v>
      </c>
      <c r="H291" s="11">
        <v>74.900000000000006</v>
      </c>
      <c r="I291" s="11">
        <v>74.900000000000006</v>
      </c>
    </row>
    <row r="292" spans="1:9" x14ac:dyDescent="0.25">
      <c r="A292" s="113" t="s">
        <v>1009</v>
      </c>
      <c r="B292" s="1" t="s">
        <v>1062</v>
      </c>
      <c r="H292"/>
      <c r="I292"/>
    </row>
    <row r="293" spans="1:9" x14ac:dyDescent="0.25">
      <c r="A293" s="114"/>
      <c r="B293" s="5" t="s">
        <v>1009</v>
      </c>
      <c r="C293" s="3" t="s">
        <v>1063</v>
      </c>
      <c r="D293" s="3" t="s">
        <v>546</v>
      </c>
      <c r="E293" s="36">
        <v>48</v>
      </c>
      <c r="F293" s="36" t="s">
        <v>919</v>
      </c>
      <c r="G293" s="29">
        <v>0</v>
      </c>
      <c r="H293" s="11">
        <v>74.900000000000006</v>
      </c>
      <c r="I293" s="11">
        <v>74.900000000000006</v>
      </c>
    </row>
    <row r="294" spans="1:9" x14ac:dyDescent="0.25">
      <c r="A294" s="113" t="s">
        <v>1010</v>
      </c>
      <c r="B294" s="1" t="s">
        <v>1064</v>
      </c>
      <c r="H294"/>
      <c r="I294"/>
    </row>
    <row r="295" spans="1:9" x14ac:dyDescent="0.25">
      <c r="A295" s="114"/>
      <c r="B295" s="5" t="s">
        <v>1010</v>
      </c>
      <c r="C295" s="3" t="s">
        <v>1065</v>
      </c>
      <c r="D295" s="3" t="s">
        <v>546</v>
      </c>
      <c r="E295" s="36">
        <v>48</v>
      </c>
      <c r="F295" s="36" t="s">
        <v>919</v>
      </c>
      <c r="G295" s="29">
        <v>0</v>
      </c>
      <c r="H295" s="11">
        <v>74.900000000000006</v>
      </c>
      <c r="I295" s="11">
        <v>74.900000000000006</v>
      </c>
    </row>
    <row r="296" spans="1:9" x14ac:dyDescent="0.25">
      <c r="A296" s="113" t="s">
        <v>1172</v>
      </c>
      <c r="B296" s="1" t="s">
        <v>1173</v>
      </c>
      <c r="H296"/>
      <c r="I296"/>
    </row>
    <row r="297" spans="1:9" x14ac:dyDescent="0.25">
      <c r="A297" s="114"/>
      <c r="B297" s="5" t="s">
        <v>1172</v>
      </c>
      <c r="C297" s="3" t="s">
        <v>1174</v>
      </c>
      <c r="D297" s="3" t="s">
        <v>546</v>
      </c>
      <c r="E297" s="36">
        <v>48</v>
      </c>
      <c r="F297" s="36" t="s">
        <v>919</v>
      </c>
      <c r="G297" s="29">
        <v>0</v>
      </c>
      <c r="H297" s="11">
        <v>74.900000000000006</v>
      </c>
      <c r="I297" s="11">
        <v>74.900000000000006</v>
      </c>
    </row>
    <row r="298" spans="1:9" x14ac:dyDescent="0.25">
      <c r="A298" s="113" t="s">
        <v>1212</v>
      </c>
      <c r="B298" s="1" t="s">
        <v>1214</v>
      </c>
      <c r="H298"/>
      <c r="I298"/>
    </row>
    <row r="299" spans="1:9" x14ac:dyDescent="0.25">
      <c r="A299" s="114"/>
      <c r="B299" s="5" t="s">
        <v>1212</v>
      </c>
      <c r="C299" s="3" t="s">
        <v>1213</v>
      </c>
      <c r="D299" s="3" t="s">
        <v>546</v>
      </c>
      <c r="E299" s="36" t="s">
        <v>546</v>
      </c>
      <c r="F299" s="36" t="s">
        <v>919</v>
      </c>
      <c r="G299" s="29">
        <v>0</v>
      </c>
      <c r="H299" s="11">
        <v>179.9</v>
      </c>
      <c r="I299" s="11">
        <v>179.9</v>
      </c>
    </row>
    <row r="300" spans="1:9" x14ac:dyDescent="0.25">
      <c r="A300" s="113" t="s">
        <v>1217</v>
      </c>
      <c r="B300" s="1" t="s">
        <v>1216</v>
      </c>
      <c r="H300"/>
      <c r="I300"/>
    </row>
    <row r="301" spans="1:9" x14ac:dyDescent="0.25">
      <c r="A301" s="114"/>
      <c r="B301" s="5" t="s">
        <v>1217</v>
      </c>
      <c r="C301" s="3" t="s">
        <v>1215</v>
      </c>
      <c r="D301" s="3" t="s">
        <v>546</v>
      </c>
      <c r="E301" s="36">
        <v>48</v>
      </c>
      <c r="F301" s="36" t="s">
        <v>919</v>
      </c>
      <c r="G301" s="29">
        <v>0</v>
      </c>
      <c r="H301" s="11">
        <v>74.900000000000006</v>
      </c>
      <c r="I301" s="11">
        <v>74.900000000000006</v>
      </c>
    </row>
    <row r="302" spans="1:9" x14ac:dyDescent="0.25">
      <c r="A302" s="113" t="s">
        <v>1411</v>
      </c>
      <c r="B302" s="1" t="s">
        <v>1412</v>
      </c>
      <c r="H302"/>
      <c r="I302"/>
    </row>
    <row r="303" spans="1:9" x14ac:dyDescent="0.25">
      <c r="A303" s="114"/>
      <c r="B303" s="5" t="s">
        <v>1411</v>
      </c>
      <c r="C303" s="3" t="s">
        <v>1413</v>
      </c>
      <c r="D303" s="3" t="s">
        <v>546</v>
      </c>
      <c r="E303" s="36">
        <v>48</v>
      </c>
      <c r="F303" s="36" t="s">
        <v>919</v>
      </c>
      <c r="G303" s="29">
        <v>0</v>
      </c>
      <c r="H303" s="11">
        <v>74.900000000000006</v>
      </c>
      <c r="I303" s="11">
        <v>74.900000000000006</v>
      </c>
    </row>
    <row r="304" spans="1:9" x14ac:dyDescent="0.25">
      <c r="A304" s="10" t="s">
        <v>1418</v>
      </c>
      <c r="B304" s="7"/>
      <c r="C304" s="7"/>
      <c r="D304" s="7"/>
      <c r="E304" s="7"/>
      <c r="F304" s="7"/>
      <c r="G304" s="7"/>
      <c r="H304" s="7"/>
      <c r="I304" s="7"/>
    </row>
    <row r="305" spans="1:9" x14ac:dyDescent="0.25">
      <c r="A305" s="113" t="s">
        <v>993</v>
      </c>
      <c r="B305" s="1" t="s">
        <v>1030</v>
      </c>
      <c r="H305"/>
      <c r="I305"/>
    </row>
    <row r="306" spans="1:9" x14ac:dyDescent="0.25">
      <c r="A306" s="114"/>
      <c r="B306" s="5" t="s">
        <v>993</v>
      </c>
      <c r="C306" s="3" t="s">
        <v>1031</v>
      </c>
      <c r="D306" s="3" t="s">
        <v>572</v>
      </c>
      <c r="E306" s="36">
        <v>10</v>
      </c>
      <c r="F306" s="36" t="s">
        <v>919</v>
      </c>
      <c r="G306" s="29">
        <v>0</v>
      </c>
      <c r="H306" s="11">
        <v>629.9</v>
      </c>
      <c r="I306" s="11">
        <v>629.9</v>
      </c>
    </row>
    <row r="307" spans="1:9" x14ac:dyDescent="0.25">
      <c r="A307" s="114"/>
      <c r="B307" s="6" t="s">
        <v>994</v>
      </c>
      <c r="C307" s="4" t="s">
        <v>1032</v>
      </c>
      <c r="D307" s="4" t="s">
        <v>570</v>
      </c>
      <c r="E307" s="41">
        <v>10</v>
      </c>
      <c r="F307" s="41" t="s">
        <v>919</v>
      </c>
      <c r="G307" s="30">
        <v>0</v>
      </c>
      <c r="H307" s="12">
        <v>629.9</v>
      </c>
      <c r="I307" s="12">
        <v>629.9</v>
      </c>
    </row>
    <row r="308" spans="1:9" x14ac:dyDescent="0.25">
      <c r="A308" s="114"/>
      <c r="B308" s="6" t="s">
        <v>1015</v>
      </c>
      <c r="C308" s="4" t="s">
        <v>1033</v>
      </c>
      <c r="D308" s="4" t="s">
        <v>903</v>
      </c>
      <c r="E308" s="41">
        <v>10</v>
      </c>
      <c r="F308" s="41" t="s">
        <v>919</v>
      </c>
      <c r="G308" s="30">
        <v>0</v>
      </c>
      <c r="H308" s="12">
        <v>629.9</v>
      </c>
      <c r="I308" s="12">
        <v>629.9</v>
      </c>
    </row>
    <row r="309" spans="1:9" x14ac:dyDescent="0.25">
      <c r="A309" s="114"/>
      <c r="B309" s="6" t="s">
        <v>1179</v>
      </c>
      <c r="C309" s="4" t="s">
        <v>1182</v>
      </c>
      <c r="D309" s="4" t="s">
        <v>571</v>
      </c>
      <c r="E309" s="41">
        <v>10</v>
      </c>
      <c r="F309" s="41" t="s">
        <v>919</v>
      </c>
      <c r="G309" s="30">
        <v>0</v>
      </c>
      <c r="H309" s="12">
        <v>629.9</v>
      </c>
      <c r="I309" s="12">
        <v>629.9</v>
      </c>
    </row>
    <row r="310" spans="1:9" x14ac:dyDescent="0.25">
      <c r="A310" s="114"/>
      <c r="B310" s="6" t="s">
        <v>1180</v>
      </c>
      <c r="C310" s="4" t="s">
        <v>1183</v>
      </c>
      <c r="D310" s="4" t="s">
        <v>1184</v>
      </c>
      <c r="E310" s="41">
        <v>10</v>
      </c>
      <c r="F310" s="41" t="s">
        <v>919</v>
      </c>
      <c r="G310" s="30">
        <v>0</v>
      </c>
      <c r="H310" s="12">
        <v>629.9</v>
      </c>
      <c r="I310" s="12">
        <v>629.9</v>
      </c>
    </row>
    <row r="311" spans="1:9" x14ac:dyDescent="0.25">
      <c r="A311" s="114"/>
      <c r="B311" s="6" t="s">
        <v>1178</v>
      </c>
      <c r="C311" s="4" t="s">
        <v>1181</v>
      </c>
      <c r="D311" s="4" t="s">
        <v>562</v>
      </c>
      <c r="E311" s="41">
        <v>10</v>
      </c>
      <c r="F311" s="41" t="s">
        <v>919</v>
      </c>
      <c r="G311" s="30">
        <v>0</v>
      </c>
      <c r="H311" s="12">
        <v>629.9</v>
      </c>
      <c r="I311" s="12">
        <v>629.9</v>
      </c>
    </row>
    <row r="312" spans="1:9" x14ac:dyDescent="0.25">
      <c r="A312" s="113" t="s">
        <v>1105</v>
      </c>
      <c r="B312" s="1" t="s">
        <v>1106</v>
      </c>
      <c r="H312"/>
      <c r="I312"/>
    </row>
    <row r="313" spans="1:9" x14ac:dyDescent="0.25">
      <c r="A313" s="114"/>
      <c r="B313" s="5" t="s">
        <v>1105</v>
      </c>
      <c r="C313" s="3" t="s">
        <v>1107</v>
      </c>
      <c r="D313" s="3" t="s">
        <v>546</v>
      </c>
      <c r="E313" s="36">
        <v>20</v>
      </c>
      <c r="F313" s="36" t="s">
        <v>919</v>
      </c>
      <c r="G313" s="29">
        <v>0</v>
      </c>
      <c r="H313" s="11">
        <v>449.9</v>
      </c>
      <c r="I313" s="11">
        <v>449.9</v>
      </c>
    </row>
    <row r="314" spans="1:9" x14ac:dyDescent="0.25">
      <c r="A314" s="113" t="s">
        <v>1108</v>
      </c>
      <c r="B314" s="1" t="s">
        <v>1109</v>
      </c>
      <c r="H314"/>
      <c r="I314"/>
    </row>
    <row r="315" spans="1:9" x14ac:dyDescent="0.25">
      <c r="A315" s="114"/>
      <c r="B315" s="5" t="s">
        <v>1108</v>
      </c>
      <c r="C315" s="3" t="s">
        <v>1110</v>
      </c>
      <c r="D315" s="3" t="s">
        <v>546</v>
      </c>
      <c r="E315" s="36">
        <v>10</v>
      </c>
      <c r="F315" s="36" t="s">
        <v>919</v>
      </c>
      <c r="G315" s="29">
        <v>0</v>
      </c>
      <c r="H315" s="11">
        <v>599.9</v>
      </c>
      <c r="I315" s="11">
        <v>599.9</v>
      </c>
    </row>
    <row r="316" spans="1:9" x14ac:dyDescent="0.25">
      <c r="A316" s="113" t="s">
        <v>1111</v>
      </c>
      <c r="B316" s="1" t="s">
        <v>1112</v>
      </c>
      <c r="H316"/>
      <c r="I316"/>
    </row>
    <row r="317" spans="1:9" x14ac:dyDescent="0.25">
      <c r="A317" s="114"/>
      <c r="B317" s="5" t="s">
        <v>1111</v>
      </c>
      <c r="C317" s="3" t="s">
        <v>1113</v>
      </c>
      <c r="D317" s="3" t="s">
        <v>546</v>
      </c>
      <c r="E317" s="36">
        <v>6</v>
      </c>
      <c r="F317" s="36" t="s">
        <v>919</v>
      </c>
      <c r="G317" s="29">
        <v>0</v>
      </c>
      <c r="H317" s="11">
        <v>1259.9000000000001</v>
      </c>
      <c r="I317" s="11">
        <v>1259.9000000000001</v>
      </c>
    </row>
    <row r="318" spans="1:9" x14ac:dyDescent="0.25">
      <c r="A318" s="113" t="s">
        <v>1114</v>
      </c>
      <c r="B318" s="1" t="s">
        <v>1115</v>
      </c>
      <c r="H318"/>
      <c r="I318"/>
    </row>
    <row r="319" spans="1:9" x14ac:dyDescent="0.25">
      <c r="A319" s="114"/>
      <c r="B319" s="5" t="s">
        <v>1114</v>
      </c>
      <c r="C319" s="3" t="s">
        <v>1116</v>
      </c>
      <c r="D319" s="3" t="s">
        <v>546</v>
      </c>
      <c r="E319" s="36">
        <v>6</v>
      </c>
      <c r="F319" s="36" t="s">
        <v>919</v>
      </c>
      <c r="G319" s="29">
        <v>0</v>
      </c>
      <c r="H319" s="11">
        <v>669.9</v>
      </c>
      <c r="I319" s="11">
        <v>669.9</v>
      </c>
    </row>
    <row r="320" spans="1:9" x14ac:dyDescent="0.25">
      <c r="A320" s="113" t="s">
        <v>1117</v>
      </c>
      <c r="B320" s="1" t="s">
        <v>1118</v>
      </c>
      <c r="H320"/>
      <c r="I320"/>
    </row>
    <row r="321" spans="1:9" x14ac:dyDescent="0.25">
      <c r="A321" s="114"/>
      <c r="B321" s="5" t="s">
        <v>1117</v>
      </c>
      <c r="C321" s="3" t="s">
        <v>1119</v>
      </c>
      <c r="D321" s="3" t="s">
        <v>546</v>
      </c>
      <c r="E321" s="36">
        <v>6</v>
      </c>
      <c r="F321" s="36" t="s">
        <v>919</v>
      </c>
      <c r="G321" s="29">
        <v>0</v>
      </c>
      <c r="H321" s="11">
        <v>669.9</v>
      </c>
      <c r="I321" s="11">
        <v>669.9</v>
      </c>
    </row>
    <row r="322" spans="1:9" x14ac:dyDescent="0.25">
      <c r="A322" s="113" t="s">
        <v>1120</v>
      </c>
      <c r="B322" s="1" t="s">
        <v>1121</v>
      </c>
      <c r="H322"/>
      <c r="I322"/>
    </row>
    <row r="323" spans="1:9" x14ac:dyDescent="0.25">
      <c r="A323" s="114"/>
      <c r="B323" s="5" t="s">
        <v>1120</v>
      </c>
      <c r="C323" s="3" t="s">
        <v>1122</v>
      </c>
      <c r="D323" s="3" t="s">
        <v>546</v>
      </c>
      <c r="E323" s="36">
        <v>6</v>
      </c>
      <c r="F323" s="36" t="s">
        <v>919</v>
      </c>
      <c r="G323" s="29">
        <v>0</v>
      </c>
      <c r="H323" s="11">
        <v>699.9</v>
      </c>
      <c r="I323" s="11">
        <v>699.9</v>
      </c>
    </row>
    <row r="324" spans="1:9" x14ac:dyDescent="0.25">
      <c r="A324" s="113" t="s">
        <v>1123</v>
      </c>
      <c r="B324" s="1" t="s">
        <v>1124</v>
      </c>
      <c r="H324"/>
      <c r="I324"/>
    </row>
    <row r="325" spans="1:9" x14ac:dyDescent="0.25">
      <c r="A325" s="114"/>
      <c r="B325" s="5" t="s">
        <v>1123</v>
      </c>
      <c r="C325" s="3" t="s">
        <v>1125</v>
      </c>
      <c r="D325" s="3" t="s">
        <v>546</v>
      </c>
      <c r="E325" s="36">
        <v>12</v>
      </c>
      <c r="F325" s="36" t="s">
        <v>919</v>
      </c>
      <c r="G325" s="29">
        <v>0</v>
      </c>
      <c r="H325" s="11">
        <v>399.9</v>
      </c>
      <c r="I325" s="11">
        <v>399.9</v>
      </c>
    </row>
    <row r="326" spans="1:9" x14ac:dyDescent="0.25">
      <c r="A326" s="113" t="s">
        <v>1126</v>
      </c>
      <c r="B326" s="1" t="s">
        <v>1127</v>
      </c>
      <c r="H326"/>
      <c r="I326"/>
    </row>
    <row r="327" spans="1:9" x14ac:dyDescent="0.25">
      <c r="A327" s="114"/>
      <c r="B327" s="5" t="s">
        <v>1126</v>
      </c>
      <c r="C327" s="3" t="s">
        <v>1128</v>
      </c>
      <c r="D327" s="3" t="s">
        <v>546</v>
      </c>
      <c r="E327" s="36">
        <v>48</v>
      </c>
      <c r="F327" s="36" t="s">
        <v>919</v>
      </c>
      <c r="G327" s="29">
        <v>0</v>
      </c>
      <c r="H327" s="11">
        <v>334.9</v>
      </c>
      <c r="I327" s="11">
        <v>334.9</v>
      </c>
    </row>
    <row r="328" spans="1:9" x14ac:dyDescent="0.25">
      <c r="A328" s="113" t="s">
        <v>1129</v>
      </c>
      <c r="B328" s="1" t="s">
        <v>1130</v>
      </c>
      <c r="H328"/>
      <c r="I328"/>
    </row>
    <row r="329" spans="1:9" x14ac:dyDescent="0.25">
      <c r="A329" s="114"/>
      <c r="B329" s="5" t="s">
        <v>1129</v>
      </c>
      <c r="C329" s="3" t="s">
        <v>1131</v>
      </c>
      <c r="D329" s="3" t="s">
        <v>546</v>
      </c>
      <c r="E329" s="36">
        <v>24</v>
      </c>
      <c r="F329" s="36" t="s">
        <v>919</v>
      </c>
      <c r="G329" s="29">
        <v>0</v>
      </c>
      <c r="H329" s="11">
        <v>334.9</v>
      </c>
      <c r="I329" s="11">
        <v>334.9</v>
      </c>
    </row>
    <row r="330" spans="1:9" x14ac:dyDescent="0.25">
      <c r="A330" s="113" t="s">
        <v>1132</v>
      </c>
      <c r="B330" s="1" t="s">
        <v>1133</v>
      </c>
      <c r="H330"/>
      <c r="I330"/>
    </row>
    <row r="331" spans="1:9" x14ac:dyDescent="0.25">
      <c r="A331" s="114"/>
      <c r="B331" s="5" t="s">
        <v>1132</v>
      </c>
      <c r="C331" s="3" t="s">
        <v>1134</v>
      </c>
      <c r="D331" s="3" t="s">
        <v>546</v>
      </c>
      <c r="E331" s="36">
        <v>24</v>
      </c>
      <c r="F331" s="36" t="s">
        <v>919</v>
      </c>
      <c r="G331" s="29">
        <v>0</v>
      </c>
      <c r="H331" s="11">
        <v>369.9</v>
      </c>
      <c r="I331" s="11">
        <v>369.9</v>
      </c>
    </row>
    <row r="332" spans="1:9" x14ac:dyDescent="0.25">
      <c r="A332" s="113" t="s">
        <v>1201</v>
      </c>
      <c r="B332" s="1" t="s">
        <v>1191</v>
      </c>
      <c r="H332"/>
      <c r="I332"/>
    </row>
    <row r="333" spans="1:9" x14ac:dyDescent="0.25">
      <c r="A333" s="114"/>
      <c r="B333" s="5" t="s">
        <v>1201</v>
      </c>
      <c r="C333" s="3" t="s">
        <v>1192</v>
      </c>
      <c r="D333" s="3" t="s">
        <v>546</v>
      </c>
      <c r="E333" s="36" t="s">
        <v>546</v>
      </c>
      <c r="F333" s="36" t="s">
        <v>919</v>
      </c>
      <c r="G333" s="29">
        <v>0</v>
      </c>
      <c r="H333" s="11">
        <v>519.9</v>
      </c>
      <c r="I333" s="11">
        <v>519.9</v>
      </c>
    </row>
    <row r="334" spans="1:9" x14ac:dyDescent="0.25">
      <c r="A334" s="113" t="s">
        <v>1209</v>
      </c>
      <c r="B334" s="1" t="s">
        <v>1211</v>
      </c>
      <c r="H334"/>
      <c r="I334"/>
    </row>
    <row r="335" spans="1:9" x14ac:dyDescent="0.25">
      <c r="A335" s="114"/>
      <c r="B335" s="5" t="s">
        <v>1209</v>
      </c>
      <c r="C335" s="3" t="s">
        <v>1210</v>
      </c>
      <c r="D335" s="3" t="s">
        <v>546</v>
      </c>
      <c r="E335" s="36">
        <v>1</v>
      </c>
      <c r="F335" s="36" t="s">
        <v>1196</v>
      </c>
      <c r="G335" s="29" t="s">
        <v>1197</v>
      </c>
      <c r="H335" s="11">
        <v>1339.9</v>
      </c>
      <c r="I335" s="11">
        <v>1339.9</v>
      </c>
    </row>
    <row r="336" spans="1:9" x14ac:dyDescent="0.25">
      <c r="A336" s="113" t="s">
        <v>1218</v>
      </c>
      <c r="B336" s="1" t="s">
        <v>1226</v>
      </c>
      <c r="H336"/>
      <c r="I336"/>
    </row>
    <row r="337" spans="1:9" x14ac:dyDescent="0.25">
      <c r="A337" s="114"/>
      <c r="B337" s="5" t="s">
        <v>1218</v>
      </c>
      <c r="C337" s="3" t="s">
        <v>1221</v>
      </c>
      <c r="D337" s="3" t="s">
        <v>546</v>
      </c>
      <c r="E337" s="36" t="s">
        <v>546</v>
      </c>
      <c r="F337" s="36" t="s">
        <v>918</v>
      </c>
      <c r="G337" s="29">
        <v>0</v>
      </c>
      <c r="H337" s="11">
        <v>184.9</v>
      </c>
      <c r="I337" s="11">
        <v>184.9</v>
      </c>
    </row>
    <row r="338" spans="1:9" x14ac:dyDescent="0.25">
      <c r="A338" s="113" t="s">
        <v>1219</v>
      </c>
      <c r="B338" s="1" t="s">
        <v>1220</v>
      </c>
      <c r="H338"/>
      <c r="I338"/>
    </row>
    <row r="339" spans="1:9" x14ac:dyDescent="0.25">
      <c r="A339" s="114"/>
      <c r="B339" s="5" t="s">
        <v>1219</v>
      </c>
      <c r="C339" s="3" t="s">
        <v>1222</v>
      </c>
      <c r="D339" s="3" t="s">
        <v>546</v>
      </c>
      <c r="E339" s="36" t="s">
        <v>546</v>
      </c>
      <c r="F339" s="36" t="s">
        <v>918</v>
      </c>
      <c r="G339" s="29">
        <v>0</v>
      </c>
      <c r="H339" s="11">
        <v>184.9</v>
      </c>
      <c r="I339" s="11">
        <v>184.9</v>
      </c>
    </row>
    <row r="340" spans="1:9" x14ac:dyDescent="0.25">
      <c r="A340" s="113" t="s">
        <v>1649</v>
      </c>
      <c r="B340" s="1" t="s">
        <v>1831</v>
      </c>
      <c r="H340"/>
      <c r="I340"/>
    </row>
    <row r="341" spans="1:9" x14ac:dyDescent="0.25">
      <c r="A341" s="114"/>
      <c r="B341" s="5" t="s">
        <v>1649</v>
      </c>
      <c r="C341" s="3" t="s">
        <v>1650</v>
      </c>
      <c r="D341" s="3" t="s">
        <v>546</v>
      </c>
      <c r="E341" s="36" t="s">
        <v>546</v>
      </c>
      <c r="F341" s="36" t="s">
        <v>919</v>
      </c>
      <c r="G341" s="29">
        <v>0</v>
      </c>
      <c r="H341" s="11">
        <v>1189.9000000000001</v>
      </c>
      <c r="I341" s="11">
        <v>1189.9000000000001</v>
      </c>
    </row>
    <row r="342" spans="1:9" x14ac:dyDescent="0.25">
      <c r="A342" s="115" t="s">
        <v>309</v>
      </c>
      <c r="B342" s="116"/>
      <c r="C342" s="116"/>
      <c r="D342" s="116"/>
      <c r="E342" s="116"/>
      <c r="F342" s="116"/>
      <c r="G342" s="116"/>
      <c r="H342" s="116"/>
      <c r="I342" s="116"/>
    </row>
    <row r="343" spans="1:9" x14ac:dyDescent="0.25">
      <c r="A343" s="10" t="s">
        <v>1418</v>
      </c>
      <c r="B343" s="7"/>
      <c r="C343" s="7"/>
      <c r="D343" s="7"/>
      <c r="E343" s="7"/>
      <c r="F343" s="7"/>
      <c r="G343" s="7"/>
      <c r="H343" s="7"/>
      <c r="I343" s="7"/>
    </row>
    <row r="344" spans="1:9" x14ac:dyDescent="0.25">
      <c r="A344" s="113" t="s">
        <v>30</v>
      </c>
      <c r="B344" s="1" t="s">
        <v>216</v>
      </c>
      <c r="H344"/>
      <c r="I344"/>
    </row>
    <row r="345" spans="1:9" x14ac:dyDescent="0.25">
      <c r="A345" s="114"/>
      <c r="B345" s="5" t="s">
        <v>30</v>
      </c>
      <c r="C345" s="3" t="s">
        <v>370</v>
      </c>
      <c r="D345" s="3" t="s">
        <v>546</v>
      </c>
      <c r="E345" s="36">
        <v>50</v>
      </c>
      <c r="F345" s="36" t="s">
        <v>920</v>
      </c>
      <c r="G345" s="29">
        <v>0</v>
      </c>
      <c r="H345" s="11">
        <v>319.89999999999998</v>
      </c>
      <c r="I345" s="11">
        <v>319.89999999999998</v>
      </c>
    </row>
    <row r="346" spans="1:9" x14ac:dyDescent="0.25">
      <c r="A346" s="113" t="s">
        <v>120</v>
      </c>
      <c r="B346" s="1" t="s">
        <v>217</v>
      </c>
      <c r="H346"/>
      <c r="I346"/>
    </row>
    <row r="347" spans="1:9" x14ac:dyDescent="0.25">
      <c r="A347" s="114"/>
      <c r="B347" s="5" t="s">
        <v>120</v>
      </c>
      <c r="C347" s="3" t="s">
        <v>371</v>
      </c>
      <c r="D347" s="3" t="s">
        <v>546</v>
      </c>
      <c r="E347" s="36">
        <v>50</v>
      </c>
      <c r="F347" s="36" t="s">
        <v>920</v>
      </c>
      <c r="G347" s="29">
        <v>0</v>
      </c>
      <c r="H347" s="11">
        <v>409.9</v>
      </c>
      <c r="I347" s="11">
        <v>409.9</v>
      </c>
    </row>
    <row r="348" spans="1:9" x14ac:dyDescent="0.25">
      <c r="A348" s="113" t="s">
        <v>121</v>
      </c>
      <c r="B348" s="1" t="s">
        <v>218</v>
      </c>
      <c r="H348"/>
      <c r="I348"/>
    </row>
    <row r="349" spans="1:9" x14ac:dyDescent="0.25">
      <c r="A349" s="114"/>
      <c r="B349" s="5" t="s">
        <v>121</v>
      </c>
      <c r="C349" s="3" t="s">
        <v>372</v>
      </c>
      <c r="D349" s="3" t="s">
        <v>546</v>
      </c>
      <c r="E349" s="36">
        <v>24</v>
      </c>
      <c r="F349" s="36" t="s">
        <v>920</v>
      </c>
      <c r="G349" s="29">
        <v>0</v>
      </c>
      <c r="H349" s="11">
        <v>699.9</v>
      </c>
      <c r="I349" s="11">
        <v>699.9</v>
      </c>
    </row>
    <row r="350" spans="1:9" x14ac:dyDescent="0.25">
      <c r="A350" s="113" t="s">
        <v>122</v>
      </c>
      <c r="B350" s="1" t="s">
        <v>220</v>
      </c>
      <c r="H350"/>
      <c r="I350"/>
    </row>
    <row r="351" spans="1:9" x14ac:dyDescent="0.25">
      <c r="A351" s="114"/>
      <c r="B351" s="5" t="s">
        <v>122</v>
      </c>
      <c r="C351" s="3" t="s">
        <v>373</v>
      </c>
      <c r="D351" s="3" t="s">
        <v>546</v>
      </c>
      <c r="E351" s="36">
        <v>1</v>
      </c>
      <c r="F351" s="36" t="s">
        <v>920</v>
      </c>
      <c r="G351" s="29">
        <v>0</v>
      </c>
      <c r="H351" s="11">
        <v>2379.9</v>
      </c>
      <c r="I351" s="11">
        <v>2379.9</v>
      </c>
    </row>
    <row r="352" spans="1:9" x14ac:dyDescent="0.25">
      <c r="A352" s="113" t="s">
        <v>1081</v>
      </c>
      <c r="B352" s="1" t="s">
        <v>1082</v>
      </c>
      <c r="H352"/>
      <c r="I352"/>
    </row>
    <row r="353" spans="1:9" x14ac:dyDescent="0.25">
      <c r="A353" s="114"/>
      <c r="B353" s="5" t="s">
        <v>1081</v>
      </c>
      <c r="C353" s="3" t="s">
        <v>1083</v>
      </c>
      <c r="D353" s="3" t="s">
        <v>546</v>
      </c>
      <c r="E353" s="36">
        <v>24</v>
      </c>
      <c r="F353" s="36" t="s">
        <v>920</v>
      </c>
      <c r="G353" s="29">
        <v>0</v>
      </c>
      <c r="H353" s="11">
        <v>1039.9000000000001</v>
      </c>
      <c r="I353" s="11">
        <v>1039.9000000000001</v>
      </c>
    </row>
    <row r="354" spans="1:9" x14ac:dyDescent="0.25">
      <c r="A354" s="113" t="s">
        <v>1084</v>
      </c>
      <c r="B354" s="1" t="s">
        <v>219</v>
      </c>
      <c r="H354"/>
      <c r="I354"/>
    </row>
    <row r="355" spans="1:9" x14ac:dyDescent="0.25">
      <c r="A355" s="114"/>
      <c r="B355" s="5" t="s">
        <v>1084</v>
      </c>
      <c r="C355" s="3" t="s">
        <v>1085</v>
      </c>
      <c r="D355" s="3" t="s">
        <v>546</v>
      </c>
      <c r="E355" s="36">
        <v>6</v>
      </c>
      <c r="F355" s="36" t="s">
        <v>920</v>
      </c>
      <c r="G355" s="29">
        <v>0</v>
      </c>
      <c r="H355" s="11">
        <v>999.9</v>
      </c>
      <c r="I355" s="11">
        <v>999.9</v>
      </c>
    </row>
    <row r="356" spans="1:9" x14ac:dyDescent="0.25">
      <c r="A356" s="113" t="s">
        <v>1223</v>
      </c>
      <c r="B356" s="1" t="s">
        <v>1225</v>
      </c>
      <c r="H356"/>
      <c r="I356"/>
    </row>
    <row r="357" spans="1:9" x14ac:dyDescent="0.25">
      <c r="A357" s="114"/>
      <c r="B357" s="5" t="s">
        <v>1223</v>
      </c>
      <c r="C357" s="3" t="s">
        <v>1224</v>
      </c>
      <c r="D357" s="3" t="s">
        <v>546</v>
      </c>
      <c r="E357" s="36" t="s">
        <v>546</v>
      </c>
      <c r="F357" s="36" t="s">
        <v>920</v>
      </c>
      <c r="G357" s="29">
        <v>0</v>
      </c>
      <c r="H357" s="11">
        <v>519.9</v>
      </c>
      <c r="I357" s="11">
        <v>519.9</v>
      </c>
    </row>
    <row r="358" spans="1:9" x14ac:dyDescent="0.25">
      <c r="A358" s="113" t="s">
        <v>1232</v>
      </c>
      <c r="B358" s="1" t="s">
        <v>1234</v>
      </c>
      <c r="H358"/>
      <c r="I358"/>
    </row>
    <row r="359" spans="1:9" x14ac:dyDescent="0.25">
      <c r="A359" s="114"/>
      <c r="B359" s="5" t="s">
        <v>1232</v>
      </c>
      <c r="C359" s="3" t="s">
        <v>1271</v>
      </c>
      <c r="D359" s="3" t="s">
        <v>546</v>
      </c>
      <c r="E359" s="36" t="s">
        <v>546</v>
      </c>
      <c r="F359" s="36" t="s">
        <v>920</v>
      </c>
      <c r="G359" s="29">
        <v>0</v>
      </c>
      <c r="H359" s="11">
        <v>1639.9</v>
      </c>
      <c r="I359" s="11">
        <v>1639.9</v>
      </c>
    </row>
    <row r="360" spans="1:9" x14ac:dyDescent="0.25">
      <c r="A360" s="113" t="s">
        <v>1233</v>
      </c>
      <c r="B360" s="1" t="s">
        <v>1235</v>
      </c>
      <c r="H360"/>
      <c r="I360"/>
    </row>
    <row r="361" spans="1:9" x14ac:dyDescent="0.25">
      <c r="A361" s="114"/>
      <c r="B361" s="5" t="s">
        <v>1233</v>
      </c>
      <c r="C361" s="3" t="s">
        <v>1272</v>
      </c>
      <c r="D361" s="3" t="s">
        <v>546</v>
      </c>
      <c r="E361" s="36" t="s">
        <v>546</v>
      </c>
      <c r="F361" s="36" t="s">
        <v>920</v>
      </c>
      <c r="G361" s="29">
        <v>0</v>
      </c>
      <c r="H361" s="11">
        <v>2459.9</v>
      </c>
      <c r="I361" s="11">
        <v>2459.9</v>
      </c>
    </row>
    <row r="362" spans="1:9" x14ac:dyDescent="0.25">
      <c r="A362" s="113" t="s">
        <v>1430</v>
      </c>
      <c r="B362" s="1" t="s">
        <v>1432</v>
      </c>
      <c r="H362"/>
      <c r="I362"/>
    </row>
    <row r="363" spans="1:9" x14ac:dyDescent="0.25">
      <c r="A363" s="114"/>
      <c r="B363" s="5" t="s">
        <v>1430</v>
      </c>
      <c r="C363" s="3" t="s">
        <v>1434</v>
      </c>
      <c r="D363" s="3" t="s">
        <v>572</v>
      </c>
      <c r="E363" s="36" t="s">
        <v>546</v>
      </c>
      <c r="F363" s="36" t="s">
        <v>920</v>
      </c>
      <c r="G363" s="29">
        <v>0</v>
      </c>
      <c r="H363" s="11">
        <v>2044.9</v>
      </c>
      <c r="I363" s="11">
        <v>2044.9</v>
      </c>
    </row>
    <row r="364" spans="1:9" x14ac:dyDescent="0.25">
      <c r="A364" s="114"/>
      <c r="B364" s="6" t="s">
        <v>1752</v>
      </c>
      <c r="C364" s="4" t="s">
        <v>1757</v>
      </c>
      <c r="D364" s="4" t="s">
        <v>571</v>
      </c>
      <c r="E364" s="41" t="s">
        <v>546</v>
      </c>
      <c r="F364" s="41" t="s">
        <v>920</v>
      </c>
      <c r="G364" s="30">
        <v>0</v>
      </c>
      <c r="H364" s="12">
        <v>2044.9</v>
      </c>
      <c r="I364" s="12">
        <v>2044.9</v>
      </c>
    </row>
    <row r="365" spans="1:9" x14ac:dyDescent="0.25">
      <c r="A365" s="114"/>
      <c r="B365" s="6" t="s">
        <v>1753</v>
      </c>
      <c r="C365" s="4" t="s">
        <v>1758</v>
      </c>
      <c r="D365" s="4" t="s">
        <v>903</v>
      </c>
      <c r="E365" s="41" t="s">
        <v>546</v>
      </c>
      <c r="F365" s="41" t="s">
        <v>920</v>
      </c>
      <c r="G365" s="30">
        <v>0</v>
      </c>
      <c r="H365" s="12">
        <v>2044.9</v>
      </c>
      <c r="I365" s="12">
        <v>2044.9</v>
      </c>
    </row>
    <row r="366" spans="1:9" x14ac:dyDescent="0.25">
      <c r="A366" s="114"/>
      <c r="B366" s="6" t="s">
        <v>1754</v>
      </c>
      <c r="C366" s="4" t="s">
        <v>1759</v>
      </c>
      <c r="D366" s="4" t="s">
        <v>1184</v>
      </c>
      <c r="E366" s="41" t="s">
        <v>546</v>
      </c>
      <c r="F366" s="41" t="s">
        <v>920</v>
      </c>
      <c r="G366" s="30">
        <v>0</v>
      </c>
      <c r="H366" s="12">
        <v>2044.9</v>
      </c>
      <c r="I366" s="12">
        <v>2044.9</v>
      </c>
    </row>
    <row r="367" spans="1:9" x14ac:dyDescent="0.25">
      <c r="A367" s="114"/>
      <c r="B367" s="6" t="s">
        <v>1755</v>
      </c>
      <c r="C367" s="4" t="s">
        <v>1760</v>
      </c>
      <c r="D367" s="4" t="s">
        <v>570</v>
      </c>
      <c r="E367" s="41" t="s">
        <v>546</v>
      </c>
      <c r="F367" s="41" t="s">
        <v>920</v>
      </c>
      <c r="G367" s="30">
        <v>0</v>
      </c>
      <c r="H367" s="12">
        <v>2044.9</v>
      </c>
      <c r="I367" s="12">
        <v>2044.9</v>
      </c>
    </row>
    <row r="368" spans="1:9" x14ac:dyDescent="0.25">
      <c r="A368" s="114"/>
      <c r="B368" s="6" t="s">
        <v>1756</v>
      </c>
      <c r="C368" s="4" t="s">
        <v>1761</v>
      </c>
      <c r="D368" s="4" t="s">
        <v>562</v>
      </c>
      <c r="E368" s="41" t="s">
        <v>546</v>
      </c>
      <c r="F368" s="41" t="s">
        <v>920</v>
      </c>
      <c r="G368" s="30">
        <v>0</v>
      </c>
      <c r="H368" s="12">
        <v>2044.9</v>
      </c>
      <c r="I368" s="12">
        <v>2044.9</v>
      </c>
    </row>
    <row r="369" spans="1:9" x14ac:dyDescent="0.25">
      <c r="A369" s="113" t="s">
        <v>1431</v>
      </c>
      <c r="B369" s="1" t="s">
        <v>1433</v>
      </c>
      <c r="H369"/>
      <c r="I369"/>
    </row>
    <row r="370" spans="1:9" x14ac:dyDescent="0.25">
      <c r="A370" s="114"/>
      <c r="B370" s="5" t="s">
        <v>1431</v>
      </c>
      <c r="C370" s="3" t="s">
        <v>1435</v>
      </c>
      <c r="D370" s="3" t="s">
        <v>572</v>
      </c>
      <c r="E370" s="36" t="s">
        <v>546</v>
      </c>
      <c r="F370" s="36" t="s">
        <v>920</v>
      </c>
      <c r="G370" s="29">
        <v>0</v>
      </c>
      <c r="H370" s="11">
        <v>2824.9</v>
      </c>
      <c r="I370" s="11">
        <v>2824.9</v>
      </c>
    </row>
    <row r="371" spans="1:9" x14ac:dyDescent="0.25">
      <c r="A371" s="114"/>
      <c r="B371" s="6" t="s">
        <v>1762</v>
      </c>
      <c r="C371" s="4" t="s">
        <v>1767</v>
      </c>
      <c r="D371" s="4" t="s">
        <v>571</v>
      </c>
      <c r="E371" s="41" t="s">
        <v>546</v>
      </c>
      <c r="F371" s="41" t="s">
        <v>920</v>
      </c>
      <c r="G371" s="30">
        <v>0</v>
      </c>
      <c r="H371" s="12">
        <v>2824.9</v>
      </c>
      <c r="I371" s="12">
        <v>2824.9</v>
      </c>
    </row>
    <row r="372" spans="1:9" x14ac:dyDescent="0.25">
      <c r="A372" s="114"/>
      <c r="B372" s="6" t="s">
        <v>1763</v>
      </c>
      <c r="C372" s="4" t="s">
        <v>1768</v>
      </c>
      <c r="D372" s="4" t="s">
        <v>903</v>
      </c>
      <c r="E372" s="41" t="s">
        <v>546</v>
      </c>
      <c r="F372" s="41" t="s">
        <v>920</v>
      </c>
      <c r="G372" s="30">
        <v>0</v>
      </c>
      <c r="H372" s="12">
        <v>2824.9</v>
      </c>
      <c r="I372" s="12">
        <v>2824.9</v>
      </c>
    </row>
    <row r="373" spans="1:9" x14ac:dyDescent="0.25">
      <c r="A373" s="114"/>
      <c r="B373" s="6" t="s">
        <v>1764</v>
      </c>
      <c r="C373" s="4" t="s">
        <v>1770</v>
      </c>
      <c r="D373" s="4" t="s">
        <v>1184</v>
      </c>
      <c r="E373" s="41" t="s">
        <v>546</v>
      </c>
      <c r="F373" s="41" t="s">
        <v>920</v>
      </c>
      <c r="G373" s="30">
        <v>0</v>
      </c>
      <c r="H373" s="12">
        <v>2824.9</v>
      </c>
      <c r="I373" s="12">
        <v>2824.9</v>
      </c>
    </row>
    <row r="374" spans="1:9" x14ac:dyDescent="0.25">
      <c r="A374" s="114"/>
      <c r="B374" s="6" t="s">
        <v>1765</v>
      </c>
      <c r="C374" s="4" t="s">
        <v>1769</v>
      </c>
      <c r="D374" s="4" t="s">
        <v>570</v>
      </c>
      <c r="E374" s="41" t="s">
        <v>546</v>
      </c>
      <c r="F374" s="41" t="s">
        <v>920</v>
      </c>
      <c r="G374" s="30">
        <v>0</v>
      </c>
      <c r="H374" s="12">
        <v>2824.9</v>
      </c>
      <c r="I374" s="12">
        <v>2824.9</v>
      </c>
    </row>
    <row r="375" spans="1:9" x14ac:dyDescent="0.25">
      <c r="A375" s="114"/>
      <c r="B375" s="6" t="s">
        <v>1766</v>
      </c>
      <c r="C375" s="4" t="s">
        <v>1771</v>
      </c>
      <c r="D375" s="4" t="s">
        <v>562</v>
      </c>
      <c r="E375" s="41" t="s">
        <v>546</v>
      </c>
      <c r="F375" s="41" t="s">
        <v>920</v>
      </c>
      <c r="G375" s="30">
        <v>0</v>
      </c>
      <c r="H375" s="12">
        <v>2824.9</v>
      </c>
      <c r="I375" s="12">
        <v>2824.9</v>
      </c>
    </row>
    <row r="376" spans="1:9" x14ac:dyDescent="0.25">
      <c r="A376" s="113" t="s">
        <v>1654</v>
      </c>
      <c r="B376" s="1" t="s">
        <v>1656</v>
      </c>
      <c r="H376"/>
      <c r="I376"/>
    </row>
    <row r="377" spans="1:9" x14ac:dyDescent="0.25">
      <c r="A377" s="114"/>
      <c r="B377" s="5" t="s">
        <v>1654</v>
      </c>
      <c r="C377" s="3" t="s">
        <v>1655</v>
      </c>
      <c r="D377" s="3" t="s">
        <v>546</v>
      </c>
      <c r="E377" s="36" t="s">
        <v>546</v>
      </c>
      <c r="F377" s="36" t="s">
        <v>920</v>
      </c>
      <c r="G377" s="29">
        <v>0</v>
      </c>
      <c r="H377" s="11">
        <v>1029.9000000000001</v>
      </c>
      <c r="I377" s="11">
        <v>1029.9000000000001</v>
      </c>
    </row>
    <row r="378" spans="1:9" x14ac:dyDescent="0.25">
      <c r="A378" s="113" t="s">
        <v>1697</v>
      </c>
      <c r="B378" s="1" t="s">
        <v>1699</v>
      </c>
      <c r="H378"/>
      <c r="I378"/>
    </row>
    <row r="379" spans="1:9" x14ac:dyDescent="0.25">
      <c r="A379" s="114"/>
      <c r="B379" s="5" t="s">
        <v>1697</v>
      </c>
      <c r="C379" s="3" t="s">
        <v>1698</v>
      </c>
      <c r="D379" s="3" t="s">
        <v>546</v>
      </c>
      <c r="E379" s="36">
        <v>24</v>
      </c>
      <c r="F379" s="36" t="s">
        <v>920</v>
      </c>
      <c r="G379" s="29">
        <v>0</v>
      </c>
      <c r="H379" s="11">
        <v>629.9</v>
      </c>
      <c r="I379" s="11">
        <v>629.9</v>
      </c>
    </row>
    <row r="380" spans="1:9" x14ac:dyDescent="0.25">
      <c r="A380" s="113" t="s">
        <v>1824</v>
      </c>
      <c r="B380" s="1" t="s">
        <v>1825</v>
      </c>
      <c r="H380"/>
      <c r="I380"/>
    </row>
    <row r="381" spans="1:9" x14ac:dyDescent="0.25">
      <c r="A381" s="114"/>
      <c r="B381" s="5" t="s">
        <v>1824</v>
      </c>
      <c r="C381" s="3" t="s">
        <v>1826</v>
      </c>
      <c r="D381" s="3" t="s">
        <v>546</v>
      </c>
      <c r="E381" s="36" t="s">
        <v>546</v>
      </c>
      <c r="F381" s="36" t="s">
        <v>920</v>
      </c>
      <c r="G381" s="29">
        <v>0</v>
      </c>
      <c r="H381" s="11">
        <v>1859.9</v>
      </c>
      <c r="I381" s="11">
        <v>1859.9</v>
      </c>
    </row>
    <row r="382" spans="1:9" x14ac:dyDescent="0.25">
      <c r="A382" s="115" t="s">
        <v>791</v>
      </c>
      <c r="B382" s="116"/>
      <c r="C382" s="116"/>
      <c r="D382" s="116"/>
      <c r="E382" s="116"/>
      <c r="F382" s="116"/>
      <c r="G382" s="116"/>
      <c r="H382" s="116"/>
      <c r="I382" s="116"/>
    </row>
    <row r="383" spans="1:9" x14ac:dyDescent="0.25">
      <c r="A383" s="10" t="s">
        <v>1418</v>
      </c>
      <c r="B383" s="7"/>
      <c r="C383" s="7"/>
      <c r="D383" s="7"/>
      <c r="E383" s="7"/>
      <c r="F383" s="7"/>
      <c r="G383" s="7"/>
      <c r="H383" s="7"/>
      <c r="I383" s="7"/>
    </row>
    <row r="384" spans="1:9" x14ac:dyDescent="0.25">
      <c r="A384" s="113" t="s">
        <v>118</v>
      </c>
      <c r="B384" s="1" t="s">
        <v>221</v>
      </c>
      <c r="H384"/>
      <c r="I384"/>
    </row>
    <row r="385" spans="1:9" x14ac:dyDescent="0.25">
      <c r="A385" s="114"/>
      <c r="B385" s="5" t="s">
        <v>118</v>
      </c>
      <c r="C385" s="3" t="s">
        <v>376</v>
      </c>
      <c r="D385" s="3" t="s">
        <v>546</v>
      </c>
      <c r="E385" s="36">
        <v>24</v>
      </c>
      <c r="F385" s="36" t="s">
        <v>921</v>
      </c>
      <c r="G385" s="29">
        <v>0</v>
      </c>
      <c r="H385" s="11">
        <v>1397.9</v>
      </c>
      <c r="I385" s="11">
        <v>1397.9</v>
      </c>
    </row>
    <row r="386" spans="1:9" x14ac:dyDescent="0.25">
      <c r="A386" s="113" t="s">
        <v>119</v>
      </c>
      <c r="B386" s="1" t="s">
        <v>222</v>
      </c>
      <c r="H386"/>
      <c r="I386"/>
    </row>
    <row r="387" spans="1:9" x14ac:dyDescent="0.25">
      <c r="A387" s="114"/>
      <c r="B387" s="5" t="s">
        <v>119</v>
      </c>
      <c r="C387" s="3" t="s">
        <v>377</v>
      </c>
      <c r="D387" s="3" t="s">
        <v>546</v>
      </c>
      <c r="E387" s="36">
        <v>6</v>
      </c>
      <c r="F387" s="36" t="s">
        <v>921</v>
      </c>
      <c r="G387" s="29">
        <v>0</v>
      </c>
      <c r="H387" s="11">
        <v>3272.9</v>
      </c>
      <c r="I387" s="11">
        <v>3272.9</v>
      </c>
    </row>
    <row r="388" spans="1:9" x14ac:dyDescent="0.25">
      <c r="A388" s="113" t="s">
        <v>522</v>
      </c>
      <c r="B388" s="1" t="s">
        <v>803</v>
      </c>
      <c r="H388"/>
      <c r="I388"/>
    </row>
    <row r="389" spans="1:9" x14ac:dyDescent="0.25">
      <c r="A389" s="114"/>
      <c r="B389" s="5" t="s">
        <v>522</v>
      </c>
      <c r="C389" s="3" t="s">
        <v>523</v>
      </c>
      <c r="D389" s="3" t="s">
        <v>572</v>
      </c>
      <c r="E389" s="36">
        <v>3</v>
      </c>
      <c r="F389" s="36" t="s">
        <v>921</v>
      </c>
      <c r="G389" s="29">
        <v>0</v>
      </c>
      <c r="H389" s="11">
        <v>10266.9</v>
      </c>
      <c r="I389" s="11">
        <v>10266.9</v>
      </c>
    </row>
    <row r="390" spans="1:9" x14ac:dyDescent="0.25">
      <c r="A390" s="114"/>
      <c r="B390" s="6" t="s">
        <v>524</v>
      </c>
      <c r="C390" s="4" t="s">
        <v>527</v>
      </c>
      <c r="D390" s="4" t="s">
        <v>570</v>
      </c>
      <c r="E390" s="41">
        <v>3</v>
      </c>
      <c r="F390" s="41" t="s">
        <v>921</v>
      </c>
      <c r="G390" s="30">
        <v>0</v>
      </c>
      <c r="H390" s="12">
        <v>10266.9</v>
      </c>
      <c r="I390" s="12">
        <v>10266.9</v>
      </c>
    </row>
    <row r="391" spans="1:9" x14ac:dyDescent="0.25">
      <c r="A391" s="114"/>
      <c r="B391" s="6" t="s">
        <v>525</v>
      </c>
      <c r="C391" s="4" t="s">
        <v>526</v>
      </c>
      <c r="D391" s="4" t="s">
        <v>571</v>
      </c>
      <c r="E391" s="41">
        <v>3</v>
      </c>
      <c r="F391" s="41" t="s">
        <v>921</v>
      </c>
      <c r="G391" s="30">
        <v>0</v>
      </c>
      <c r="H391" s="12">
        <v>10266.9</v>
      </c>
      <c r="I391" s="12">
        <v>10266.9</v>
      </c>
    </row>
    <row r="392" spans="1:9" x14ac:dyDescent="0.25">
      <c r="A392" s="114"/>
      <c r="B392" s="6" t="s">
        <v>804</v>
      </c>
      <c r="C392" s="4" t="s">
        <v>805</v>
      </c>
      <c r="D392" s="4" t="s">
        <v>562</v>
      </c>
      <c r="E392" s="41">
        <v>3</v>
      </c>
      <c r="F392" s="41" t="s">
        <v>921</v>
      </c>
      <c r="G392" s="30">
        <v>0</v>
      </c>
      <c r="H392" s="12">
        <v>10266.9</v>
      </c>
      <c r="I392" s="12">
        <v>10266.9</v>
      </c>
    </row>
    <row r="393" spans="1:9" x14ac:dyDescent="0.25">
      <c r="A393" s="114"/>
      <c r="B393" s="6" t="s">
        <v>1292</v>
      </c>
      <c r="C393" s="4" t="s">
        <v>1293</v>
      </c>
      <c r="D393" s="4" t="s">
        <v>1184</v>
      </c>
      <c r="E393" s="41">
        <v>3</v>
      </c>
      <c r="F393" s="41" t="s">
        <v>921</v>
      </c>
      <c r="G393" s="30">
        <v>0</v>
      </c>
      <c r="H393" s="12">
        <v>10266.9</v>
      </c>
      <c r="I393" s="12">
        <v>10266.9</v>
      </c>
    </row>
    <row r="394" spans="1:9" x14ac:dyDescent="0.25">
      <c r="A394" s="114"/>
      <c r="B394" s="6" t="s">
        <v>1772</v>
      </c>
      <c r="C394" s="4" t="s">
        <v>1773</v>
      </c>
      <c r="D394" s="4" t="s">
        <v>575</v>
      </c>
      <c r="E394" s="41" t="s">
        <v>546</v>
      </c>
      <c r="F394" s="41" t="s">
        <v>921</v>
      </c>
      <c r="G394" s="30">
        <v>0</v>
      </c>
      <c r="H394" s="12">
        <v>10266.9</v>
      </c>
      <c r="I394" s="12">
        <v>10266.9</v>
      </c>
    </row>
    <row r="395" spans="1:9" x14ac:dyDescent="0.25">
      <c r="A395" s="113" t="s">
        <v>790</v>
      </c>
      <c r="B395" s="1" t="s">
        <v>887</v>
      </c>
      <c r="H395"/>
      <c r="I395"/>
    </row>
    <row r="396" spans="1:9" x14ac:dyDescent="0.25">
      <c r="A396" s="114"/>
      <c r="B396" s="5" t="s">
        <v>790</v>
      </c>
      <c r="C396" s="3" t="s">
        <v>792</v>
      </c>
      <c r="D396" s="3" t="s">
        <v>546</v>
      </c>
      <c r="E396" s="36" t="s">
        <v>546</v>
      </c>
      <c r="F396" s="36" t="s">
        <v>921</v>
      </c>
      <c r="G396" s="29">
        <v>0</v>
      </c>
      <c r="H396" s="11">
        <v>170.9</v>
      </c>
      <c r="I396" s="11">
        <v>170.9</v>
      </c>
    </row>
    <row r="397" spans="1:9" x14ac:dyDescent="0.25">
      <c r="A397" s="113" t="s">
        <v>1150</v>
      </c>
      <c r="B397" s="1" t="s">
        <v>1151</v>
      </c>
      <c r="H397"/>
      <c r="I397"/>
    </row>
    <row r="398" spans="1:9" x14ac:dyDescent="0.25">
      <c r="A398" s="114"/>
      <c r="B398" s="5" t="s">
        <v>1150</v>
      </c>
      <c r="C398" s="3" t="s">
        <v>1152</v>
      </c>
      <c r="D398" s="3" t="s">
        <v>572</v>
      </c>
      <c r="E398" s="36" t="s">
        <v>546</v>
      </c>
      <c r="F398" s="36" t="s">
        <v>921</v>
      </c>
      <c r="G398" s="29">
        <v>0</v>
      </c>
      <c r="H398" s="11">
        <v>16255.9</v>
      </c>
      <c r="I398" s="11">
        <v>16255.9</v>
      </c>
    </row>
    <row r="399" spans="1:9" x14ac:dyDescent="0.25">
      <c r="A399" s="113" t="s">
        <v>1153</v>
      </c>
      <c r="B399" s="1" t="s">
        <v>1154</v>
      </c>
      <c r="H399"/>
      <c r="I399"/>
    </row>
    <row r="400" spans="1:9" x14ac:dyDescent="0.25">
      <c r="A400" s="114"/>
      <c r="B400" s="5" t="s">
        <v>1153</v>
      </c>
      <c r="C400" s="3" t="s">
        <v>1155</v>
      </c>
      <c r="D400" s="3" t="s">
        <v>572</v>
      </c>
      <c r="E400" s="36" t="s">
        <v>546</v>
      </c>
      <c r="F400" s="36" t="s">
        <v>921</v>
      </c>
      <c r="G400" s="29">
        <v>0</v>
      </c>
      <c r="H400" s="11">
        <v>25109.9</v>
      </c>
      <c r="I400" s="11">
        <v>25109.9</v>
      </c>
    </row>
    <row r="401" spans="1:9" x14ac:dyDescent="0.25">
      <c r="A401" s="113" t="s">
        <v>1175</v>
      </c>
      <c r="B401" s="1" t="s">
        <v>1176</v>
      </c>
      <c r="H401"/>
      <c r="I401"/>
    </row>
    <row r="402" spans="1:9" x14ac:dyDescent="0.25">
      <c r="A402" s="114"/>
      <c r="B402" s="5" t="s">
        <v>1175</v>
      </c>
      <c r="C402" s="3" t="s">
        <v>1177</v>
      </c>
      <c r="D402" s="3" t="s">
        <v>546</v>
      </c>
      <c r="E402" s="36" t="s">
        <v>546</v>
      </c>
      <c r="F402" s="36" t="s">
        <v>921</v>
      </c>
      <c r="G402" s="29">
        <v>0</v>
      </c>
      <c r="H402" s="11">
        <v>482.9</v>
      </c>
      <c r="I402" s="11">
        <v>482.9</v>
      </c>
    </row>
    <row r="403" spans="1:9" x14ac:dyDescent="0.25">
      <c r="A403" s="113" t="s">
        <v>1202</v>
      </c>
      <c r="B403" s="1" t="s">
        <v>1204</v>
      </c>
      <c r="H403"/>
      <c r="I403"/>
    </row>
    <row r="404" spans="1:9" x14ac:dyDescent="0.25">
      <c r="A404" s="114"/>
      <c r="B404" s="5" t="s">
        <v>1202</v>
      </c>
      <c r="C404" s="3" t="s">
        <v>1203</v>
      </c>
      <c r="D404" s="3" t="s">
        <v>546</v>
      </c>
      <c r="E404" s="36">
        <v>6</v>
      </c>
      <c r="F404" s="36" t="s">
        <v>921</v>
      </c>
      <c r="G404" s="29">
        <v>0</v>
      </c>
      <c r="H404" s="11">
        <v>629.9</v>
      </c>
      <c r="I404" s="11">
        <v>629.9</v>
      </c>
    </row>
    <row r="405" spans="1:9" x14ac:dyDescent="0.25">
      <c r="A405" s="115" t="s">
        <v>306</v>
      </c>
      <c r="B405" s="116"/>
      <c r="C405" s="116"/>
      <c r="D405" s="116"/>
      <c r="E405" s="116"/>
      <c r="F405" s="116"/>
      <c r="G405" s="116"/>
      <c r="H405" s="116"/>
      <c r="I405" s="116"/>
    </row>
    <row r="406" spans="1:9" x14ac:dyDescent="0.25">
      <c r="A406" s="10" t="s">
        <v>1418</v>
      </c>
      <c r="B406" s="7"/>
      <c r="C406" s="7"/>
      <c r="D406" s="7"/>
      <c r="E406" s="7"/>
      <c r="F406" s="7"/>
      <c r="G406" s="7"/>
      <c r="H406" s="7"/>
      <c r="I406" s="7"/>
    </row>
    <row r="407" spans="1:9" x14ac:dyDescent="0.25">
      <c r="A407" s="113" t="s">
        <v>117</v>
      </c>
      <c r="B407" s="1" t="s">
        <v>228</v>
      </c>
      <c r="H407"/>
      <c r="I407"/>
    </row>
    <row r="408" spans="1:9" x14ac:dyDescent="0.25">
      <c r="A408" s="114"/>
      <c r="B408" s="5" t="s">
        <v>117</v>
      </c>
      <c r="C408" s="3" t="s">
        <v>381</v>
      </c>
      <c r="D408" s="3" t="s">
        <v>545</v>
      </c>
      <c r="E408" s="36">
        <v>24</v>
      </c>
      <c r="F408" s="36" t="s">
        <v>922</v>
      </c>
      <c r="G408" s="29">
        <v>0</v>
      </c>
      <c r="H408" s="11">
        <v>779.9</v>
      </c>
      <c r="I408" s="11">
        <v>779.9</v>
      </c>
    </row>
    <row r="409" spans="1:9" x14ac:dyDescent="0.25">
      <c r="A409" s="113" t="s">
        <v>116</v>
      </c>
      <c r="B409" s="1" t="s">
        <v>226</v>
      </c>
      <c r="H409"/>
      <c r="I409"/>
    </row>
    <row r="410" spans="1:9" x14ac:dyDescent="0.25">
      <c r="A410" s="114"/>
      <c r="B410" s="5" t="s">
        <v>116</v>
      </c>
      <c r="C410" s="3" t="s">
        <v>378</v>
      </c>
      <c r="D410" s="3" t="s">
        <v>545</v>
      </c>
      <c r="E410" s="36">
        <v>24</v>
      </c>
      <c r="F410" s="36" t="s">
        <v>922</v>
      </c>
      <c r="G410" s="29">
        <v>0</v>
      </c>
      <c r="H410" s="11">
        <v>779.9</v>
      </c>
      <c r="I410" s="11">
        <v>779.9</v>
      </c>
    </row>
    <row r="411" spans="1:9" x14ac:dyDescent="0.25">
      <c r="A411" s="113" t="s">
        <v>42</v>
      </c>
      <c r="B411" s="1" t="s">
        <v>227</v>
      </c>
      <c r="H411"/>
      <c r="I411"/>
    </row>
    <row r="412" spans="1:9" x14ac:dyDescent="0.25">
      <c r="A412" s="114"/>
      <c r="B412" s="5" t="s">
        <v>42</v>
      </c>
      <c r="C412" s="3" t="s">
        <v>379</v>
      </c>
      <c r="D412" s="3" t="s">
        <v>546</v>
      </c>
      <c r="E412" s="36">
        <v>1</v>
      </c>
      <c r="F412" s="36" t="s">
        <v>922</v>
      </c>
      <c r="G412" s="29">
        <v>0</v>
      </c>
      <c r="H412" s="11">
        <v>1085.9000000000001</v>
      </c>
      <c r="I412" s="11">
        <v>1085.9000000000001</v>
      </c>
    </row>
    <row r="413" spans="1:9" x14ac:dyDescent="0.25">
      <c r="A413" s="113" t="s">
        <v>43</v>
      </c>
      <c r="B413" s="1" t="s">
        <v>237</v>
      </c>
      <c r="H413"/>
      <c r="I413"/>
    </row>
    <row r="414" spans="1:9" x14ac:dyDescent="0.25">
      <c r="A414" s="114"/>
      <c r="B414" s="5" t="s">
        <v>43</v>
      </c>
      <c r="C414" s="3" t="s">
        <v>380</v>
      </c>
      <c r="D414" s="3" t="s">
        <v>546</v>
      </c>
      <c r="E414" s="36">
        <v>1</v>
      </c>
      <c r="F414" s="36" t="s">
        <v>922</v>
      </c>
      <c r="G414" s="29">
        <v>0</v>
      </c>
      <c r="H414" s="11">
        <v>308.89999999999998</v>
      </c>
      <c r="I414" s="11">
        <v>308.89999999999998</v>
      </c>
    </row>
    <row r="415" spans="1:9" x14ac:dyDescent="0.25">
      <c r="A415" s="113" t="s">
        <v>157</v>
      </c>
      <c r="B415" s="1" t="s">
        <v>229</v>
      </c>
      <c r="H415"/>
      <c r="I415"/>
    </row>
    <row r="416" spans="1:9" x14ac:dyDescent="0.25">
      <c r="A416" s="114"/>
      <c r="B416" s="5" t="s">
        <v>157</v>
      </c>
      <c r="C416" s="3" t="s">
        <v>382</v>
      </c>
      <c r="D416" s="3" t="s">
        <v>546</v>
      </c>
      <c r="E416" s="36" t="s">
        <v>546</v>
      </c>
      <c r="F416" s="36" t="s">
        <v>922</v>
      </c>
      <c r="G416" s="29">
        <v>0</v>
      </c>
      <c r="H416" s="11">
        <v>467.9</v>
      </c>
      <c r="I416" s="11">
        <v>467.9</v>
      </c>
    </row>
    <row r="417" spans="1:9" x14ac:dyDescent="0.25">
      <c r="A417" s="113" t="s">
        <v>929</v>
      </c>
      <c r="B417" s="1" t="s">
        <v>223</v>
      </c>
      <c r="H417"/>
      <c r="I417"/>
    </row>
    <row r="418" spans="1:9" x14ac:dyDescent="0.25">
      <c r="A418" s="114"/>
      <c r="B418" s="5" t="s">
        <v>929</v>
      </c>
      <c r="C418" s="3" t="s">
        <v>941</v>
      </c>
      <c r="D418" s="3" t="s">
        <v>545</v>
      </c>
      <c r="E418" s="36">
        <v>12</v>
      </c>
      <c r="F418" s="36" t="s">
        <v>922</v>
      </c>
      <c r="G418" s="29">
        <v>0</v>
      </c>
      <c r="H418" s="11">
        <v>2082.9</v>
      </c>
      <c r="I418" s="11">
        <v>2082.9</v>
      </c>
    </row>
    <row r="419" spans="1:9" x14ac:dyDescent="0.25">
      <c r="A419" s="114"/>
      <c r="B419" s="6" t="s">
        <v>1366</v>
      </c>
      <c r="C419" s="4" t="s">
        <v>1385</v>
      </c>
      <c r="D419" s="4" t="s">
        <v>1380</v>
      </c>
      <c r="E419" s="41">
        <v>12</v>
      </c>
      <c r="F419" s="41" t="s">
        <v>922</v>
      </c>
      <c r="G419" s="30">
        <v>0</v>
      </c>
      <c r="H419" s="12">
        <v>2082.9</v>
      </c>
      <c r="I419" s="12">
        <v>2082.9</v>
      </c>
    </row>
    <row r="420" spans="1:9" x14ac:dyDescent="0.25">
      <c r="A420" s="114"/>
      <c r="B420" s="6" t="s">
        <v>1647</v>
      </c>
      <c r="C420" s="4" t="s">
        <v>1648</v>
      </c>
      <c r="D420" s="4" t="s">
        <v>571</v>
      </c>
      <c r="E420" s="41">
        <v>12</v>
      </c>
      <c r="F420" s="41" t="s">
        <v>922</v>
      </c>
      <c r="G420" s="30">
        <v>0</v>
      </c>
      <c r="H420" s="12">
        <v>2082.9</v>
      </c>
      <c r="I420" s="12">
        <v>2082.9</v>
      </c>
    </row>
    <row r="421" spans="1:9" x14ac:dyDescent="0.25">
      <c r="A421" s="113" t="s">
        <v>732</v>
      </c>
      <c r="B421" s="1" t="s">
        <v>224</v>
      </c>
      <c r="H421"/>
      <c r="I421"/>
    </row>
    <row r="422" spans="1:9" x14ac:dyDescent="0.25">
      <c r="A422" s="114"/>
      <c r="B422" s="5" t="s">
        <v>732</v>
      </c>
      <c r="C422" s="3" t="s">
        <v>733</v>
      </c>
      <c r="D422" s="3" t="s">
        <v>572</v>
      </c>
      <c r="E422" s="36">
        <v>3</v>
      </c>
      <c r="F422" s="36" t="s">
        <v>922</v>
      </c>
      <c r="G422" s="29">
        <v>0</v>
      </c>
      <c r="H422" s="11">
        <v>5728.9</v>
      </c>
      <c r="I422" s="11">
        <v>5728.9</v>
      </c>
    </row>
    <row r="423" spans="1:9" x14ac:dyDescent="0.25">
      <c r="A423" s="114"/>
      <c r="B423" s="6" t="s">
        <v>1425</v>
      </c>
      <c r="C423" s="4" t="s">
        <v>580</v>
      </c>
      <c r="D423" s="4" t="s">
        <v>575</v>
      </c>
      <c r="E423" s="41" t="s">
        <v>546</v>
      </c>
      <c r="F423" s="41" t="s">
        <v>922</v>
      </c>
      <c r="G423" s="30">
        <v>0</v>
      </c>
      <c r="H423" s="12">
        <v>5728.9</v>
      </c>
      <c r="I423" s="12">
        <v>5728.9</v>
      </c>
    </row>
    <row r="424" spans="1:9" x14ac:dyDescent="0.25">
      <c r="A424" s="114"/>
      <c r="B424" s="6" t="s">
        <v>1774</v>
      </c>
      <c r="C424" s="4" t="s">
        <v>1775</v>
      </c>
      <c r="D424" s="4" t="s">
        <v>570</v>
      </c>
      <c r="E424" s="41" t="s">
        <v>546</v>
      </c>
      <c r="F424" s="41" t="s">
        <v>922</v>
      </c>
      <c r="G424" s="30">
        <v>0</v>
      </c>
      <c r="H424" s="12">
        <v>5728.9</v>
      </c>
      <c r="I424" s="12">
        <v>5728.9</v>
      </c>
    </row>
    <row r="425" spans="1:9" x14ac:dyDescent="0.25">
      <c r="A425" s="113" t="s">
        <v>895</v>
      </c>
      <c r="B425" s="1" t="s">
        <v>225</v>
      </c>
      <c r="H425"/>
      <c r="I425"/>
    </row>
    <row r="426" spans="1:9" x14ac:dyDescent="0.25">
      <c r="A426" s="114"/>
      <c r="B426" s="5" t="s">
        <v>895</v>
      </c>
      <c r="C426" s="3" t="s">
        <v>896</v>
      </c>
      <c r="D426" s="3" t="s">
        <v>572</v>
      </c>
      <c r="E426" s="36">
        <v>3</v>
      </c>
      <c r="F426" s="36" t="s">
        <v>922</v>
      </c>
      <c r="G426" s="29">
        <v>0</v>
      </c>
      <c r="H426" s="11">
        <v>3570.9</v>
      </c>
      <c r="I426" s="11">
        <v>3570.9</v>
      </c>
    </row>
    <row r="427" spans="1:9" x14ac:dyDescent="0.25">
      <c r="A427" s="114"/>
      <c r="B427" s="6" t="s">
        <v>1414</v>
      </c>
      <c r="C427" s="4" t="s">
        <v>1417</v>
      </c>
      <c r="D427" s="4" t="s">
        <v>570</v>
      </c>
      <c r="E427" s="41">
        <v>3</v>
      </c>
      <c r="F427" s="41" t="s">
        <v>922</v>
      </c>
      <c r="G427" s="30">
        <v>0</v>
      </c>
      <c r="H427" s="12">
        <v>3570.9</v>
      </c>
      <c r="I427" s="12">
        <v>3570.9</v>
      </c>
    </row>
    <row r="428" spans="1:9" x14ac:dyDescent="0.25">
      <c r="A428" s="114"/>
      <c r="B428" s="6" t="s">
        <v>1415</v>
      </c>
      <c r="C428" s="4" t="s">
        <v>1416</v>
      </c>
      <c r="D428" s="4" t="s">
        <v>575</v>
      </c>
      <c r="E428" s="41">
        <v>3</v>
      </c>
      <c r="F428" s="41" t="s">
        <v>922</v>
      </c>
      <c r="G428" s="30">
        <v>0</v>
      </c>
      <c r="H428" s="12">
        <v>3570.9</v>
      </c>
      <c r="I428" s="12">
        <v>3570.9</v>
      </c>
    </row>
    <row r="429" spans="1:9" x14ac:dyDescent="0.25">
      <c r="A429" s="115" t="s">
        <v>310</v>
      </c>
      <c r="B429" s="116"/>
      <c r="C429" s="116"/>
      <c r="D429" s="116"/>
      <c r="E429" s="116"/>
      <c r="F429" s="116"/>
      <c r="G429" s="116"/>
      <c r="H429" s="116"/>
      <c r="I429" s="116"/>
    </row>
    <row r="430" spans="1:9" x14ac:dyDescent="0.25">
      <c r="A430" s="10" t="s">
        <v>546</v>
      </c>
      <c r="B430" s="7"/>
      <c r="C430" s="7"/>
      <c r="D430" s="7"/>
      <c r="E430" s="7"/>
      <c r="F430" s="7"/>
      <c r="G430" s="7"/>
      <c r="H430" s="7"/>
      <c r="I430" s="7"/>
    </row>
    <row r="431" spans="1:9" x14ac:dyDescent="0.25">
      <c r="A431" s="113" t="s">
        <v>3</v>
      </c>
      <c r="B431" s="1" t="s">
        <v>167</v>
      </c>
      <c r="H431"/>
      <c r="I431"/>
    </row>
    <row r="432" spans="1:9" x14ac:dyDescent="0.25">
      <c r="A432" s="114"/>
      <c r="B432" s="5" t="s">
        <v>3</v>
      </c>
      <c r="C432" s="3" t="s">
        <v>383</v>
      </c>
      <c r="D432" s="3" t="s">
        <v>570</v>
      </c>
      <c r="E432" s="36">
        <v>1</v>
      </c>
      <c r="F432" s="36" t="s">
        <v>918</v>
      </c>
      <c r="G432" s="29">
        <v>0</v>
      </c>
      <c r="H432" s="11">
        <v>49.9</v>
      </c>
      <c r="I432" s="11">
        <v>49.9</v>
      </c>
    </row>
    <row r="433" spans="1:9" x14ac:dyDescent="0.25">
      <c r="A433" s="113" t="s">
        <v>5</v>
      </c>
      <c r="B433" s="1" t="s">
        <v>168</v>
      </c>
      <c r="H433"/>
      <c r="I433"/>
    </row>
    <row r="434" spans="1:9" x14ac:dyDescent="0.25">
      <c r="A434" s="114"/>
      <c r="B434" s="5" t="s">
        <v>5</v>
      </c>
      <c r="C434" s="3" t="s">
        <v>384</v>
      </c>
      <c r="D434" s="3" t="s">
        <v>562</v>
      </c>
      <c r="E434" s="36">
        <v>1</v>
      </c>
      <c r="F434" s="36" t="s">
        <v>918</v>
      </c>
      <c r="G434" s="29">
        <v>0</v>
      </c>
      <c r="H434" s="11">
        <v>49.9</v>
      </c>
      <c r="I434" s="11">
        <v>49.9</v>
      </c>
    </row>
    <row r="435" spans="1:9" x14ac:dyDescent="0.25">
      <c r="A435" s="113" t="s">
        <v>130</v>
      </c>
      <c r="B435" s="1" t="s">
        <v>169</v>
      </c>
      <c r="H435"/>
      <c r="I435"/>
    </row>
    <row r="436" spans="1:9" x14ac:dyDescent="0.25">
      <c r="A436" s="114"/>
      <c r="B436" s="5" t="s">
        <v>130</v>
      </c>
      <c r="C436" s="3" t="s">
        <v>385</v>
      </c>
      <c r="D436" s="3" t="s">
        <v>571</v>
      </c>
      <c r="E436" s="36">
        <v>1</v>
      </c>
      <c r="F436" s="36" t="s">
        <v>918</v>
      </c>
      <c r="G436" s="29">
        <v>0</v>
      </c>
      <c r="H436" s="11">
        <v>49.9</v>
      </c>
      <c r="I436" s="11">
        <v>49.9</v>
      </c>
    </row>
    <row r="437" spans="1:9" x14ac:dyDescent="0.25">
      <c r="A437" s="113" t="s">
        <v>6</v>
      </c>
      <c r="B437" s="1" t="s">
        <v>170</v>
      </c>
      <c r="H437"/>
      <c r="I437"/>
    </row>
    <row r="438" spans="1:9" x14ac:dyDescent="0.25">
      <c r="A438" s="114"/>
      <c r="B438" s="5" t="s">
        <v>6</v>
      </c>
      <c r="C438" s="3" t="s">
        <v>386</v>
      </c>
      <c r="D438" s="3" t="s">
        <v>546</v>
      </c>
      <c r="E438" s="36">
        <v>1</v>
      </c>
      <c r="F438" s="36" t="s">
        <v>918</v>
      </c>
      <c r="G438" s="29">
        <v>0</v>
      </c>
      <c r="H438" s="11">
        <v>49.9</v>
      </c>
      <c r="I438" s="11">
        <v>49.9</v>
      </c>
    </row>
    <row r="439" spans="1:9" x14ac:dyDescent="0.25">
      <c r="A439" s="113" t="s">
        <v>11</v>
      </c>
      <c r="B439" s="1" t="s">
        <v>175</v>
      </c>
      <c r="H439"/>
      <c r="I439"/>
    </row>
    <row r="440" spans="1:9" x14ac:dyDescent="0.25">
      <c r="A440" s="114"/>
      <c r="B440" s="5" t="s">
        <v>11</v>
      </c>
      <c r="C440" s="3" t="s">
        <v>334</v>
      </c>
      <c r="D440" s="3" t="s">
        <v>546</v>
      </c>
      <c r="E440" s="36">
        <v>1</v>
      </c>
      <c r="F440" s="36" t="s">
        <v>918</v>
      </c>
      <c r="G440" s="29">
        <v>0</v>
      </c>
      <c r="H440" s="11">
        <v>49.9</v>
      </c>
      <c r="I440" s="11">
        <v>49.9</v>
      </c>
    </row>
    <row r="441" spans="1:9" x14ac:dyDescent="0.25">
      <c r="A441" s="113" t="s">
        <v>12</v>
      </c>
      <c r="B441" s="1" t="s">
        <v>176</v>
      </c>
      <c r="H441"/>
      <c r="I441"/>
    </row>
    <row r="442" spans="1:9" x14ac:dyDescent="0.25">
      <c r="A442" s="114"/>
      <c r="B442" s="5" t="s">
        <v>12</v>
      </c>
      <c r="C442" s="3" t="s">
        <v>335</v>
      </c>
      <c r="D442" s="3" t="s">
        <v>546</v>
      </c>
      <c r="E442" s="36">
        <v>1</v>
      </c>
      <c r="F442" s="36" t="s">
        <v>918</v>
      </c>
      <c r="G442" s="29">
        <v>0</v>
      </c>
      <c r="H442" s="11">
        <v>62.9</v>
      </c>
      <c r="I442" s="11">
        <v>62.9</v>
      </c>
    </row>
    <row r="443" spans="1:9" x14ac:dyDescent="0.25">
      <c r="A443" s="114"/>
      <c r="B443" s="1" t="s">
        <v>588</v>
      </c>
      <c r="H443"/>
      <c r="I443"/>
    </row>
    <row r="444" spans="1:9" x14ac:dyDescent="0.25">
      <c r="A444" s="114"/>
      <c r="B444" s="5" t="s">
        <v>587</v>
      </c>
      <c r="C444" s="3" t="s">
        <v>829</v>
      </c>
      <c r="D444" s="3" t="s">
        <v>546</v>
      </c>
      <c r="E444" s="36" t="s">
        <v>546</v>
      </c>
      <c r="F444" s="36" t="s">
        <v>918</v>
      </c>
      <c r="G444" s="29">
        <v>0</v>
      </c>
      <c r="H444" s="11">
        <v>63.9</v>
      </c>
      <c r="I444" s="11">
        <v>63.9</v>
      </c>
    </row>
    <row r="445" spans="1:9" x14ac:dyDescent="0.25">
      <c r="A445" s="113" t="s">
        <v>13</v>
      </c>
      <c r="B445" s="1" t="s">
        <v>230</v>
      </c>
      <c r="H445"/>
      <c r="I445"/>
    </row>
    <row r="446" spans="1:9" x14ac:dyDescent="0.25">
      <c r="A446" s="114"/>
      <c r="B446" s="5" t="s">
        <v>13</v>
      </c>
      <c r="C446" s="3" t="s">
        <v>336</v>
      </c>
      <c r="D446" s="3" t="s">
        <v>546</v>
      </c>
      <c r="E446" s="36">
        <v>1</v>
      </c>
      <c r="F446" s="36" t="s">
        <v>918</v>
      </c>
      <c r="G446" s="29">
        <v>0</v>
      </c>
      <c r="H446" s="11">
        <v>177.9</v>
      </c>
      <c r="I446" s="11">
        <v>177.9</v>
      </c>
    </row>
    <row r="447" spans="1:9" x14ac:dyDescent="0.25">
      <c r="A447" s="113" t="s">
        <v>14</v>
      </c>
      <c r="B447" s="1" t="s">
        <v>177</v>
      </c>
      <c r="H447"/>
      <c r="I447"/>
    </row>
    <row r="448" spans="1:9" x14ac:dyDescent="0.25">
      <c r="A448" s="114"/>
      <c r="B448" s="5" t="s">
        <v>14</v>
      </c>
      <c r="C448" s="3" t="s">
        <v>337</v>
      </c>
      <c r="D448" s="3" t="s">
        <v>546</v>
      </c>
      <c r="E448" s="36">
        <v>1</v>
      </c>
      <c r="F448" s="36" t="s">
        <v>918</v>
      </c>
      <c r="G448" s="29">
        <v>0</v>
      </c>
      <c r="H448" s="11">
        <v>236.9</v>
      </c>
      <c r="I448" s="11">
        <v>236.9</v>
      </c>
    </row>
    <row r="449" spans="1:9" x14ac:dyDescent="0.25">
      <c r="A449" s="113" t="s">
        <v>15</v>
      </c>
      <c r="B449" s="1" t="s">
        <v>178</v>
      </c>
      <c r="H449"/>
      <c r="I449"/>
    </row>
    <row r="450" spans="1:9" x14ac:dyDescent="0.25">
      <c r="A450" s="114"/>
      <c r="B450" s="5" t="s">
        <v>15</v>
      </c>
      <c r="C450" s="3" t="s">
        <v>338</v>
      </c>
      <c r="D450" s="3" t="s">
        <v>546</v>
      </c>
      <c r="E450" s="36">
        <v>1</v>
      </c>
      <c r="F450" s="36" t="s">
        <v>918</v>
      </c>
      <c r="G450" s="29">
        <v>0</v>
      </c>
      <c r="H450" s="11">
        <v>199.9</v>
      </c>
      <c r="I450" s="11">
        <v>199.9</v>
      </c>
    </row>
    <row r="451" spans="1:9" x14ac:dyDescent="0.25">
      <c r="A451" s="113" t="s">
        <v>21</v>
      </c>
      <c r="B451" s="1" t="s">
        <v>188</v>
      </c>
      <c r="H451"/>
      <c r="I451"/>
    </row>
    <row r="452" spans="1:9" x14ac:dyDescent="0.25">
      <c r="A452" s="114"/>
      <c r="B452" s="5" t="s">
        <v>21</v>
      </c>
      <c r="C452" s="3" t="s">
        <v>354</v>
      </c>
      <c r="D452" s="3" t="s">
        <v>546</v>
      </c>
      <c r="E452" s="36">
        <v>1</v>
      </c>
      <c r="F452" s="36" t="s">
        <v>918</v>
      </c>
      <c r="G452" s="29">
        <v>0</v>
      </c>
      <c r="H452" s="11">
        <v>117.9</v>
      </c>
      <c r="I452" s="11">
        <v>117.9</v>
      </c>
    </row>
    <row r="453" spans="1:9" x14ac:dyDescent="0.25">
      <c r="A453" s="113" t="s">
        <v>22</v>
      </c>
      <c r="B453" s="1" t="s">
        <v>231</v>
      </c>
      <c r="H453"/>
      <c r="I453"/>
    </row>
    <row r="454" spans="1:9" x14ac:dyDescent="0.25">
      <c r="A454" s="114"/>
      <c r="B454" s="5" t="s">
        <v>22</v>
      </c>
      <c r="C454" s="3" t="s">
        <v>387</v>
      </c>
      <c r="D454" s="3" t="s">
        <v>546</v>
      </c>
      <c r="E454" s="36">
        <v>1</v>
      </c>
      <c r="F454" s="36" t="s">
        <v>918</v>
      </c>
      <c r="G454" s="29">
        <v>0</v>
      </c>
      <c r="H454" s="11">
        <v>318.89999999999998</v>
      </c>
      <c r="I454" s="11">
        <v>318.89999999999998</v>
      </c>
    </row>
    <row r="455" spans="1:9" x14ac:dyDescent="0.25">
      <c r="A455" s="113" t="s">
        <v>47</v>
      </c>
      <c r="B455" s="1" t="s">
        <v>190</v>
      </c>
      <c r="H455"/>
      <c r="I455"/>
    </row>
    <row r="456" spans="1:9" x14ac:dyDescent="0.25">
      <c r="A456" s="114"/>
      <c r="B456" s="5" t="s">
        <v>47</v>
      </c>
      <c r="C456" s="3" t="s">
        <v>356</v>
      </c>
      <c r="D456" s="3" t="s">
        <v>572</v>
      </c>
      <c r="E456" s="36">
        <v>1</v>
      </c>
      <c r="F456" s="36" t="s">
        <v>918</v>
      </c>
      <c r="G456" s="29">
        <v>0</v>
      </c>
      <c r="H456" s="11">
        <v>419.9</v>
      </c>
      <c r="I456" s="11">
        <v>419.9</v>
      </c>
    </row>
    <row r="457" spans="1:9" x14ac:dyDescent="0.25">
      <c r="A457" s="114"/>
      <c r="B457" s="6" t="s">
        <v>155</v>
      </c>
      <c r="C457" s="4" t="s">
        <v>357</v>
      </c>
      <c r="D457" s="4" t="s">
        <v>571</v>
      </c>
      <c r="E457" s="41">
        <v>30</v>
      </c>
      <c r="F457" s="41" t="s">
        <v>918</v>
      </c>
      <c r="G457" s="30">
        <v>0</v>
      </c>
      <c r="H457" s="12">
        <v>419.9</v>
      </c>
      <c r="I457" s="12">
        <v>419.9</v>
      </c>
    </row>
    <row r="458" spans="1:9" x14ac:dyDescent="0.25">
      <c r="A458" s="114"/>
      <c r="B458" s="6" t="s">
        <v>123</v>
      </c>
      <c r="C458" s="4" t="s">
        <v>358</v>
      </c>
      <c r="D458" s="4" t="s">
        <v>562</v>
      </c>
      <c r="E458" s="41">
        <v>30</v>
      </c>
      <c r="F458" s="41" t="s">
        <v>918</v>
      </c>
      <c r="G458" s="30">
        <v>0</v>
      </c>
      <c r="H458" s="12">
        <v>419.9</v>
      </c>
      <c r="I458" s="12">
        <v>419.9</v>
      </c>
    </row>
    <row r="459" spans="1:9" x14ac:dyDescent="0.25">
      <c r="A459" s="113" t="s">
        <v>23</v>
      </c>
      <c r="B459" s="1" t="s">
        <v>191</v>
      </c>
      <c r="H459"/>
      <c r="I459"/>
    </row>
    <row r="460" spans="1:9" x14ac:dyDescent="0.25">
      <c r="A460" s="114"/>
      <c r="B460" s="5" t="s">
        <v>23</v>
      </c>
      <c r="C460" s="3" t="s">
        <v>388</v>
      </c>
      <c r="D460" s="3" t="s">
        <v>546</v>
      </c>
      <c r="E460" s="36">
        <v>1</v>
      </c>
      <c r="F460" s="36" t="s">
        <v>918</v>
      </c>
      <c r="G460" s="29">
        <v>0</v>
      </c>
      <c r="H460" s="11">
        <v>69.900000000000006</v>
      </c>
      <c r="I460" s="11">
        <v>69.900000000000006</v>
      </c>
    </row>
    <row r="461" spans="1:9" x14ac:dyDescent="0.25">
      <c r="A461" s="113" t="s">
        <v>24</v>
      </c>
      <c r="B461" s="1" t="s">
        <v>192</v>
      </c>
      <c r="H461"/>
      <c r="I461"/>
    </row>
    <row r="462" spans="1:9" x14ac:dyDescent="0.25">
      <c r="A462" s="114"/>
      <c r="B462" s="5" t="s">
        <v>24</v>
      </c>
      <c r="C462" s="3" t="s">
        <v>389</v>
      </c>
      <c r="D462" s="3" t="s">
        <v>545</v>
      </c>
      <c r="E462" s="36">
        <v>1</v>
      </c>
      <c r="F462" s="36" t="s">
        <v>918</v>
      </c>
      <c r="G462" s="29">
        <v>0</v>
      </c>
      <c r="H462" s="11">
        <v>79.900000000000006</v>
      </c>
      <c r="I462" s="11">
        <v>79.900000000000006</v>
      </c>
    </row>
    <row r="463" spans="1:9" x14ac:dyDescent="0.25">
      <c r="A463" s="114"/>
      <c r="B463" s="1" t="s">
        <v>669</v>
      </c>
      <c r="H463"/>
      <c r="I463"/>
    </row>
    <row r="464" spans="1:9" x14ac:dyDescent="0.25">
      <c r="A464" s="114"/>
      <c r="B464" s="5" t="s">
        <v>668</v>
      </c>
      <c r="C464" s="3" t="s">
        <v>670</v>
      </c>
      <c r="D464" s="3" t="s">
        <v>562</v>
      </c>
      <c r="E464" s="36">
        <v>1</v>
      </c>
      <c r="F464" s="36" t="s">
        <v>918</v>
      </c>
      <c r="G464" s="29">
        <v>0</v>
      </c>
      <c r="H464" s="11">
        <v>79.900000000000006</v>
      </c>
      <c r="I464" s="11">
        <v>79.900000000000006</v>
      </c>
    </row>
    <row r="465" spans="1:9" x14ac:dyDescent="0.25">
      <c r="A465" s="113" t="s">
        <v>25</v>
      </c>
      <c r="B465" s="1" t="s">
        <v>193</v>
      </c>
      <c r="H465"/>
      <c r="I465"/>
    </row>
    <row r="466" spans="1:9" x14ac:dyDescent="0.25">
      <c r="A466" s="114"/>
      <c r="B466" s="5" t="s">
        <v>25</v>
      </c>
      <c r="C466" s="3" t="s">
        <v>390</v>
      </c>
      <c r="D466" s="3" t="s">
        <v>546</v>
      </c>
      <c r="E466" s="36">
        <v>1</v>
      </c>
      <c r="F466" s="36" t="s">
        <v>918</v>
      </c>
      <c r="G466" s="29">
        <v>0</v>
      </c>
      <c r="H466" s="11">
        <v>15.9</v>
      </c>
      <c r="I466" s="11">
        <v>15.9</v>
      </c>
    </row>
    <row r="467" spans="1:9" x14ac:dyDescent="0.25">
      <c r="A467" s="113" t="s">
        <v>48</v>
      </c>
      <c r="B467" s="1" t="s">
        <v>601</v>
      </c>
      <c r="H467"/>
      <c r="I467"/>
    </row>
    <row r="468" spans="1:9" x14ac:dyDescent="0.25">
      <c r="A468" s="114"/>
      <c r="B468" s="5" t="s">
        <v>48</v>
      </c>
      <c r="C468" s="3" t="s">
        <v>391</v>
      </c>
      <c r="D468" s="3" t="s">
        <v>546</v>
      </c>
      <c r="E468" s="36">
        <v>1</v>
      </c>
      <c r="F468" s="36" t="s">
        <v>918</v>
      </c>
      <c r="G468" s="29">
        <v>0</v>
      </c>
      <c r="H468" s="11">
        <v>222.9</v>
      </c>
      <c r="I468" s="11">
        <v>222.9</v>
      </c>
    </row>
    <row r="469" spans="1:9" x14ac:dyDescent="0.25">
      <c r="A469" s="113" t="s">
        <v>26</v>
      </c>
      <c r="B469" s="1" t="s">
        <v>194</v>
      </c>
      <c r="H469"/>
      <c r="I469"/>
    </row>
    <row r="470" spans="1:9" x14ac:dyDescent="0.25">
      <c r="A470" s="114"/>
      <c r="B470" s="5" t="s">
        <v>26</v>
      </c>
      <c r="C470" s="3" t="s">
        <v>392</v>
      </c>
      <c r="D470" s="3" t="s">
        <v>546</v>
      </c>
      <c r="E470" s="36">
        <v>10</v>
      </c>
      <c r="F470" s="36" t="s">
        <v>918</v>
      </c>
      <c r="G470" s="29">
        <v>0</v>
      </c>
      <c r="H470" s="11">
        <v>89.9</v>
      </c>
      <c r="I470" s="11">
        <v>89.9</v>
      </c>
    </row>
    <row r="471" spans="1:9" x14ac:dyDescent="0.25">
      <c r="A471" s="113" t="s">
        <v>124</v>
      </c>
      <c r="B471" s="1" t="s">
        <v>195</v>
      </c>
      <c r="H471"/>
      <c r="I471"/>
    </row>
    <row r="472" spans="1:9" x14ac:dyDescent="0.25">
      <c r="A472" s="114"/>
      <c r="B472" s="5" t="s">
        <v>124</v>
      </c>
      <c r="C472" s="3" t="s">
        <v>393</v>
      </c>
      <c r="D472" s="3" t="s">
        <v>572</v>
      </c>
      <c r="E472" s="36">
        <v>1</v>
      </c>
      <c r="F472" s="36" t="s">
        <v>918</v>
      </c>
      <c r="G472" s="29">
        <v>0</v>
      </c>
      <c r="H472" s="11">
        <v>399.9</v>
      </c>
      <c r="I472" s="11">
        <v>399.9</v>
      </c>
    </row>
    <row r="473" spans="1:9" x14ac:dyDescent="0.25">
      <c r="A473" s="114"/>
      <c r="B473" s="6" t="s">
        <v>142</v>
      </c>
      <c r="C473" s="4" t="s">
        <v>394</v>
      </c>
      <c r="D473" s="4" t="s">
        <v>571</v>
      </c>
      <c r="E473" s="41" t="s">
        <v>546</v>
      </c>
      <c r="F473" s="41" t="s">
        <v>918</v>
      </c>
      <c r="G473" s="30">
        <v>0</v>
      </c>
      <c r="H473" s="12">
        <v>399.9</v>
      </c>
      <c r="I473" s="12">
        <v>399.9</v>
      </c>
    </row>
    <row r="474" spans="1:9" x14ac:dyDescent="0.25">
      <c r="A474" s="114"/>
      <c r="B474" s="6" t="s">
        <v>147</v>
      </c>
      <c r="C474" s="4" t="s">
        <v>831</v>
      </c>
      <c r="D474" s="4" t="s">
        <v>570</v>
      </c>
      <c r="E474" s="41" t="s">
        <v>546</v>
      </c>
      <c r="F474" s="41" t="s">
        <v>918</v>
      </c>
      <c r="G474" s="30">
        <v>0</v>
      </c>
      <c r="H474" s="12">
        <v>399.9</v>
      </c>
      <c r="I474" s="12">
        <v>399.9</v>
      </c>
    </row>
    <row r="475" spans="1:9" x14ac:dyDescent="0.25">
      <c r="A475" s="114"/>
      <c r="B475" s="6" t="s">
        <v>125</v>
      </c>
      <c r="C475" s="4" t="s">
        <v>832</v>
      </c>
      <c r="D475" s="4" t="s">
        <v>562</v>
      </c>
      <c r="E475" s="41" t="s">
        <v>546</v>
      </c>
      <c r="F475" s="41" t="s">
        <v>918</v>
      </c>
      <c r="G475" s="30">
        <v>0</v>
      </c>
      <c r="H475" s="12">
        <v>399.9</v>
      </c>
      <c r="I475" s="12">
        <v>399.9</v>
      </c>
    </row>
    <row r="476" spans="1:9" x14ac:dyDescent="0.25">
      <c r="A476" s="113" t="s">
        <v>27</v>
      </c>
      <c r="B476" s="1" t="s">
        <v>196</v>
      </c>
      <c r="H476"/>
      <c r="I476"/>
    </row>
    <row r="477" spans="1:9" x14ac:dyDescent="0.25">
      <c r="A477" s="114"/>
      <c r="B477" s="5" t="s">
        <v>27</v>
      </c>
      <c r="C477" s="3" t="s">
        <v>395</v>
      </c>
      <c r="D477" s="3" t="s">
        <v>572</v>
      </c>
      <c r="E477" s="36">
        <v>1</v>
      </c>
      <c r="F477" s="36" t="s">
        <v>918</v>
      </c>
      <c r="G477" s="29">
        <v>0</v>
      </c>
      <c r="H477" s="11">
        <v>439.9</v>
      </c>
      <c r="I477" s="11">
        <v>439.9</v>
      </c>
    </row>
    <row r="478" spans="1:9" x14ac:dyDescent="0.25">
      <c r="A478" s="114"/>
      <c r="B478" s="6" t="s">
        <v>143</v>
      </c>
      <c r="C478" s="4" t="s">
        <v>396</v>
      </c>
      <c r="D478" s="4" t="s">
        <v>571</v>
      </c>
      <c r="E478" s="41" t="s">
        <v>546</v>
      </c>
      <c r="F478" s="41" t="s">
        <v>918</v>
      </c>
      <c r="G478" s="30">
        <v>0</v>
      </c>
      <c r="H478" s="12">
        <v>439.9</v>
      </c>
      <c r="I478" s="12">
        <v>439.9</v>
      </c>
    </row>
    <row r="479" spans="1:9" x14ac:dyDescent="0.25">
      <c r="A479" s="114"/>
      <c r="B479" s="6" t="s">
        <v>141</v>
      </c>
      <c r="C479" s="4" t="s">
        <v>833</v>
      </c>
      <c r="D479" s="4" t="s">
        <v>570</v>
      </c>
      <c r="E479" s="41" t="s">
        <v>546</v>
      </c>
      <c r="F479" s="41" t="s">
        <v>918</v>
      </c>
      <c r="G479" s="30">
        <v>0</v>
      </c>
      <c r="H479" s="12">
        <v>439.9</v>
      </c>
      <c r="I479" s="12">
        <v>439.9</v>
      </c>
    </row>
    <row r="480" spans="1:9" x14ac:dyDescent="0.25">
      <c r="A480" s="113" t="s">
        <v>28</v>
      </c>
      <c r="B480" s="1" t="s">
        <v>197</v>
      </c>
      <c r="H480"/>
      <c r="I480"/>
    </row>
    <row r="481" spans="1:9" x14ac:dyDescent="0.25">
      <c r="A481" s="114"/>
      <c r="B481" s="5" t="s">
        <v>28</v>
      </c>
      <c r="C481" s="3" t="s">
        <v>397</v>
      </c>
      <c r="D481" s="3" t="s">
        <v>546</v>
      </c>
      <c r="E481" s="36">
        <v>1</v>
      </c>
      <c r="F481" s="36" t="s">
        <v>918</v>
      </c>
      <c r="G481" s="29">
        <v>0</v>
      </c>
      <c r="H481" s="11">
        <v>259.89999999999998</v>
      </c>
      <c r="I481" s="11">
        <v>259.89999999999998</v>
      </c>
    </row>
    <row r="482" spans="1:9" x14ac:dyDescent="0.25">
      <c r="A482" s="113" t="s">
        <v>140</v>
      </c>
      <c r="B482" s="1" t="s">
        <v>198</v>
      </c>
      <c r="H482"/>
      <c r="I482"/>
    </row>
    <row r="483" spans="1:9" x14ac:dyDescent="0.25">
      <c r="A483" s="114"/>
      <c r="B483" s="5" t="s">
        <v>140</v>
      </c>
      <c r="C483" s="3" t="s">
        <v>398</v>
      </c>
      <c r="D483" s="3" t="s">
        <v>545</v>
      </c>
      <c r="E483" s="36">
        <v>1</v>
      </c>
      <c r="F483" s="36" t="s">
        <v>918</v>
      </c>
      <c r="G483" s="29">
        <v>0</v>
      </c>
      <c r="H483" s="11">
        <v>104.9</v>
      </c>
      <c r="I483" s="11">
        <v>104.9</v>
      </c>
    </row>
    <row r="484" spans="1:9" x14ac:dyDescent="0.25">
      <c r="A484" s="114"/>
      <c r="B484" s="6" t="s">
        <v>144</v>
      </c>
      <c r="C484" s="4" t="s">
        <v>399</v>
      </c>
      <c r="D484" s="4" t="s">
        <v>571</v>
      </c>
      <c r="E484" s="41">
        <v>1</v>
      </c>
      <c r="F484" s="41" t="s">
        <v>918</v>
      </c>
      <c r="G484" s="30">
        <v>0</v>
      </c>
      <c r="H484" s="12">
        <v>104.9</v>
      </c>
      <c r="I484" s="12">
        <v>104.9</v>
      </c>
    </row>
    <row r="485" spans="1:9" x14ac:dyDescent="0.25">
      <c r="A485" s="114"/>
      <c r="B485" s="6" t="s">
        <v>148</v>
      </c>
      <c r="C485" s="4" t="s">
        <v>400</v>
      </c>
      <c r="D485" s="4" t="s">
        <v>570</v>
      </c>
      <c r="E485" s="41">
        <v>1</v>
      </c>
      <c r="F485" s="41" t="s">
        <v>918</v>
      </c>
      <c r="G485" s="30">
        <v>0</v>
      </c>
      <c r="H485" s="12">
        <v>104.9</v>
      </c>
      <c r="I485" s="12">
        <v>104.9</v>
      </c>
    </row>
    <row r="486" spans="1:9" x14ac:dyDescent="0.25">
      <c r="A486" s="114"/>
      <c r="B486" s="6" t="s">
        <v>154</v>
      </c>
      <c r="C486" s="4" t="s">
        <v>401</v>
      </c>
      <c r="D486" s="4" t="s">
        <v>562</v>
      </c>
      <c r="E486" s="41">
        <v>1</v>
      </c>
      <c r="F486" s="41" t="s">
        <v>918</v>
      </c>
      <c r="G486" s="30">
        <v>0</v>
      </c>
      <c r="H486" s="12">
        <v>104.9</v>
      </c>
      <c r="I486" s="12">
        <v>104.9</v>
      </c>
    </row>
    <row r="487" spans="1:9" x14ac:dyDescent="0.25">
      <c r="A487" s="113" t="s">
        <v>51</v>
      </c>
      <c r="B487" s="1" t="s">
        <v>714</v>
      </c>
      <c r="H487"/>
      <c r="I487"/>
    </row>
    <row r="488" spans="1:9" x14ac:dyDescent="0.25">
      <c r="A488" s="114"/>
      <c r="B488" s="5" t="s">
        <v>51</v>
      </c>
      <c r="C488" s="3" t="s">
        <v>402</v>
      </c>
      <c r="D488" s="3" t="s">
        <v>546</v>
      </c>
      <c r="E488" s="36">
        <v>1</v>
      </c>
      <c r="F488" s="36" t="s">
        <v>918</v>
      </c>
      <c r="G488" s="29">
        <v>0</v>
      </c>
      <c r="H488" s="11">
        <v>234.9</v>
      </c>
      <c r="I488" s="11">
        <v>234.9</v>
      </c>
    </row>
    <row r="489" spans="1:9" x14ac:dyDescent="0.25">
      <c r="A489" s="113" t="s">
        <v>52</v>
      </c>
      <c r="B489" s="1" t="s">
        <v>715</v>
      </c>
      <c r="H489"/>
      <c r="I489"/>
    </row>
    <row r="490" spans="1:9" x14ac:dyDescent="0.25">
      <c r="A490" s="114"/>
      <c r="B490" s="5" t="s">
        <v>52</v>
      </c>
      <c r="C490" s="3" t="s">
        <v>403</v>
      </c>
      <c r="D490" s="3" t="s">
        <v>546</v>
      </c>
      <c r="E490" s="36">
        <v>1</v>
      </c>
      <c r="F490" s="36" t="s">
        <v>918</v>
      </c>
      <c r="G490" s="29">
        <v>0</v>
      </c>
      <c r="H490" s="11">
        <v>399.9</v>
      </c>
      <c r="I490" s="11">
        <v>399.9</v>
      </c>
    </row>
    <row r="491" spans="1:9" x14ac:dyDescent="0.25">
      <c r="A491" s="113" t="s">
        <v>38</v>
      </c>
      <c r="B491" s="1" t="s">
        <v>205</v>
      </c>
      <c r="H491"/>
      <c r="I491"/>
    </row>
    <row r="492" spans="1:9" x14ac:dyDescent="0.25">
      <c r="A492" s="114"/>
      <c r="B492" s="5" t="s">
        <v>38</v>
      </c>
      <c r="C492" s="3" t="s">
        <v>404</v>
      </c>
      <c r="D492" s="3" t="s">
        <v>546</v>
      </c>
      <c r="E492" s="36">
        <v>1</v>
      </c>
      <c r="F492" s="36" t="s">
        <v>918</v>
      </c>
      <c r="G492" s="29">
        <v>0</v>
      </c>
      <c r="H492" s="11">
        <v>966.9</v>
      </c>
      <c r="I492" s="11">
        <v>966.9</v>
      </c>
    </row>
    <row r="493" spans="1:9" x14ac:dyDescent="0.25">
      <c r="A493" s="113" t="s">
        <v>49</v>
      </c>
      <c r="B493" s="1" t="s">
        <v>211</v>
      </c>
      <c r="H493"/>
      <c r="I493"/>
    </row>
    <row r="494" spans="1:9" x14ac:dyDescent="0.25">
      <c r="A494" s="114"/>
      <c r="B494" s="5" t="s">
        <v>49</v>
      </c>
      <c r="C494" s="3" t="s">
        <v>405</v>
      </c>
      <c r="D494" s="3" t="s">
        <v>546</v>
      </c>
      <c r="E494" s="36">
        <v>24</v>
      </c>
      <c r="F494" s="36" t="s">
        <v>918</v>
      </c>
      <c r="G494" s="29">
        <v>0</v>
      </c>
      <c r="H494" s="11">
        <v>594.9</v>
      </c>
      <c r="I494" s="11">
        <v>594.9</v>
      </c>
    </row>
    <row r="495" spans="1:9" x14ac:dyDescent="0.25">
      <c r="A495" s="113" t="s">
        <v>152</v>
      </c>
      <c r="B495" s="1" t="s">
        <v>212</v>
      </c>
      <c r="H495"/>
      <c r="I495"/>
    </row>
    <row r="496" spans="1:9" x14ac:dyDescent="0.25">
      <c r="A496" s="114"/>
      <c r="B496" s="5" t="s">
        <v>152</v>
      </c>
      <c r="C496" s="3" t="s">
        <v>406</v>
      </c>
      <c r="D496" s="3" t="s">
        <v>572</v>
      </c>
      <c r="E496" s="36">
        <v>1</v>
      </c>
      <c r="F496" s="36" t="s">
        <v>918</v>
      </c>
      <c r="G496" s="29">
        <v>0</v>
      </c>
      <c r="H496" s="11">
        <v>319.89999999999998</v>
      </c>
      <c r="I496" s="11">
        <v>319.89999999999998</v>
      </c>
    </row>
    <row r="497" spans="1:9" x14ac:dyDescent="0.25">
      <c r="A497" s="114"/>
      <c r="B497" s="6" t="s">
        <v>145</v>
      </c>
      <c r="C497" s="4" t="s">
        <v>407</v>
      </c>
      <c r="D497" s="4" t="s">
        <v>571</v>
      </c>
      <c r="E497" s="41">
        <v>1</v>
      </c>
      <c r="F497" s="41" t="s">
        <v>918</v>
      </c>
      <c r="G497" s="30">
        <v>0</v>
      </c>
      <c r="H497" s="12">
        <v>319.89999999999998</v>
      </c>
      <c r="I497" s="12">
        <v>319.89999999999998</v>
      </c>
    </row>
    <row r="498" spans="1:9" x14ac:dyDescent="0.25">
      <c r="A498" s="114"/>
      <c r="B498" s="6" t="s">
        <v>151</v>
      </c>
      <c r="C498" s="4" t="s">
        <v>408</v>
      </c>
      <c r="D498" s="4" t="s">
        <v>570</v>
      </c>
      <c r="E498" s="41">
        <v>1</v>
      </c>
      <c r="F498" s="41" t="s">
        <v>918</v>
      </c>
      <c r="G498" s="30">
        <v>0</v>
      </c>
      <c r="H498" s="12">
        <v>319.89999999999998</v>
      </c>
      <c r="I498" s="12">
        <v>319.89999999999998</v>
      </c>
    </row>
    <row r="499" spans="1:9" x14ac:dyDescent="0.25">
      <c r="A499" s="114"/>
      <c r="B499" s="6" t="s">
        <v>82</v>
      </c>
      <c r="C499" s="4" t="s">
        <v>409</v>
      </c>
      <c r="D499" s="4" t="s">
        <v>562</v>
      </c>
      <c r="E499" s="41">
        <v>1</v>
      </c>
      <c r="F499" s="41" t="s">
        <v>918</v>
      </c>
      <c r="G499" s="30">
        <v>0</v>
      </c>
      <c r="H499" s="12">
        <v>319.89999999999998</v>
      </c>
      <c r="I499" s="12">
        <v>319.89999999999998</v>
      </c>
    </row>
    <row r="500" spans="1:9" x14ac:dyDescent="0.25">
      <c r="A500" s="113" t="s">
        <v>126</v>
      </c>
      <c r="B500" s="1" t="s">
        <v>213</v>
      </c>
      <c r="H500"/>
      <c r="I500"/>
    </row>
    <row r="501" spans="1:9" x14ac:dyDescent="0.25">
      <c r="A501" s="114"/>
      <c r="B501" s="5" t="s">
        <v>126</v>
      </c>
      <c r="C501" s="3" t="s">
        <v>410</v>
      </c>
      <c r="D501" s="3" t="s">
        <v>572</v>
      </c>
      <c r="E501" s="36">
        <v>1</v>
      </c>
      <c r="F501" s="36" t="s">
        <v>918</v>
      </c>
      <c r="G501" s="29">
        <v>0</v>
      </c>
      <c r="H501" s="11">
        <v>444.9</v>
      </c>
      <c r="I501" s="11">
        <v>444.9</v>
      </c>
    </row>
    <row r="502" spans="1:9" x14ac:dyDescent="0.25">
      <c r="A502" s="114"/>
      <c r="B502" s="6" t="s">
        <v>127</v>
      </c>
      <c r="C502" s="4" t="s">
        <v>411</v>
      </c>
      <c r="D502" s="4" t="s">
        <v>571</v>
      </c>
      <c r="E502" s="41">
        <v>1</v>
      </c>
      <c r="F502" s="41" t="s">
        <v>918</v>
      </c>
      <c r="G502" s="30">
        <v>0</v>
      </c>
      <c r="H502" s="12">
        <v>444.9</v>
      </c>
      <c r="I502" s="12">
        <v>444.9</v>
      </c>
    </row>
    <row r="503" spans="1:9" x14ac:dyDescent="0.25">
      <c r="A503" s="114"/>
      <c r="B503" s="6" t="s">
        <v>128</v>
      </c>
      <c r="C503" s="4" t="s">
        <v>412</v>
      </c>
      <c r="D503" s="4" t="s">
        <v>570</v>
      </c>
      <c r="E503" s="41">
        <v>1</v>
      </c>
      <c r="F503" s="41" t="s">
        <v>918</v>
      </c>
      <c r="G503" s="30">
        <v>0</v>
      </c>
      <c r="H503" s="12">
        <v>444.9</v>
      </c>
      <c r="I503" s="12">
        <v>444.9</v>
      </c>
    </row>
    <row r="504" spans="1:9" x14ac:dyDescent="0.25">
      <c r="A504" s="114"/>
      <c r="B504" s="6" t="s">
        <v>806</v>
      </c>
      <c r="C504" s="4" t="s">
        <v>834</v>
      </c>
      <c r="D504" s="4" t="s">
        <v>562</v>
      </c>
      <c r="E504" s="41" t="s">
        <v>546</v>
      </c>
      <c r="F504" s="41" t="s">
        <v>918</v>
      </c>
      <c r="G504" s="30">
        <v>0</v>
      </c>
      <c r="H504" s="12">
        <v>444.9</v>
      </c>
      <c r="I504" s="12">
        <v>444.9</v>
      </c>
    </row>
    <row r="505" spans="1:9" x14ac:dyDescent="0.25">
      <c r="A505" s="113" t="s">
        <v>153</v>
      </c>
      <c r="B505" s="1" t="s">
        <v>214</v>
      </c>
      <c r="H505"/>
      <c r="I505"/>
    </row>
    <row r="506" spans="1:9" x14ac:dyDescent="0.25">
      <c r="A506" s="114"/>
      <c r="B506" s="5" t="s">
        <v>153</v>
      </c>
      <c r="C506" s="3" t="s">
        <v>413</v>
      </c>
      <c r="D506" s="3" t="s">
        <v>572</v>
      </c>
      <c r="E506" s="36">
        <v>1</v>
      </c>
      <c r="F506" s="36" t="s">
        <v>918</v>
      </c>
      <c r="G506" s="29">
        <v>0</v>
      </c>
      <c r="H506" s="11">
        <v>594.9</v>
      </c>
      <c r="I506" s="11">
        <v>594.9</v>
      </c>
    </row>
    <row r="507" spans="1:9" x14ac:dyDescent="0.25">
      <c r="A507" s="114"/>
      <c r="B507" s="6" t="s">
        <v>146</v>
      </c>
      <c r="C507" s="4" t="s">
        <v>414</v>
      </c>
      <c r="D507" s="4" t="s">
        <v>571</v>
      </c>
      <c r="E507" s="41">
        <v>1</v>
      </c>
      <c r="F507" s="41" t="s">
        <v>918</v>
      </c>
      <c r="G507" s="30">
        <v>0</v>
      </c>
      <c r="H507" s="12">
        <v>594.9</v>
      </c>
      <c r="I507" s="12">
        <v>594.9</v>
      </c>
    </row>
    <row r="508" spans="1:9" x14ac:dyDescent="0.25">
      <c r="A508" s="114"/>
      <c r="B508" s="6" t="s">
        <v>129</v>
      </c>
      <c r="C508" s="4" t="s">
        <v>415</v>
      </c>
      <c r="D508" s="4" t="s">
        <v>570</v>
      </c>
      <c r="E508" s="41">
        <v>1</v>
      </c>
      <c r="F508" s="41" t="s">
        <v>918</v>
      </c>
      <c r="G508" s="30">
        <v>0</v>
      </c>
      <c r="H508" s="12">
        <v>594.9</v>
      </c>
      <c r="I508" s="12">
        <v>594.9</v>
      </c>
    </row>
    <row r="509" spans="1:9" x14ac:dyDescent="0.25">
      <c r="A509" s="114"/>
      <c r="B509" s="6" t="s">
        <v>83</v>
      </c>
      <c r="C509" s="4" t="s">
        <v>416</v>
      </c>
      <c r="D509" s="4" t="s">
        <v>562</v>
      </c>
      <c r="E509" s="41">
        <v>1</v>
      </c>
      <c r="F509" s="41" t="s">
        <v>918</v>
      </c>
      <c r="G509" s="30">
        <v>0</v>
      </c>
      <c r="H509" s="12">
        <v>594.9</v>
      </c>
      <c r="I509" s="12">
        <v>594.9</v>
      </c>
    </row>
    <row r="510" spans="1:9" x14ac:dyDescent="0.25">
      <c r="A510" s="113" t="s">
        <v>509</v>
      </c>
      <c r="B510" s="1" t="s">
        <v>510</v>
      </c>
      <c r="H510"/>
      <c r="I510"/>
    </row>
    <row r="511" spans="1:9" x14ac:dyDescent="0.25">
      <c r="A511" s="114"/>
      <c r="B511" s="5" t="s">
        <v>509</v>
      </c>
      <c r="C511" s="3" t="s">
        <v>511</v>
      </c>
      <c r="D511" s="3" t="s">
        <v>546</v>
      </c>
      <c r="E511" s="36">
        <v>48</v>
      </c>
      <c r="F511" s="36" t="s">
        <v>918</v>
      </c>
      <c r="G511" s="29">
        <v>0</v>
      </c>
      <c r="H511" s="11">
        <v>79.900000000000006</v>
      </c>
      <c r="I511" s="11">
        <v>79.900000000000006</v>
      </c>
    </row>
    <row r="512" spans="1:9" x14ac:dyDescent="0.25">
      <c r="A512" s="113" t="s">
        <v>513</v>
      </c>
      <c r="B512" s="1" t="s">
        <v>512</v>
      </c>
      <c r="H512"/>
      <c r="I512"/>
    </row>
    <row r="513" spans="1:9" x14ac:dyDescent="0.25">
      <c r="A513" s="114"/>
      <c r="B513" s="5" t="s">
        <v>513</v>
      </c>
      <c r="C513" s="3" t="s">
        <v>514</v>
      </c>
      <c r="D513" s="3" t="s">
        <v>546</v>
      </c>
      <c r="E513" s="36">
        <v>24</v>
      </c>
      <c r="F513" s="36" t="s">
        <v>918</v>
      </c>
      <c r="G513" s="29">
        <v>0</v>
      </c>
      <c r="H513" s="11">
        <v>119.9</v>
      </c>
      <c r="I513" s="11">
        <v>119.9</v>
      </c>
    </row>
    <row r="514" spans="1:9" x14ac:dyDescent="0.25">
      <c r="A514" s="113" t="s">
        <v>515</v>
      </c>
      <c r="B514" s="1" t="s">
        <v>789</v>
      </c>
      <c r="H514"/>
      <c r="I514"/>
    </row>
    <row r="515" spans="1:9" x14ac:dyDescent="0.25">
      <c r="A515" s="114"/>
      <c r="B515" s="5" t="s">
        <v>515</v>
      </c>
      <c r="C515" s="3" t="s">
        <v>521</v>
      </c>
      <c r="D515" s="3" t="s">
        <v>546</v>
      </c>
      <c r="E515" s="36">
        <v>10</v>
      </c>
      <c r="F515" s="36" t="s">
        <v>918</v>
      </c>
      <c r="G515" s="29">
        <v>0</v>
      </c>
      <c r="H515" s="11">
        <v>445.9</v>
      </c>
      <c r="I515" s="11">
        <v>445.9</v>
      </c>
    </row>
    <row r="516" spans="1:9" x14ac:dyDescent="0.25">
      <c r="A516" s="113" t="s">
        <v>516</v>
      </c>
      <c r="B516" s="1" t="s">
        <v>793</v>
      </c>
      <c r="H516"/>
      <c r="I516"/>
    </row>
    <row r="517" spans="1:9" x14ac:dyDescent="0.25">
      <c r="A517" s="114"/>
      <c r="B517" s="5" t="s">
        <v>516</v>
      </c>
      <c r="C517" s="3" t="s">
        <v>517</v>
      </c>
      <c r="D517" s="3" t="s">
        <v>546</v>
      </c>
      <c r="E517" s="36" t="s">
        <v>546</v>
      </c>
      <c r="F517" s="36" t="s">
        <v>918</v>
      </c>
      <c r="G517" s="29">
        <v>0</v>
      </c>
      <c r="H517" s="11">
        <v>162.9</v>
      </c>
      <c r="I517" s="11">
        <v>162.9</v>
      </c>
    </row>
    <row r="518" spans="1:9" x14ac:dyDescent="0.25">
      <c r="A518" s="113" t="s">
        <v>589</v>
      </c>
      <c r="B518" s="1" t="s">
        <v>590</v>
      </c>
      <c r="H518"/>
      <c r="I518"/>
    </row>
    <row r="519" spans="1:9" x14ac:dyDescent="0.25">
      <c r="A519" s="114"/>
      <c r="B519" s="5" t="s">
        <v>589</v>
      </c>
      <c r="C519" s="3" t="s">
        <v>591</v>
      </c>
      <c r="D519" s="3" t="s">
        <v>545</v>
      </c>
      <c r="E519" s="36">
        <v>1</v>
      </c>
      <c r="F519" s="36" t="s">
        <v>918</v>
      </c>
      <c r="G519" s="29">
        <v>0</v>
      </c>
      <c r="H519" s="11">
        <v>99.9</v>
      </c>
      <c r="I519" s="11">
        <v>99.9</v>
      </c>
    </row>
    <row r="520" spans="1:9" x14ac:dyDescent="0.25">
      <c r="A520" s="113" t="s">
        <v>595</v>
      </c>
      <c r="B520" s="1" t="s">
        <v>596</v>
      </c>
      <c r="H520"/>
      <c r="I520"/>
    </row>
    <row r="521" spans="1:9" x14ac:dyDescent="0.25">
      <c r="A521" s="114"/>
      <c r="B521" s="5" t="s">
        <v>595</v>
      </c>
      <c r="C521" s="3" t="s">
        <v>597</v>
      </c>
      <c r="D521" s="3" t="s">
        <v>546</v>
      </c>
      <c r="E521" s="36">
        <v>1</v>
      </c>
      <c r="F521" s="36" t="s">
        <v>918</v>
      </c>
      <c r="G521" s="29">
        <v>0</v>
      </c>
      <c r="H521" s="11">
        <v>19.899999999999999</v>
      </c>
      <c r="I521" s="11">
        <v>19.899999999999999</v>
      </c>
    </row>
    <row r="522" spans="1:9" x14ac:dyDescent="0.25">
      <c r="A522" s="113" t="s">
        <v>605</v>
      </c>
      <c r="B522" s="1" t="s">
        <v>606</v>
      </c>
      <c r="H522"/>
      <c r="I522"/>
    </row>
    <row r="523" spans="1:9" x14ac:dyDescent="0.25">
      <c r="A523" s="114"/>
      <c r="B523" s="5" t="s">
        <v>605</v>
      </c>
      <c r="C523" s="3" t="s">
        <v>607</v>
      </c>
      <c r="D523" s="3" t="s">
        <v>546</v>
      </c>
      <c r="E523" s="36">
        <v>20</v>
      </c>
      <c r="F523" s="36" t="s">
        <v>918</v>
      </c>
      <c r="G523" s="29">
        <v>0</v>
      </c>
      <c r="H523" s="11">
        <v>319.89999999999998</v>
      </c>
      <c r="I523" s="11">
        <v>319.89999999999998</v>
      </c>
    </row>
    <row r="524" spans="1:9" x14ac:dyDescent="0.25">
      <c r="A524" s="113" t="s">
        <v>629</v>
      </c>
      <c r="B524" s="1" t="s">
        <v>630</v>
      </c>
      <c r="H524"/>
      <c r="I524"/>
    </row>
    <row r="525" spans="1:9" x14ac:dyDescent="0.25">
      <c r="A525" s="114"/>
      <c r="B525" s="5" t="s">
        <v>629</v>
      </c>
      <c r="C525" s="3" t="s">
        <v>631</v>
      </c>
      <c r="D525" s="3" t="s">
        <v>546</v>
      </c>
      <c r="E525" s="36">
        <v>40</v>
      </c>
      <c r="F525" s="36" t="s">
        <v>918</v>
      </c>
      <c r="G525" s="29">
        <v>0</v>
      </c>
      <c r="H525" s="11">
        <v>239.9</v>
      </c>
      <c r="I525" s="11">
        <v>239.9</v>
      </c>
    </row>
    <row r="526" spans="1:9" x14ac:dyDescent="0.25">
      <c r="A526" s="113" t="s">
        <v>655</v>
      </c>
      <c r="B526" s="1" t="s">
        <v>656</v>
      </c>
      <c r="H526"/>
      <c r="I526"/>
    </row>
    <row r="527" spans="1:9" x14ac:dyDescent="0.25">
      <c r="A527" s="114"/>
      <c r="B527" s="5" t="s">
        <v>655</v>
      </c>
      <c r="C527" s="3" t="s">
        <v>657</v>
      </c>
      <c r="D527" s="3" t="s">
        <v>546</v>
      </c>
      <c r="E527" s="36">
        <v>1</v>
      </c>
      <c r="F527" s="36" t="s">
        <v>918</v>
      </c>
      <c r="G527" s="29">
        <v>0</v>
      </c>
      <c r="H527" s="11">
        <v>119.9</v>
      </c>
      <c r="I527" s="11">
        <v>119.9</v>
      </c>
    </row>
    <row r="528" spans="1:9" x14ac:dyDescent="0.25">
      <c r="A528" s="113" t="s">
        <v>658</v>
      </c>
      <c r="B528" s="1" t="s">
        <v>659</v>
      </c>
      <c r="H528"/>
      <c r="I528"/>
    </row>
    <row r="529" spans="1:9" x14ac:dyDescent="0.25">
      <c r="A529" s="114"/>
      <c r="B529" s="5" t="s">
        <v>658</v>
      </c>
      <c r="C529" s="3" t="s">
        <v>660</v>
      </c>
      <c r="D529" s="3" t="s">
        <v>572</v>
      </c>
      <c r="E529" s="36">
        <v>1</v>
      </c>
      <c r="F529" s="36" t="s">
        <v>918</v>
      </c>
      <c r="G529" s="29">
        <v>0</v>
      </c>
      <c r="H529" s="11">
        <v>439.9</v>
      </c>
      <c r="I529" s="11">
        <v>439.9</v>
      </c>
    </row>
    <row r="530" spans="1:9" x14ac:dyDescent="0.25">
      <c r="A530" s="114"/>
      <c r="B530" s="6" t="s">
        <v>661</v>
      </c>
      <c r="C530" s="4" t="s">
        <v>662</v>
      </c>
      <c r="D530" s="4" t="s">
        <v>571</v>
      </c>
      <c r="E530" s="41">
        <v>1</v>
      </c>
      <c r="F530" s="41" t="s">
        <v>918</v>
      </c>
      <c r="G530" s="30">
        <v>0</v>
      </c>
      <c r="H530" s="12">
        <v>439.9</v>
      </c>
      <c r="I530" s="12">
        <v>439.9</v>
      </c>
    </row>
    <row r="531" spans="1:9" x14ac:dyDescent="0.25">
      <c r="A531" s="114"/>
      <c r="B531" s="6" t="s">
        <v>663</v>
      </c>
      <c r="C531" s="4" t="s">
        <v>664</v>
      </c>
      <c r="D531" s="4" t="s">
        <v>570</v>
      </c>
      <c r="E531" s="41">
        <v>1</v>
      </c>
      <c r="F531" s="41" t="s">
        <v>918</v>
      </c>
      <c r="G531" s="30">
        <v>0</v>
      </c>
      <c r="H531" s="12">
        <v>439.9</v>
      </c>
      <c r="I531" s="12">
        <v>439.9</v>
      </c>
    </row>
    <row r="532" spans="1:9" x14ac:dyDescent="0.25">
      <c r="A532" s="114"/>
      <c r="B532" s="6" t="s">
        <v>665</v>
      </c>
      <c r="C532" s="4" t="s">
        <v>666</v>
      </c>
      <c r="D532" s="4" t="s">
        <v>562</v>
      </c>
      <c r="E532" s="41">
        <v>1</v>
      </c>
      <c r="F532" s="41" t="s">
        <v>918</v>
      </c>
      <c r="G532" s="30">
        <v>0</v>
      </c>
      <c r="H532" s="12">
        <v>439.9</v>
      </c>
      <c r="I532" s="12">
        <v>439.9</v>
      </c>
    </row>
    <row r="533" spans="1:9" x14ac:dyDescent="0.25">
      <c r="A533" s="113" t="s">
        <v>890</v>
      </c>
      <c r="B533" s="1" t="s">
        <v>206</v>
      </c>
      <c r="H533"/>
      <c r="I533"/>
    </row>
    <row r="534" spans="1:9" x14ac:dyDescent="0.25">
      <c r="A534" s="114"/>
      <c r="B534" s="5" t="s">
        <v>890</v>
      </c>
      <c r="C534" s="3" t="s">
        <v>891</v>
      </c>
      <c r="D534" s="3" t="s">
        <v>546</v>
      </c>
      <c r="E534" s="36">
        <v>1</v>
      </c>
      <c r="F534" s="36" t="s">
        <v>918</v>
      </c>
      <c r="G534" s="29">
        <v>0</v>
      </c>
      <c r="H534" s="11">
        <v>1264.9000000000001</v>
      </c>
      <c r="I534" s="11">
        <v>1264.9000000000001</v>
      </c>
    </row>
    <row r="535" spans="1:9" x14ac:dyDescent="0.25">
      <c r="A535" s="113" t="s">
        <v>786</v>
      </c>
      <c r="B535" s="1" t="s">
        <v>787</v>
      </c>
      <c r="H535"/>
      <c r="I535"/>
    </row>
    <row r="536" spans="1:9" x14ac:dyDescent="0.25">
      <c r="A536" s="114"/>
      <c r="B536" s="5" t="s">
        <v>786</v>
      </c>
      <c r="C536" s="3" t="s">
        <v>788</v>
      </c>
      <c r="D536" s="3" t="s">
        <v>546</v>
      </c>
      <c r="E536" s="36" t="s">
        <v>546</v>
      </c>
      <c r="F536" s="36" t="s">
        <v>918</v>
      </c>
      <c r="G536" s="29">
        <v>0</v>
      </c>
      <c r="H536" s="11">
        <v>399.9</v>
      </c>
      <c r="I536" s="11">
        <v>399.9</v>
      </c>
    </row>
    <row r="537" spans="1:9" x14ac:dyDescent="0.25">
      <c r="A537" s="113" t="s">
        <v>812</v>
      </c>
      <c r="B537" s="1" t="s">
        <v>813</v>
      </c>
      <c r="H537"/>
      <c r="I537"/>
    </row>
    <row r="538" spans="1:9" x14ac:dyDescent="0.25">
      <c r="A538" s="114"/>
      <c r="B538" s="5" t="s">
        <v>812</v>
      </c>
      <c r="C538" s="3" t="s">
        <v>814</v>
      </c>
      <c r="D538" s="3" t="s">
        <v>546</v>
      </c>
      <c r="E538" s="36">
        <v>20</v>
      </c>
      <c r="F538" s="36" t="s">
        <v>918</v>
      </c>
      <c r="G538" s="29">
        <v>0</v>
      </c>
      <c r="H538" s="11">
        <v>279.89999999999998</v>
      </c>
      <c r="I538" s="11">
        <v>279.89999999999998</v>
      </c>
    </row>
    <row r="539" spans="1:9" x14ac:dyDescent="0.25">
      <c r="A539" s="113" t="s">
        <v>815</v>
      </c>
      <c r="B539" s="1" t="s">
        <v>816</v>
      </c>
      <c r="H539"/>
      <c r="I539"/>
    </row>
    <row r="540" spans="1:9" x14ac:dyDescent="0.25">
      <c r="A540" s="114"/>
      <c r="B540" s="5" t="s">
        <v>815</v>
      </c>
      <c r="C540" s="3" t="s">
        <v>817</v>
      </c>
      <c r="D540" s="3" t="s">
        <v>546</v>
      </c>
      <c r="E540" s="36">
        <v>20</v>
      </c>
      <c r="F540" s="36" t="s">
        <v>918</v>
      </c>
      <c r="G540" s="29">
        <v>0</v>
      </c>
      <c r="H540" s="11">
        <v>364.9</v>
      </c>
      <c r="I540" s="11">
        <v>364.9</v>
      </c>
    </row>
    <row r="541" spans="1:9" x14ac:dyDescent="0.25">
      <c r="A541" s="113" t="s">
        <v>818</v>
      </c>
      <c r="B541" s="1" t="s">
        <v>1242</v>
      </c>
      <c r="H541"/>
      <c r="I541"/>
    </row>
    <row r="542" spans="1:9" x14ac:dyDescent="0.25">
      <c r="A542" s="114"/>
      <c r="B542" s="5" t="s">
        <v>818</v>
      </c>
      <c r="C542" s="3" t="s">
        <v>819</v>
      </c>
      <c r="D542" s="3" t="s">
        <v>546</v>
      </c>
      <c r="E542" s="36">
        <v>1</v>
      </c>
      <c r="F542" s="36" t="s">
        <v>918</v>
      </c>
      <c r="G542" s="29">
        <v>0</v>
      </c>
      <c r="H542" s="11">
        <v>719.9</v>
      </c>
      <c r="I542" s="11">
        <v>719.9</v>
      </c>
    </row>
    <row r="543" spans="1:9" x14ac:dyDescent="0.25">
      <c r="A543" s="113" t="s">
        <v>820</v>
      </c>
      <c r="B543" s="1" t="s">
        <v>1243</v>
      </c>
      <c r="H543"/>
      <c r="I543"/>
    </row>
    <row r="544" spans="1:9" x14ac:dyDescent="0.25">
      <c r="A544" s="114"/>
      <c r="B544" s="5" t="s">
        <v>820</v>
      </c>
      <c r="C544" s="3" t="s">
        <v>821</v>
      </c>
      <c r="D544" s="3" t="s">
        <v>546</v>
      </c>
      <c r="E544" s="36">
        <v>1</v>
      </c>
      <c r="F544" s="36" t="s">
        <v>918</v>
      </c>
      <c r="G544" s="29">
        <v>0</v>
      </c>
      <c r="H544" s="11">
        <v>1279.9000000000001</v>
      </c>
      <c r="I544" s="11">
        <v>1279.9000000000001</v>
      </c>
    </row>
    <row r="545" spans="1:9" x14ac:dyDescent="0.25">
      <c r="A545" s="113" t="s">
        <v>892</v>
      </c>
      <c r="B545" s="1" t="s">
        <v>893</v>
      </c>
      <c r="H545"/>
      <c r="I545"/>
    </row>
    <row r="546" spans="1:9" x14ac:dyDescent="0.25">
      <c r="A546" s="114"/>
      <c r="B546" s="5" t="s">
        <v>892</v>
      </c>
      <c r="C546" s="3" t="s">
        <v>894</v>
      </c>
      <c r="D546" s="3" t="s">
        <v>546</v>
      </c>
      <c r="E546" s="36">
        <v>1</v>
      </c>
      <c r="F546" s="36" t="s">
        <v>918</v>
      </c>
      <c r="G546" s="29">
        <v>0</v>
      </c>
      <c r="H546" s="11">
        <v>2339.9</v>
      </c>
      <c r="I546" s="11">
        <v>2339.9</v>
      </c>
    </row>
    <row r="547" spans="1:9" x14ac:dyDescent="0.25">
      <c r="A547" s="113" t="s">
        <v>900</v>
      </c>
      <c r="B547" s="1" t="s">
        <v>904</v>
      </c>
      <c r="H547"/>
      <c r="I547"/>
    </row>
    <row r="548" spans="1:9" x14ac:dyDescent="0.25">
      <c r="A548" s="114"/>
      <c r="B548" s="5" t="s">
        <v>900</v>
      </c>
      <c r="C548" s="3" t="s">
        <v>905</v>
      </c>
      <c r="D548" s="3" t="s">
        <v>546</v>
      </c>
      <c r="E548" s="36">
        <v>12</v>
      </c>
      <c r="F548" s="36" t="s">
        <v>919</v>
      </c>
      <c r="G548" s="29">
        <v>0</v>
      </c>
      <c r="H548" s="11">
        <v>894.9</v>
      </c>
      <c r="I548" s="11">
        <v>894.9</v>
      </c>
    </row>
    <row r="549" spans="1:9" x14ac:dyDescent="0.25">
      <c r="A549" s="113" t="s">
        <v>901</v>
      </c>
      <c r="B549" s="1" t="s">
        <v>1830</v>
      </c>
      <c r="H549"/>
      <c r="I549"/>
    </row>
    <row r="550" spans="1:9" x14ac:dyDescent="0.25">
      <c r="A550" s="114"/>
      <c r="B550" s="5" t="s">
        <v>901</v>
      </c>
      <c r="C550" s="3" t="s">
        <v>906</v>
      </c>
      <c r="D550" s="3" t="s">
        <v>545</v>
      </c>
      <c r="E550" s="36">
        <v>18</v>
      </c>
      <c r="F550" s="36" t="s">
        <v>919</v>
      </c>
      <c r="G550" s="29">
        <v>0</v>
      </c>
      <c r="H550" s="11">
        <v>399.9</v>
      </c>
      <c r="I550" s="11">
        <v>399.9</v>
      </c>
    </row>
    <row r="551" spans="1:9" x14ac:dyDescent="0.25">
      <c r="A551" s="114"/>
      <c r="B551" s="6" t="s">
        <v>902</v>
      </c>
      <c r="C551" s="4" t="s">
        <v>907</v>
      </c>
      <c r="D551" s="4" t="s">
        <v>570</v>
      </c>
      <c r="E551" s="41">
        <v>18</v>
      </c>
      <c r="F551" s="41" t="s">
        <v>919</v>
      </c>
      <c r="G551" s="30">
        <v>0</v>
      </c>
      <c r="H551" s="12">
        <v>399.9</v>
      </c>
      <c r="I551" s="12">
        <v>399.9</v>
      </c>
    </row>
    <row r="552" spans="1:9" x14ac:dyDescent="0.25">
      <c r="A552" s="113" t="s">
        <v>908</v>
      </c>
      <c r="B552" s="1" t="s">
        <v>909</v>
      </c>
      <c r="H552"/>
      <c r="I552"/>
    </row>
    <row r="553" spans="1:9" x14ac:dyDescent="0.25">
      <c r="A553" s="114"/>
      <c r="B553" s="5" t="s">
        <v>908</v>
      </c>
      <c r="C553" s="3" t="s">
        <v>910</v>
      </c>
      <c r="D553" s="3" t="s">
        <v>546</v>
      </c>
      <c r="E553" s="36">
        <v>24</v>
      </c>
      <c r="F553" s="36" t="s">
        <v>918</v>
      </c>
      <c r="G553" s="29">
        <v>0</v>
      </c>
      <c r="H553" s="11">
        <v>119.9</v>
      </c>
      <c r="I553" s="11">
        <v>119.9</v>
      </c>
    </row>
    <row r="554" spans="1:9" x14ac:dyDescent="0.25">
      <c r="A554" s="113" t="s">
        <v>913</v>
      </c>
      <c r="B554" s="1" t="s">
        <v>914</v>
      </c>
      <c r="H554"/>
      <c r="I554"/>
    </row>
    <row r="555" spans="1:9" x14ac:dyDescent="0.25">
      <c r="A555" s="114"/>
      <c r="B555" s="5" t="s">
        <v>913</v>
      </c>
      <c r="C555" s="3" t="s">
        <v>915</v>
      </c>
      <c r="D555" s="3" t="s">
        <v>546</v>
      </c>
      <c r="E555" s="36">
        <v>24</v>
      </c>
      <c r="F555" s="36" t="s">
        <v>918</v>
      </c>
      <c r="G555" s="29">
        <v>0</v>
      </c>
      <c r="H555" s="11">
        <v>259.89999999999998</v>
      </c>
      <c r="I555" s="11">
        <v>259.89999999999998</v>
      </c>
    </row>
    <row r="556" spans="1:9" x14ac:dyDescent="0.25">
      <c r="A556" s="113" t="s">
        <v>934</v>
      </c>
      <c r="B556" s="1" t="s">
        <v>935</v>
      </c>
      <c r="H556"/>
      <c r="I556"/>
    </row>
    <row r="557" spans="1:9" x14ac:dyDescent="0.25">
      <c r="A557" s="114"/>
      <c r="B557" s="5" t="s">
        <v>934</v>
      </c>
      <c r="C557" s="3" t="s">
        <v>936</v>
      </c>
      <c r="D557" s="3" t="s">
        <v>546</v>
      </c>
      <c r="E557" s="36">
        <v>1</v>
      </c>
      <c r="F557" s="36" t="s">
        <v>918</v>
      </c>
      <c r="G557" s="29">
        <v>0</v>
      </c>
      <c r="H557" s="11">
        <v>29.9</v>
      </c>
      <c r="I557" s="11">
        <v>29.9</v>
      </c>
    </row>
    <row r="558" spans="1:9" x14ac:dyDescent="0.25">
      <c r="A558" s="113" t="s">
        <v>931</v>
      </c>
      <c r="B558" s="1" t="s">
        <v>932</v>
      </c>
      <c r="H558"/>
      <c r="I558"/>
    </row>
    <row r="559" spans="1:9" x14ac:dyDescent="0.25">
      <c r="A559" s="114"/>
      <c r="B559" s="5" t="s">
        <v>931</v>
      </c>
      <c r="C559" s="3" t="s">
        <v>933</v>
      </c>
      <c r="D559" s="3" t="s">
        <v>546</v>
      </c>
      <c r="E559" s="36" t="s">
        <v>546</v>
      </c>
      <c r="F559" s="36" t="s">
        <v>918</v>
      </c>
      <c r="G559" s="29">
        <v>0</v>
      </c>
      <c r="H559" s="11">
        <v>199.9</v>
      </c>
      <c r="I559" s="11">
        <v>199.9</v>
      </c>
    </row>
    <row r="560" spans="1:9" x14ac:dyDescent="0.25">
      <c r="A560" s="113" t="s">
        <v>585</v>
      </c>
      <c r="B560" s="1" t="s">
        <v>586</v>
      </c>
      <c r="H560"/>
      <c r="I560"/>
    </row>
    <row r="561" spans="1:9" x14ac:dyDescent="0.25">
      <c r="A561" s="114"/>
      <c r="B561" s="5" t="s">
        <v>585</v>
      </c>
      <c r="C561" s="3" t="s">
        <v>830</v>
      </c>
      <c r="D561" s="3" t="s">
        <v>562</v>
      </c>
      <c r="E561" s="36" t="s">
        <v>546</v>
      </c>
      <c r="F561" s="36" t="s">
        <v>918</v>
      </c>
      <c r="G561" s="29">
        <v>0</v>
      </c>
      <c r="H561" s="11">
        <v>444.9</v>
      </c>
      <c r="I561" s="11">
        <v>444.9</v>
      </c>
    </row>
    <row r="562" spans="1:9" x14ac:dyDescent="0.25">
      <c r="A562" s="113" t="s">
        <v>950</v>
      </c>
      <c r="B562" s="1" t="s">
        <v>965</v>
      </c>
      <c r="H562"/>
      <c r="I562"/>
    </row>
    <row r="563" spans="1:9" x14ac:dyDescent="0.25">
      <c r="A563" s="114"/>
      <c r="B563" s="5" t="s">
        <v>950</v>
      </c>
      <c r="C563" s="3" t="s">
        <v>980</v>
      </c>
      <c r="D563" s="3" t="s">
        <v>546</v>
      </c>
      <c r="E563" s="36" t="s">
        <v>546</v>
      </c>
      <c r="F563" s="36" t="s">
        <v>922</v>
      </c>
      <c r="G563" s="29">
        <v>0</v>
      </c>
      <c r="H563" s="11">
        <v>439.9</v>
      </c>
      <c r="I563" s="11">
        <v>439.9</v>
      </c>
    </row>
    <row r="564" spans="1:9" x14ac:dyDescent="0.25">
      <c r="A564" s="113" t="s">
        <v>951</v>
      </c>
      <c r="B564" s="1" t="s">
        <v>966</v>
      </c>
      <c r="H564"/>
      <c r="I564"/>
    </row>
    <row r="565" spans="1:9" x14ac:dyDescent="0.25">
      <c r="A565" s="114"/>
      <c r="B565" s="5" t="s">
        <v>951</v>
      </c>
      <c r="C565" s="3" t="s">
        <v>978</v>
      </c>
      <c r="D565" s="3" t="s">
        <v>1380</v>
      </c>
      <c r="E565" s="36" t="s">
        <v>546</v>
      </c>
      <c r="F565" s="36" t="s">
        <v>918</v>
      </c>
      <c r="G565" s="29">
        <v>0</v>
      </c>
      <c r="H565" s="11">
        <v>79.900000000000006</v>
      </c>
      <c r="I565" s="11">
        <v>79.900000000000006</v>
      </c>
    </row>
    <row r="566" spans="1:9" x14ac:dyDescent="0.25">
      <c r="A566" s="113" t="s">
        <v>952</v>
      </c>
      <c r="B566" s="1" t="s">
        <v>967</v>
      </c>
      <c r="H566"/>
      <c r="I566"/>
    </row>
    <row r="567" spans="1:9" x14ac:dyDescent="0.25">
      <c r="A567" s="114"/>
      <c r="B567" s="5" t="s">
        <v>952</v>
      </c>
      <c r="C567" s="3" t="s">
        <v>979</v>
      </c>
      <c r="D567" s="3" t="s">
        <v>1384</v>
      </c>
      <c r="E567" s="36">
        <v>1</v>
      </c>
      <c r="F567" s="36" t="s">
        <v>918</v>
      </c>
      <c r="G567" s="29">
        <v>0</v>
      </c>
      <c r="H567" s="11">
        <v>184.9</v>
      </c>
      <c r="I567" s="11">
        <v>184.9</v>
      </c>
    </row>
    <row r="568" spans="1:9" x14ac:dyDescent="0.25">
      <c r="A568" s="113" t="s">
        <v>1094</v>
      </c>
      <c r="B568" s="1" t="s">
        <v>1095</v>
      </c>
      <c r="H568"/>
      <c r="I568"/>
    </row>
    <row r="569" spans="1:9" x14ac:dyDescent="0.25">
      <c r="A569" s="114"/>
      <c r="B569" s="5" t="s">
        <v>1094</v>
      </c>
      <c r="C569" s="3" t="s">
        <v>1096</v>
      </c>
      <c r="D569" s="3" t="s">
        <v>546</v>
      </c>
      <c r="E569" s="36">
        <v>6</v>
      </c>
      <c r="F569" s="36" t="s">
        <v>918</v>
      </c>
      <c r="G569" s="29">
        <v>0</v>
      </c>
      <c r="H569" s="11">
        <v>668.9</v>
      </c>
      <c r="I569" s="11">
        <v>668.9</v>
      </c>
    </row>
    <row r="570" spans="1:9" x14ac:dyDescent="0.25">
      <c r="A570" s="114"/>
      <c r="B570" s="1" t="s">
        <v>1646</v>
      </c>
      <c r="H570"/>
      <c r="I570"/>
    </row>
    <row r="571" spans="1:9" x14ac:dyDescent="0.25">
      <c r="A571" s="114"/>
      <c r="B571" s="5" t="s">
        <v>1644</v>
      </c>
      <c r="C571" s="3" t="s">
        <v>1645</v>
      </c>
      <c r="D571" s="3" t="s">
        <v>546</v>
      </c>
      <c r="E571" s="36">
        <v>6</v>
      </c>
      <c r="F571" s="36" t="s">
        <v>918</v>
      </c>
      <c r="G571" s="29">
        <v>0</v>
      </c>
      <c r="H571" s="11">
        <v>668.9</v>
      </c>
      <c r="I571" s="11">
        <v>668.9</v>
      </c>
    </row>
    <row r="572" spans="1:9" x14ac:dyDescent="0.25">
      <c r="A572" s="113" t="s">
        <v>1138</v>
      </c>
      <c r="B572" s="1" t="s">
        <v>1139</v>
      </c>
      <c r="H572"/>
      <c r="I572"/>
    </row>
    <row r="573" spans="1:9" x14ac:dyDescent="0.25">
      <c r="A573" s="114"/>
      <c r="B573" s="5" t="s">
        <v>1138</v>
      </c>
      <c r="C573" s="3" t="s">
        <v>1140</v>
      </c>
      <c r="D573" s="3" t="s">
        <v>546</v>
      </c>
      <c r="E573" s="36" t="s">
        <v>546</v>
      </c>
      <c r="F573" s="36" t="s">
        <v>918</v>
      </c>
      <c r="G573" s="29">
        <v>0</v>
      </c>
      <c r="H573" s="11">
        <v>109.9</v>
      </c>
      <c r="I573" s="11">
        <v>109.9</v>
      </c>
    </row>
    <row r="574" spans="1:9" x14ac:dyDescent="0.25">
      <c r="A574" s="113" t="s">
        <v>1141</v>
      </c>
      <c r="B574" s="1" t="s">
        <v>1142</v>
      </c>
      <c r="H574"/>
      <c r="I574"/>
    </row>
    <row r="575" spans="1:9" x14ac:dyDescent="0.25">
      <c r="A575" s="114"/>
      <c r="B575" s="5" t="s">
        <v>1141</v>
      </c>
      <c r="C575" s="3" t="s">
        <v>1143</v>
      </c>
      <c r="D575" s="3" t="s">
        <v>546</v>
      </c>
      <c r="E575" s="36" t="s">
        <v>546</v>
      </c>
      <c r="F575" s="36" t="s">
        <v>918</v>
      </c>
      <c r="G575" s="29">
        <v>0</v>
      </c>
      <c r="H575" s="11">
        <v>59.9</v>
      </c>
      <c r="I575" s="11">
        <v>59.9</v>
      </c>
    </row>
    <row r="576" spans="1:9" x14ac:dyDescent="0.25">
      <c r="A576" s="113" t="s">
        <v>1156</v>
      </c>
      <c r="B576" s="1" t="s">
        <v>1157</v>
      </c>
      <c r="H576"/>
      <c r="I576"/>
    </row>
    <row r="577" spans="1:9" x14ac:dyDescent="0.25">
      <c r="A577" s="114"/>
      <c r="B577" s="5" t="s">
        <v>1156</v>
      </c>
      <c r="C577" s="3" t="s">
        <v>1158</v>
      </c>
      <c r="D577" s="3" t="s">
        <v>546</v>
      </c>
      <c r="E577" s="36" t="s">
        <v>546</v>
      </c>
      <c r="F577" s="36" t="s">
        <v>918</v>
      </c>
      <c r="G577" s="29">
        <v>0</v>
      </c>
      <c r="H577" s="11">
        <v>369.9</v>
      </c>
      <c r="I577" s="11">
        <v>369.9</v>
      </c>
    </row>
    <row r="578" spans="1:9" x14ac:dyDescent="0.25">
      <c r="A578" s="113" t="s">
        <v>1162</v>
      </c>
      <c r="B578" s="1" t="s">
        <v>1163</v>
      </c>
      <c r="H578"/>
      <c r="I578"/>
    </row>
    <row r="579" spans="1:9" x14ac:dyDescent="0.25">
      <c r="A579" s="114"/>
      <c r="B579" s="5" t="s">
        <v>1162</v>
      </c>
      <c r="C579" s="3" t="s">
        <v>1164</v>
      </c>
      <c r="D579" s="3" t="s">
        <v>546</v>
      </c>
      <c r="E579" s="36">
        <v>100</v>
      </c>
      <c r="F579" s="36" t="s">
        <v>918</v>
      </c>
      <c r="G579" s="29">
        <v>0</v>
      </c>
      <c r="H579" s="11">
        <v>59.9</v>
      </c>
      <c r="I579" s="11">
        <v>59.9</v>
      </c>
    </row>
    <row r="580" spans="1:9" x14ac:dyDescent="0.25">
      <c r="A580" s="113" t="s">
        <v>1165</v>
      </c>
      <c r="B580" s="1" t="s">
        <v>1166</v>
      </c>
      <c r="H580"/>
      <c r="I580"/>
    </row>
    <row r="581" spans="1:9" x14ac:dyDescent="0.25">
      <c r="A581" s="114"/>
      <c r="B581" s="5" t="s">
        <v>1165</v>
      </c>
      <c r="C581" s="3" t="s">
        <v>1167</v>
      </c>
      <c r="D581" s="3" t="s">
        <v>546</v>
      </c>
      <c r="E581" s="36" t="s">
        <v>546</v>
      </c>
      <c r="F581" s="36" t="s">
        <v>918</v>
      </c>
      <c r="G581" s="29">
        <v>0</v>
      </c>
      <c r="H581" s="11">
        <v>159.9</v>
      </c>
      <c r="I581" s="11">
        <v>159.9</v>
      </c>
    </row>
    <row r="582" spans="1:9" x14ac:dyDescent="0.25">
      <c r="A582" s="113" t="s">
        <v>1171</v>
      </c>
      <c r="B582" s="1" t="s">
        <v>1169</v>
      </c>
      <c r="H582"/>
      <c r="I582"/>
    </row>
    <row r="583" spans="1:9" x14ac:dyDescent="0.25">
      <c r="A583" s="114"/>
      <c r="B583" s="5" t="s">
        <v>1171</v>
      </c>
      <c r="C583" s="3" t="s">
        <v>1170</v>
      </c>
      <c r="D583" s="3" t="s">
        <v>546</v>
      </c>
      <c r="E583" s="36" t="s">
        <v>546</v>
      </c>
      <c r="F583" s="36" t="s">
        <v>918</v>
      </c>
      <c r="G583" s="29">
        <v>0</v>
      </c>
      <c r="H583" s="11">
        <v>21.5</v>
      </c>
      <c r="I583" s="11">
        <v>21.5</v>
      </c>
    </row>
    <row r="584" spans="1:9" x14ac:dyDescent="0.25">
      <c r="A584" s="113" t="s">
        <v>1193</v>
      </c>
      <c r="B584" s="1" t="s">
        <v>1194</v>
      </c>
      <c r="H584"/>
      <c r="I584"/>
    </row>
    <row r="585" spans="1:9" x14ac:dyDescent="0.25">
      <c r="A585" s="114"/>
      <c r="B585" s="5" t="s">
        <v>1193</v>
      </c>
      <c r="C585" s="3" t="s">
        <v>1195</v>
      </c>
      <c r="D585" s="3" t="s">
        <v>546</v>
      </c>
      <c r="E585" s="36" t="s">
        <v>546</v>
      </c>
      <c r="F585" s="36" t="s">
        <v>1196</v>
      </c>
      <c r="G585" s="29" t="s">
        <v>1197</v>
      </c>
      <c r="H585" s="11">
        <v>439.9</v>
      </c>
      <c r="I585" s="11">
        <v>439.9</v>
      </c>
    </row>
    <row r="586" spans="1:9" x14ac:dyDescent="0.25">
      <c r="A586" s="113" t="s">
        <v>1228</v>
      </c>
      <c r="B586" s="1" t="s">
        <v>1241</v>
      </c>
      <c r="H586"/>
      <c r="I586"/>
    </row>
    <row r="587" spans="1:9" x14ac:dyDescent="0.25">
      <c r="A587" s="114"/>
      <c r="B587" s="5" t="s">
        <v>1228</v>
      </c>
      <c r="C587" s="3" t="s">
        <v>1273</v>
      </c>
      <c r="D587" s="3" t="s">
        <v>546</v>
      </c>
      <c r="E587" s="36" t="s">
        <v>546</v>
      </c>
      <c r="F587" s="36" t="s">
        <v>918</v>
      </c>
      <c r="G587" s="29">
        <v>0</v>
      </c>
      <c r="H587" s="11">
        <v>299.89999999999998</v>
      </c>
      <c r="I587" s="11">
        <v>299.89999999999998</v>
      </c>
    </row>
    <row r="588" spans="1:9" x14ac:dyDescent="0.25">
      <c r="A588" s="113" t="s">
        <v>1229</v>
      </c>
      <c r="B588" s="1" t="s">
        <v>1262</v>
      </c>
      <c r="H588"/>
      <c r="I588"/>
    </row>
    <row r="589" spans="1:9" x14ac:dyDescent="0.25">
      <c r="A589" s="114"/>
      <c r="B589" s="5" t="s">
        <v>1229</v>
      </c>
      <c r="C589" s="3" t="s">
        <v>1266</v>
      </c>
      <c r="D589" s="3" t="s">
        <v>546</v>
      </c>
      <c r="E589" s="36" t="s">
        <v>546</v>
      </c>
      <c r="F589" s="36" t="s">
        <v>918</v>
      </c>
      <c r="G589" s="29">
        <v>0</v>
      </c>
      <c r="H589" s="11">
        <v>409.9</v>
      </c>
      <c r="I589" s="11">
        <v>409.9</v>
      </c>
    </row>
    <row r="590" spans="1:9" x14ac:dyDescent="0.25">
      <c r="A590" s="113" t="s">
        <v>1240</v>
      </c>
      <c r="B590" s="1" t="s">
        <v>1262</v>
      </c>
      <c r="H590"/>
      <c r="I590"/>
    </row>
    <row r="591" spans="1:9" x14ac:dyDescent="0.25">
      <c r="A591" s="114"/>
      <c r="B591" s="5" t="s">
        <v>1240</v>
      </c>
      <c r="C591" s="3" t="s">
        <v>1267</v>
      </c>
      <c r="D591" s="3" t="s">
        <v>546</v>
      </c>
      <c r="E591" s="36" t="s">
        <v>546</v>
      </c>
      <c r="F591" s="36" t="s">
        <v>918</v>
      </c>
      <c r="G591" s="29">
        <v>0</v>
      </c>
      <c r="H591" s="11">
        <v>296.89999999999998</v>
      </c>
      <c r="I591" s="11">
        <v>296.89999999999998</v>
      </c>
    </row>
    <row r="592" spans="1:9" x14ac:dyDescent="0.25">
      <c r="A592" s="113" t="s">
        <v>1253</v>
      </c>
      <c r="B592" s="1" t="s">
        <v>1254</v>
      </c>
      <c r="H592"/>
      <c r="I592"/>
    </row>
    <row r="593" spans="1:9" x14ac:dyDescent="0.25">
      <c r="A593" s="114"/>
      <c r="B593" s="5" t="s">
        <v>1253</v>
      </c>
      <c r="C593" s="3" t="s">
        <v>1274</v>
      </c>
      <c r="D593" s="3" t="s">
        <v>546</v>
      </c>
      <c r="E593" s="36" t="s">
        <v>546</v>
      </c>
      <c r="F593" s="36" t="s">
        <v>1196</v>
      </c>
      <c r="G593" s="29" t="s">
        <v>1197</v>
      </c>
      <c r="H593" s="11">
        <v>2968.9</v>
      </c>
      <c r="I593" s="11">
        <v>2968.9</v>
      </c>
    </row>
    <row r="594" spans="1:9" x14ac:dyDescent="0.25">
      <c r="A594" s="113" t="s">
        <v>1247</v>
      </c>
      <c r="B594" s="1" t="s">
        <v>1248</v>
      </c>
      <c r="H594"/>
      <c r="I594"/>
    </row>
    <row r="595" spans="1:9" x14ac:dyDescent="0.25">
      <c r="A595" s="114"/>
      <c r="B595" s="5" t="s">
        <v>1247</v>
      </c>
      <c r="C595" s="3" t="s">
        <v>1275</v>
      </c>
      <c r="D595" s="3" t="s">
        <v>546</v>
      </c>
      <c r="E595" s="36" t="s">
        <v>546</v>
      </c>
      <c r="F595" s="36" t="s">
        <v>1196</v>
      </c>
      <c r="G595" s="29" t="s">
        <v>1197</v>
      </c>
      <c r="H595" s="11">
        <v>290</v>
      </c>
      <c r="I595" s="11">
        <v>290</v>
      </c>
    </row>
    <row r="596" spans="1:9" x14ac:dyDescent="0.25">
      <c r="A596" s="113" t="s">
        <v>1249</v>
      </c>
      <c r="B596" s="1" t="s">
        <v>1250</v>
      </c>
      <c r="H596"/>
      <c r="I596"/>
    </row>
    <row r="597" spans="1:9" x14ac:dyDescent="0.25">
      <c r="A597" s="114"/>
      <c r="B597" s="5" t="s">
        <v>1249</v>
      </c>
      <c r="C597" s="3" t="s">
        <v>1276</v>
      </c>
      <c r="D597" s="3" t="s">
        <v>546</v>
      </c>
      <c r="E597" s="36" t="s">
        <v>546</v>
      </c>
      <c r="F597" s="36" t="s">
        <v>1196</v>
      </c>
      <c r="G597" s="29" t="s">
        <v>1197</v>
      </c>
      <c r="H597" s="11">
        <v>335</v>
      </c>
      <c r="I597" s="11">
        <v>335</v>
      </c>
    </row>
    <row r="598" spans="1:9" x14ac:dyDescent="0.25">
      <c r="A598" s="113" t="s">
        <v>1260</v>
      </c>
      <c r="B598" s="1" t="s">
        <v>1261</v>
      </c>
      <c r="H598"/>
      <c r="I598"/>
    </row>
    <row r="599" spans="1:9" x14ac:dyDescent="0.25">
      <c r="A599" s="114"/>
      <c r="B599" s="5" t="s">
        <v>1260</v>
      </c>
      <c r="C599" s="3" t="s">
        <v>1277</v>
      </c>
      <c r="D599" s="3" t="s">
        <v>546</v>
      </c>
      <c r="E599" s="36" t="s">
        <v>546</v>
      </c>
      <c r="F599" s="36" t="s">
        <v>1196</v>
      </c>
      <c r="G599" s="29" t="s">
        <v>1197</v>
      </c>
      <c r="H599" s="11">
        <v>66</v>
      </c>
      <c r="I599" s="11">
        <v>66</v>
      </c>
    </row>
    <row r="600" spans="1:9" x14ac:dyDescent="0.25">
      <c r="A600" s="113" t="s">
        <v>1230</v>
      </c>
      <c r="B600" s="1" t="s">
        <v>1258</v>
      </c>
      <c r="H600"/>
      <c r="I600"/>
    </row>
    <row r="601" spans="1:9" x14ac:dyDescent="0.25">
      <c r="A601" s="114"/>
      <c r="B601" s="5" t="s">
        <v>1230</v>
      </c>
      <c r="C601" s="3" t="s">
        <v>1286</v>
      </c>
      <c r="D601" s="3" t="s">
        <v>546</v>
      </c>
      <c r="E601" s="36" t="s">
        <v>546</v>
      </c>
      <c r="F601" s="36" t="s">
        <v>1196</v>
      </c>
      <c r="G601" s="29" t="s">
        <v>1197</v>
      </c>
      <c r="H601" s="11">
        <v>189</v>
      </c>
      <c r="I601" s="11">
        <v>189</v>
      </c>
    </row>
    <row r="602" spans="1:9" x14ac:dyDescent="0.25">
      <c r="A602" s="113" t="s">
        <v>1231</v>
      </c>
      <c r="B602" s="1" t="s">
        <v>1257</v>
      </c>
      <c r="H602"/>
      <c r="I602"/>
    </row>
    <row r="603" spans="1:9" x14ac:dyDescent="0.25">
      <c r="A603" s="114"/>
      <c r="B603" s="5" t="s">
        <v>1231</v>
      </c>
      <c r="C603" s="3" t="s">
        <v>1287</v>
      </c>
      <c r="D603" s="3" t="s">
        <v>546</v>
      </c>
      <c r="E603" s="36" t="s">
        <v>546</v>
      </c>
      <c r="F603" s="36" t="s">
        <v>1196</v>
      </c>
      <c r="G603" s="29" t="s">
        <v>1197</v>
      </c>
      <c r="H603" s="11">
        <v>189</v>
      </c>
      <c r="I603" s="11">
        <v>189</v>
      </c>
    </row>
    <row r="604" spans="1:9" x14ac:dyDescent="0.25">
      <c r="A604" s="113" t="s">
        <v>1255</v>
      </c>
      <c r="B604" s="1" t="s">
        <v>1256</v>
      </c>
      <c r="H604"/>
      <c r="I604"/>
    </row>
    <row r="605" spans="1:9" x14ac:dyDescent="0.25">
      <c r="A605" s="114"/>
      <c r="B605" s="5" t="s">
        <v>1255</v>
      </c>
      <c r="C605" s="3" t="s">
        <v>1278</v>
      </c>
      <c r="D605" s="3" t="s">
        <v>546</v>
      </c>
      <c r="E605" s="36" t="s">
        <v>546</v>
      </c>
      <c r="F605" s="36" t="s">
        <v>1196</v>
      </c>
      <c r="G605" s="29" t="s">
        <v>1197</v>
      </c>
      <c r="H605" s="11">
        <v>3460</v>
      </c>
      <c r="I605" s="11">
        <v>3460</v>
      </c>
    </row>
    <row r="606" spans="1:9" x14ac:dyDescent="0.25">
      <c r="A606" s="113" t="s">
        <v>1251</v>
      </c>
      <c r="B606" s="1" t="s">
        <v>1252</v>
      </c>
      <c r="H606"/>
      <c r="I606"/>
    </row>
    <row r="607" spans="1:9" x14ac:dyDescent="0.25">
      <c r="A607" s="114"/>
      <c r="B607" s="5" t="s">
        <v>1251</v>
      </c>
      <c r="C607" s="3" t="s">
        <v>1279</v>
      </c>
      <c r="D607" s="3" t="s">
        <v>546</v>
      </c>
      <c r="E607" s="36" t="s">
        <v>546</v>
      </c>
      <c r="F607" s="36" t="s">
        <v>1196</v>
      </c>
      <c r="G607" s="29" t="s">
        <v>1197</v>
      </c>
      <c r="H607" s="11">
        <v>60</v>
      </c>
      <c r="I607" s="11">
        <v>60</v>
      </c>
    </row>
    <row r="608" spans="1:9" x14ac:dyDescent="0.25">
      <c r="A608" s="113" t="s">
        <v>1282</v>
      </c>
      <c r="B608" s="1" t="s">
        <v>1259</v>
      </c>
      <c r="H608"/>
      <c r="I608"/>
    </row>
    <row r="609" spans="1:9" x14ac:dyDescent="0.25">
      <c r="A609" s="114"/>
      <c r="B609" s="5" t="s">
        <v>1282</v>
      </c>
      <c r="C609" s="3" t="s">
        <v>1288</v>
      </c>
      <c r="D609" s="3" t="s">
        <v>546</v>
      </c>
      <c r="E609" s="36" t="s">
        <v>546</v>
      </c>
      <c r="F609" s="36" t="s">
        <v>1196</v>
      </c>
      <c r="G609" s="29" t="s">
        <v>1197</v>
      </c>
      <c r="H609" s="11">
        <v>189</v>
      </c>
      <c r="I609" s="11">
        <v>189</v>
      </c>
    </row>
    <row r="610" spans="1:9" x14ac:dyDescent="0.25">
      <c r="A610" s="113" t="s">
        <v>1245</v>
      </c>
      <c r="B610" s="1" t="s">
        <v>1246</v>
      </c>
      <c r="H610"/>
      <c r="I610"/>
    </row>
    <row r="611" spans="1:9" x14ac:dyDescent="0.25">
      <c r="A611" s="114"/>
      <c r="B611" s="5" t="s">
        <v>1245</v>
      </c>
      <c r="C611" s="3" t="s">
        <v>1280</v>
      </c>
      <c r="D611" s="3" t="s">
        <v>546</v>
      </c>
      <c r="E611" s="36" t="s">
        <v>546</v>
      </c>
      <c r="F611" s="36" t="s">
        <v>1196</v>
      </c>
      <c r="G611" s="29" t="s">
        <v>1197</v>
      </c>
      <c r="H611" s="11">
        <v>289</v>
      </c>
      <c r="I611" s="11">
        <v>289</v>
      </c>
    </row>
    <row r="612" spans="1:9" x14ac:dyDescent="0.25">
      <c r="A612" s="113" t="s">
        <v>1289</v>
      </c>
      <c r="B612" s="1" t="s">
        <v>1290</v>
      </c>
      <c r="H612"/>
      <c r="I612"/>
    </row>
    <row r="613" spans="1:9" x14ac:dyDescent="0.25">
      <c r="A613" s="114"/>
      <c r="B613" s="5" t="s">
        <v>1289</v>
      </c>
      <c r="C613" s="3" t="s">
        <v>1291</v>
      </c>
      <c r="D613" s="3" t="s">
        <v>546</v>
      </c>
      <c r="E613" s="36">
        <v>20</v>
      </c>
      <c r="F613" s="36" t="s">
        <v>919</v>
      </c>
      <c r="G613" s="29">
        <v>0</v>
      </c>
      <c r="H613" s="11">
        <v>445</v>
      </c>
      <c r="I613" s="11">
        <v>445</v>
      </c>
    </row>
    <row r="614" spans="1:9" x14ac:dyDescent="0.25">
      <c r="A614" s="113" t="s">
        <v>687</v>
      </c>
      <c r="B614" s="1" t="s">
        <v>688</v>
      </c>
      <c r="H614"/>
      <c r="I614"/>
    </row>
    <row r="615" spans="1:9" x14ac:dyDescent="0.25">
      <c r="A615" s="114"/>
      <c r="B615" s="5" t="s">
        <v>687</v>
      </c>
      <c r="C615" s="3" t="s">
        <v>689</v>
      </c>
      <c r="D615" s="3" t="s">
        <v>571</v>
      </c>
      <c r="E615" s="36" t="s">
        <v>546</v>
      </c>
      <c r="F615" s="36" t="s">
        <v>918</v>
      </c>
      <c r="G615" s="29">
        <v>0</v>
      </c>
      <c r="H615" s="11">
        <v>79.900000000000006</v>
      </c>
      <c r="I615" s="11">
        <v>79.900000000000006</v>
      </c>
    </row>
    <row r="616" spans="1:9" x14ac:dyDescent="0.25">
      <c r="A616" s="113" t="s">
        <v>1339</v>
      </c>
      <c r="B616" s="1" t="s">
        <v>1340</v>
      </c>
      <c r="H616"/>
      <c r="I616"/>
    </row>
    <row r="617" spans="1:9" x14ac:dyDescent="0.25">
      <c r="A617" s="114"/>
      <c r="B617" s="5" t="s">
        <v>1339</v>
      </c>
      <c r="C617" s="3" t="s">
        <v>1341</v>
      </c>
      <c r="D617" s="3" t="s">
        <v>546</v>
      </c>
      <c r="E617" s="36" t="s">
        <v>546</v>
      </c>
      <c r="F617" s="36" t="s">
        <v>918</v>
      </c>
      <c r="G617" s="29">
        <v>0</v>
      </c>
      <c r="H617" s="11">
        <v>44.9</v>
      </c>
      <c r="I617" s="11">
        <v>44.9</v>
      </c>
    </row>
    <row r="618" spans="1:9" x14ac:dyDescent="0.25">
      <c r="A618" s="113" t="s">
        <v>1370</v>
      </c>
      <c r="B618" s="1" t="s">
        <v>1371</v>
      </c>
      <c r="H618"/>
      <c r="I618"/>
    </row>
    <row r="619" spans="1:9" x14ac:dyDescent="0.25">
      <c r="A619" s="114"/>
      <c r="B619" s="5" t="s">
        <v>1370</v>
      </c>
      <c r="C619" s="3" t="s">
        <v>1389</v>
      </c>
      <c r="D619" s="3" t="s">
        <v>546</v>
      </c>
      <c r="E619" s="36">
        <v>1</v>
      </c>
      <c r="F619" s="36" t="s">
        <v>918</v>
      </c>
      <c r="G619" s="29">
        <v>0</v>
      </c>
      <c r="H619" s="11">
        <v>149.9</v>
      </c>
      <c r="I619" s="11">
        <v>149.9</v>
      </c>
    </row>
    <row r="620" spans="1:9" x14ac:dyDescent="0.25">
      <c r="A620" s="113" t="s">
        <v>1429</v>
      </c>
      <c r="B620" s="1" t="s">
        <v>1664</v>
      </c>
      <c r="H620"/>
      <c r="I620"/>
    </row>
    <row r="621" spans="1:9" x14ac:dyDescent="0.25">
      <c r="A621" s="114"/>
      <c r="B621" s="5" t="s">
        <v>1670</v>
      </c>
      <c r="C621" s="3" t="s">
        <v>1676</v>
      </c>
      <c r="D621" s="3" t="s">
        <v>546</v>
      </c>
      <c r="E621" s="36" t="s">
        <v>546</v>
      </c>
      <c r="F621" s="36" t="s">
        <v>918</v>
      </c>
      <c r="G621" s="29">
        <v>0</v>
      </c>
      <c r="H621" s="11">
        <v>104.9</v>
      </c>
      <c r="I621" s="11">
        <v>104.9</v>
      </c>
    </row>
    <row r="622" spans="1:9" x14ac:dyDescent="0.25">
      <c r="A622" s="113" t="s">
        <v>1641</v>
      </c>
      <c r="B622" s="1" t="s">
        <v>1642</v>
      </c>
      <c r="H622"/>
      <c r="I622"/>
    </row>
    <row r="623" spans="1:9" x14ac:dyDescent="0.25">
      <c r="A623" s="114"/>
      <c r="B623" s="5" t="s">
        <v>1641</v>
      </c>
      <c r="C623" s="3" t="s">
        <v>1643</v>
      </c>
      <c r="D623" s="3" t="s">
        <v>546</v>
      </c>
      <c r="E623" s="36">
        <v>1</v>
      </c>
      <c r="F623" s="36" t="s">
        <v>918</v>
      </c>
      <c r="G623" s="29">
        <v>0</v>
      </c>
      <c r="H623" s="11">
        <v>966.9</v>
      </c>
      <c r="I623" s="11">
        <v>966.9</v>
      </c>
    </row>
    <row r="624" spans="1:9" x14ac:dyDescent="0.25">
      <c r="A624" s="113" t="s">
        <v>1659</v>
      </c>
      <c r="B624" s="1" t="s">
        <v>1661</v>
      </c>
      <c r="H624"/>
      <c r="I624"/>
    </row>
    <row r="625" spans="1:9" x14ac:dyDescent="0.25">
      <c r="A625" s="114"/>
      <c r="B625" s="5" t="s">
        <v>1659</v>
      </c>
      <c r="C625" s="3" t="s">
        <v>1660</v>
      </c>
      <c r="D625" s="3" t="s">
        <v>546</v>
      </c>
      <c r="E625" s="36" t="s">
        <v>546</v>
      </c>
      <c r="F625" s="36" t="s">
        <v>918</v>
      </c>
      <c r="G625" s="29">
        <v>0</v>
      </c>
      <c r="H625" s="11">
        <v>149.9</v>
      </c>
      <c r="I625" s="11">
        <v>149.9</v>
      </c>
    </row>
    <row r="626" spans="1:9" x14ac:dyDescent="0.25">
      <c r="A626" s="113" t="s">
        <v>1665</v>
      </c>
      <c r="B626" s="1" t="s">
        <v>1666</v>
      </c>
      <c r="H626"/>
      <c r="I626"/>
    </row>
    <row r="627" spans="1:9" x14ac:dyDescent="0.25">
      <c r="A627" s="114"/>
      <c r="B627" s="5" t="s">
        <v>1665</v>
      </c>
      <c r="C627" s="3" t="s">
        <v>1667</v>
      </c>
      <c r="D627" s="3" t="s">
        <v>546</v>
      </c>
      <c r="E627" s="36" t="s">
        <v>546</v>
      </c>
      <c r="F627" s="36" t="s">
        <v>918</v>
      </c>
      <c r="G627" s="29">
        <v>0</v>
      </c>
      <c r="H627" s="11">
        <v>259.89999999999998</v>
      </c>
      <c r="I627" s="11">
        <v>259.89999999999998</v>
      </c>
    </row>
    <row r="628" spans="1:9" x14ac:dyDescent="0.25">
      <c r="A628" s="113" t="s">
        <v>1673</v>
      </c>
      <c r="B628" s="1" t="s">
        <v>1372</v>
      </c>
      <c r="H628"/>
      <c r="I628"/>
    </row>
    <row r="629" spans="1:9" x14ac:dyDescent="0.25">
      <c r="A629" s="114"/>
      <c r="B629" s="5" t="s">
        <v>1701</v>
      </c>
      <c r="C629" s="3" t="s">
        <v>1390</v>
      </c>
      <c r="D629" s="3" t="s">
        <v>546</v>
      </c>
      <c r="E629" s="36">
        <v>1</v>
      </c>
      <c r="F629" s="36" t="s">
        <v>918</v>
      </c>
      <c r="G629" s="29">
        <v>0</v>
      </c>
      <c r="H629" s="11">
        <v>184.9</v>
      </c>
      <c r="I629" s="11">
        <v>184.9</v>
      </c>
    </row>
    <row r="630" spans="1:9" x14ac:dyDescent="0.25">
      <c r="A630" s="113" t="s">
        <v>1715</v>
      </c>
      <c r="B630" s="1" t="s">
        <v>1721</v>
      </c>
      <c r="H630"/>
      <c r="I630"/>
    </row>
    <row r="631" spans="1:9" x14ac:dyDescent="0.25">
      <c r="A631" s="114"/>
      <c r="B631" s="5" t="s">
        <v>1715</v>
      </c>
      <c r="C631" s="3" t="s">
        <v>1727</v>
      </c>
      <c r="D631" s="3" t="s">
        <v>546</v>
      </c>
      <c r="E631" s="36" t="s">
        <v>546</v>
      </c>
      <c r="F631" s="36" t="s">
        <v>918</v>
      </c>
      <c r="G631" s="29">
        <v>0</v>
      </c>
      <c r="H631" s="11">
        <v>259.89999999999998</v>
      </c>
      <c r="I631" s="11">
        <v>259.89999999999998</v>
      </c>
    </row>
    <row r="632" spans="1:9" x14ac:dyDescent="0.25">
      <c r="A632" s="113" t="s">
        <v>1779</v>
      </c>
      <c r="B632" s="1" t="s">
        <v>1780</v>
      </c>
      <c r="H632"/>
      <c r="I632"/>
    </row>
    <row r="633" spans="1:9" x14ac:dyDescent="0.25">
      <c r="A633" s="114"/>
      <c r="B633" s="5" t="s">
        <v>1779</v>
      </c>
      <c r="C633" s="3" t="s">
        <v>1781</v>
      </c>
      <c r="D633" s="3" t="s">
        <v>546</v>
      </c>
      <c r="E633" s="36" t="s">
        <v>546</v>
      </c>
      <c r="F633" s="36" t="s">
        <v>1196</v>
      </c>
      <c r="G633" s="29" t="s">
        <v>1197</v>
      </c>
      <c r="H633" s="11">
        <v>1399.9</v>
      </c>
      <c r="I633" s="11">
        <v>1399.9</v>
      </c>
    </row>
    <row r="634" spans="1:9" x14ac:dyDescent="0.25">
      <c r="A634" s="113" t="s">
        <v>1782</v>
      </c>
      <c r="B634" s="1" t="s">
        <v>1796</v>
      </c>
      <c r="H634"/>
      <c r="I634"/>
    </row>
    <row r="635" spans="1:9" x14ac:dyDescent="0.25">
      <c r="A635" s="114"/>
      <c r="B635" s="5" t="s">
        <v>1782</v>
      </c>
      <c r="C635" s="3" t="s">
        <v>1810</v>
      </c>
      <c r="D635" s="3" t="s">
        <v>546</v>
      </c>
      <c r="E635" s="36" t="s">
        <v>546</v>
      </c>
      <c r="F635" s="36" t="s">
        <v>1196</v>
      </c>
      <c r="G635" s="29" t="s">
        <v>1197</v>
      </c>
      <c r="H635" s="11">
        <v>149</v>
      </c>
      <c r="I635" s="11">
        <v>149</v>
      </c>
    </row>
    <row r="636" spans="1:9" x14ac:dyDescent="0.25">
      <c r="A636" s="113" t="s">
        <v>1784</v>
      </c>
      <c r="B636" s="1" t="s">
        <v>1798</v>
      </c>
      <c r="H636"/>
      <c r="I636"/>
    </row>
    <row r="637" spans="1:9" x14ac:dyDescent="0.25">
      <c r="A637" s="114"/>
      <c r="B637" s="5" t="s">
        <v>1784</v>
      </c>
      <c r="C637" s="3" t="s">
        <v>1812</v>
      </c>
      <c r="D637" s="3" t="s">
        <v>546</v>
      </c>
      <c r="E637" s="36" t="s">
        <v>546</v>
      </c>
      <c r="F637" s="36" t="s">
        <v>1196</v>
      </c>
      <c r="G637" s="29" t="s">
        <v>1197</v>
      </c>
      <c r="H637" s="11">
        <v>149</v>
      </c>
      <c r="I637" s="11">
        <v>149</v>
      </c>
    </row>
    <row r="638" spans="1:9" x14ac:dyDescent="0.25">
      <c r="A638" s="113" t="s">
        <v>1827</v>
      </c>
      <c r="B638" s="1" t="s">
        <v>1828</v>
      </c>
      <c r="H638"/>
      <c r="I638"/>
    </row>
    <row r="639" spans="1:9" x14ac:dyDescent="0.25">
      <c r="A639" s="114"/>
      <c r="B639" s="5" t="s">
        <v>1827</v>
      </c>
      <c r="C639" s="3" t="s">
        <v>1829</v>
      </c>
      <c r="D639" s="3" t="s">
        <v>546</v>
      </c>
      <c r="E639" s="36" t="s">
        <v>546</v>
      </c>
      <c r="F639" s="36" t="s">
        <v>918</v>
      </c>
      <c r="G639" s="29">
        <v>0</v>
      </c>
      <c r="H639" s="11">
        <v>149.9</v>
      </c>
      <c r="I639" s="11">
        <v>149.9</v>
      </c>
    </row>
    <row r="640" spans="1:9" x14ac:dyDescent="0.25">
      <c r="A640" s="10" t="s">
        <v>1418</v>
      </c>
      <c r="B640" s="7"/>
      <c r="C640" s="7"/>
      <c r="D640" s="7"/>
      <c r="E640" s="7"/>
      <c r="F640" s="7"/>
      <c r="G640" s="7"/>
      <c r="H640" s="7"/>
      <c r="I640" s="7"/>
    </row>
    <row r="641" spans="1:9" x14ac:dyDescent="0.25">
      <c r="A641" s="113" t="s">
        <v>1783</v>
      </c>
      <c r="B641" s="1" t="s">
        <v>1797</v>
      </c>
      <c r="H641"/>
      <c r="I641"/>
    </row>
    <row r="642" spans="1:9" x14ac:dyDescent="0.25">
      <c r="A642" s="114"/>
      <c r="B642" s="5" t="s">
        <v>1783</v>
      </c>
      <c r="C642" s="3" t="s">
        <v>1811</v>
      </c>
      <c r="D642" s="3" t="s">
        <v>546</v>
      </c>
      <c r="E642" s="36" t="s">
        <v>546</v>
      </c>
      <c r="F642" s="36" t="s">
        <v>1196</v>
      </c>
      <c r="G642" s="29" t="s">
        <v>1197</v>
      </c>
      <c r="H642" s="11">
        <v>149</v>
      </c>
      <c r="I642" s="11">
        <v>149</v>
      </c>
    </row>
    <row r="643" spans="1:9" x14ac:dyDescent="0.25">
      <c r="A643" s="113" t="s">
        <v>1785</v>
      </c>
      <c r="B643" s="1" t="s">
        <v>1799</v>
      </c>
      <c r="H643"/>
      <c r="I643"/>
    </row>
    <row r="644" spans="1:9" x14ac:dyDescent="0.25">
      <c r="A644" s="114"/>
      <c r="B644" s="5" t="s">
        <v>1785</v>
      </c>
      <c r="C644" s="3" t="s">
        <v>1813</v>
      </c>
      <c r="D644" s="3" t="s">
        <v>546</v>
      </c>
      <c r="E644" s="36" t="s">
        <v>546</v>
      </c>
      <c r="F644" s="36" t="s">
        <v>1196</v>
      </c>
      <c r="G644" s="29" t="s">
        <v>1197</v>
      </c>
      <c r="H644" s="11">
        <v>149</v>
      </c>
      <c r="I644" s="11">
        <v>149</v>
      </c>
    </row>
    <row r="645" spans="1:9" x14ac:dyDescent="0.25">
      <c r="A645" s="113" t="s">
        <v>1786</v>
      </c>
      <c r="B645" s="1" t="s">
        <v>1800</v>
      </c>
      <c r="H645"/>
      <c r="I645"/>
    </row>
    <row r="646" spans="1:9" x14ac:dyDescent="0.25">
      <c r="A646" s="114"/>
      <c r="B646" s="5" t="s">
        <v>1786</v>
      </c>
      <c r="C646" s="3" t="s">
        <v>1814</v>
      </c>
      <c r="D646" s="3" t="s">
        <v>546</v>
      </c>
      <c r="E646" s="36" t="s">
        <v>546</v>
      </c>
      <c r="F646" s="36" t="s">
        <v>1196</v>
      </c>
      <c r="G646" s="29" t="s">
        <v>1197</v>
      </c>
      <c r="H646" s="11">
        <v>149</v>
      </c>
      <c r="I646" s="11">
        <v>149</v>
      </c>
    </row>
    <row r="647" spans="1:9" x14ac:dyDescent="0.25">
      <c r="A647" s="113" t="s">
        <v>1787</v>
      </c>
      <c r="B647" s="1" t="s">
        <v>1801</v>
      </c>
      <c r="H647"/>
      <c r="I647"/>
    </row>
    <row r="648" spans="1:9" x14ac:dyDescent="0.25">
      <c r="A648" s="114"/>
      <c r="B648" s="5" t="s">
        <v>1787</v>
      </c>
      <c r="C648" s="3" t="s">
        <v>1815</v>
      </c>
      <c r="D648" s="3" t="s">
        <v>546</v>
      </c>
      <c r="E648" s="36" t="s">
        <v>546</v>
      </c>
      <c r="F648" s="36" t="s">
        <v>1196</v>
      </c>
      <c r="G648" s="29" t="s">
        <v>1197</v>
      </c>
      <c r="H648" s="11">
        <v>149</v>
      </c>
      <c r="I648" s="11">
        <v>149</v>
      </c>
    </row>
    <row r="649" spans="1:9" x14ac:dyDescent="0.25">
      <c r="A649" s="113" t="s">
        <v>1788</v>
      </c>
      <c r="B649" s="1" t="s">
        <v>1802</v>
      </c>
      <c r="H649"/>
      <c r="I649"/>
    </row>
    <row r="650" spans="1:9" x14ac:dyDescent="0.25">
      <c r="A650" s="114"/>
      <c r="B650" s="5" t="s">
        <v>1788</v>
      </c>
      <c r="C650" s="3" t="s">
        <v>1816</v>
      </c>
      <c r="D650" s="3" t="s">
        <v>546</v>
      </c>
      <c r="E650" s="36" t="s">
        <v>546</v>
      </c>
      <c r="F650" s="36" t="s">
        <v>1196</v>
      </c>
      <c r="G650" s="29" t="s">
        <v>1197</v>
      </c>
      <c r="H650" s="11">
        <v>299</v>
      </c>
      <c r="I650" s="11">
        <v>299</v>
      </c>
    </row>
    <row r="651" spans="1:9" x14ac:dyDescent="0.25">
      <c r="A651" s="113" t="s">
        <v>1789</v>
      </c>
      <c r="B651" s="1" t="s">
        <v>1804</v>
      </c>
      <c r="H651"/>
      <c r="I651"/>
    </row>
    <row r="652" spans="1:9" x14ac:dyDescent="0.25">
      <c r="A652" s="114"/>
      <c r="B652" s="5" t="s">
        <v>1789</v>
      </c>
      <c r="C652" s="3" t="s">
        <v>1817</v>
      </c>
      <c r="D652" s="3" t="s">
        <v>546</v>
      </c>
      <c r="E652" s="36" t="s">
        <v>546</v>
      </c>
      <c r="F652" s="36" t="s">
        <v>1196</v>
      </c>
      <c r="G652" s="29" t="s">
        <v>1197</v>
      </c>
      <c r="H652" s="11">
        <v>299</v>
      </c>
      <c r="I652" s="11">
        <v>299</v>
      </c>
    </row>
    <row r="653" spans="1:9" x14ac:dyDescent="0.25">
      <c r="A653" s="113" t="s">
        <v>1790</v>
      </c>
      <c r="B653" s="1" t="s">
        <v>1805</v>
      </c>
      <c r="H653"/>
      <c r="I653"/>
    </row>
    <row r="654" spans="1:9" x14ac:dyDescent="0.25">
      <c r="A654" s="114"/>
      <c r="B654" s="5" t="s">
        <v>1790</v>
      </c>
      <c r="C654" s="3" t="s">
        <v>1818</v>
      </c>
      <c r="D654" s="3" t="s">
        <v>546</v>
      </c>
      <c r="E654" s="36" t="s">
        <v>546</v>
      </c>
      <c r="F654" s="36" t="s">
        <v>1196</v>
      </c>
      <c r="G654" s="29" t="s">
        <v>1197</v>
      </c>
      <c r="H654" s="11">
        <v>299</v>
      </c>
      <c r="I654" s="11">
        <v>299</v>
      </c>
    </row>
    <row r="655" spans="1:9" x14ac:dyDescent="0.25">
      <c r="A655" s="113" t="s">
        <v>1791</v>
      </c>
      <c r="B655" s="1" t="s">
        <v>1806</v>
      </c>
      <c r="H655"/>
      <c r="I655"/>
    </row>
    <row r="656" spans="1:9" x14ac:dyDescent="0.25">
      <c r="A656" s="114"/>
      <c r="B656" s="5" t="s">
        <v>1791</v>
      </c>
      <c r="C656" s="3" t="s">
        <v>1819</v>
      </c>
      <c r="D656" s="3" t="s">
        <v>546</v>
      </c>
      <c r="E656" s="36" t="s">
        <v>546</v>
      </c>
      <c r="F656" s="36" t="s">
        <v>1196</v>
      </c>
      <c r="G656" s="29" t="s">
        <v>1197</v>
      </c>
      <c r="H656" s="11">
        <v>299</v>
      </c>
      <c r="I656" s="11">
        <v>299</v>
      </c>
    </row>
    <row r="657" spans="1:9" x14ac:dyDescent="0.25">
      <c r="A657" s="113" t="s">
        <v>1792</v>
      </c>
      <c r="B657" s="1" t="s">
        <v>1807</v>
      </c>
      <c r="H657"/>
      <c r="I657"/>
    </row>
    <row r="658" spans="1:9" x14ac:dyDescent="0.25">
      <c r="A658" s="114"/>
      <c r="B658" s="5" t="s">
        <v>1792</v>
      </c>
      <c r="C658" s="3" t="s">
        <v>1820</v>
      </c>
      <c r="D658" s="3" t="s">
        <v>546</v>
      </c>
      <c r="E658" s="36" t="s">
        <v>546</v>
      </c>
      <c r="F658" s="36" t="s">
        <v>1196</v>
      </c>
      <c r="G658" s="29" t="s">
        <v>1197</v>
      </c>
      <c r="H658" s="11">
        <v>299</v>
      </c>
      <c r="I658" s="11">
        <v>299</v>
      </c>
    </row>
    <row r="659" spans="1:9" x14ac:dyDescent="0.25">
      <c r="A659" s="113" t="s">
        <v>1793</v>
      </c>
      <c r="B659" s="1" t="s">
        <v>1808</v>
      </c>
      <c r="H659"/>
      <c r="I659"/>
    </row>
    <row r="660" spans="1:9" x14ac:dyDescent="0.25">
      <c r="A660" s="114"/>
      <c r="B660" s="5" t="s">
        <v>1793</v>
      </c>
      <c r="C660" s="3" t="s">
        <v>1821</v>
      </c>
      <c r="D660" s="3" t="s">
        <v>546</v>
      </c>
      <c r="E660" s="36" t="s">
        <v>546</v>
      </c>
      <c r="F660" s="36" t="s">
        <v>1196</v>
      </c>
      <c r="G660" s="29" t="s">
        <v>1197</v>
      </c>
      <c r="H660" s="11">
        <v>299</v>
      </c>
      <c r="I660" s="11">
        <v>299</v>
      </c>
    </row>
    <row r="661" spans="1:9" x14ac:dyDescent="0.25">
      <c r="A661" s="113" t="s">
        <v>1794</v>
      </c>
      <c r="B661" s="1" t="s">
        <v>1809</v>
      </c>
      <c r="H661"/>
      <c r="I661"/>
    </row>
    <row r="662" spans="1:9" x14ac:dyDescent="0.25">
      <c r="A662" s="114"/>
      <c r="B662" s="5" t="s">
        <v>1794</v>
      </c>
      <c r="C662" s="3" t="s">
        <v>1822</v>
      </c>
      <c r="D662" s="3" t="s">
        <v>546</v>
      </c>
      <c r="E662" s="36" t="s">
        <v>546</v>
      </c>
      <c r="F662" s="36" t="s">
        <v>1196</v>
      </c>
      <c r="G662" s="29" t="s">
        <v>1197</v>
      </c>
      <c r="H662" s="11">
        <v>299</v>
      </c>
      <c r="I662" s="11">
        <v>299</v>
      </c>
    </row>
    <row r="663" spans="1:9" x14ac:dyDescent="0.25">
      <c r="A663" s="113" t="s">
        <v>1795</v>
      </c>
      <c r="B663" s="1" t="s">
        <v>1803</v>
      </c>
      <c r="H663"/>
      <c r="I663"/>
    </row>
    <row r="664" spans="1:9" x14ac:dyDescent="0.25">
      <c r="A664" s="114"/>
      <c r="B664" s="5" t="s">
        <v>1795</v>
      </c>
      <c r="C664" s="3" t="s">
        <v>1823</v>
      </c>
      <c r="D664" s="3" t="s">
        <v>546</v>
      </c>
      <c r="E664" s="36" t="s">
        <v>546</v>
      </c>
      <c r="F664" s="36" t="s">
        <v>1196</v>
      </c>
      <c r="G664" s="29" t="s">
        <v>1197</v>
      </c>
      <c r="H664" s="11">
        <v>109</v>
      </c>
      <c r="I664" s="11">
        <v>109</v>
      </c>
    </row>
    <row r="665" spans="1:9" x14ac:dyDescent="0.25">
      <c r="A665" s="113" t="s">
        <v>1835</v>
      </c>
      <c r="B665" s="1" t="s">
        <v>1836</v>
      </c>
      <c r="H665"/>
      <c r="I665"/>
    </row>
    <row r="666" spans="1:9" x14ac:dyDescent="0.25">
      <c r="A666" s="114"/>
      <c r="B666" s="5" t="s">
        <v>1835</v>
      </c>
      <c r="C666" s="3" t="s">
        <v>1837</v>
      </c>
      <c r="D666" s="3" t="s">
        <v>546</v>
      </c>
      <c r="E666" s="36" t="s">
        <v>546</v>
      </c>
      <c r="F666" s="36" t="s">
        <v>1196</v>
      </c>
      <c r="G666" s="29" t="s">
        <v>546</v>
      </c>
      <c r="H666" s="11">
        <v>339.9</v>
      </c>
      <c r="I666" s="11">
        <v>339.9</v>
      </c>
    </row>
    <row r="667" spans="1:9" x14ac:dyDescent="0.25">
      <c r="A667" s="115" t="s">
        <v>307</v>
      </c>
      <c r="B667" s="116"/>
      <c r="C667" s="116"/>
      <c r="D667" s="116"/>
      <c r="E667" s="116"/>
      <c r="F667" s="116"/>
      <c r="G667" s="116"/>
      <c r="H667" s="116"/>
      <c r="I667" s="116"/>
    </row>
    <row r="668" spans="1:9" x14ac:dyDescent="0.25">
      <c r="A668" s="10" t="s">
        <v>546</v>
      </c>
      <c r="B668" s="7"/>
      <c r="C668" s="7"/>
      <c r="D668" s="7"/>
      <c r="E668" s="7"/>
      <c r="F668" s="7"/>
      <c r="G668" s="7"/>
      <c r="H668" s="7"/>
      <c r="I668" s="7"/>
    </row>
    <row r="669" spans="1:9" x14ac:dyDescent="0.25">
      <c r="A669" s="113" t="s">
        <v>2</v>
      </c>
      <c r="B669" s="1" t="s">
        <v>241</v>
      </c>
      <c r="H669"/>
      <c r="I669"/>
    </row>
    <row r="670" spans="1:9" x14ac:dyDescent="0.25">
      <c r="A670" s="114"/>
      <c r="B670" s="5" t="s">
        <v>2</v>
      </c>
      <c r="C670" s="3" t="s">
        <v>435</v>
      </c>
      <c r="D670" s="3" t="s">
        <v>546</v>
      </c>
      <c r="E670" s="36">
        <v>40</v>
      </c>
      <c r="F670" s="36" t="s">
        <v>307</v>
      </c>
      <c r="G670" s="29">
        <v>0</v>
      </c>
      <c r="H670" s="11">
        <v>220.9</v>
      </c>
      <c r="I670" s="11">
        <v>220.9</v>
      </c>
    </row>
    <row r="671" spans="1:9" x14ac:dyDescent="0.25">
      <c r="A671" s="113" t="s">
        <v>53</v>
      </c>
      <c r="B671" s="1" t="s">
        <v>242</v>
      </c>
      <c r="H671"/>
      <c r="I671"/>
    </row>
    <row r="672" spans="1:9" x14ac:dyDescent="0.25">
      <c r="A672" s="114"/>
      <c r="B672" s="5" t="s">
        <v>53</v>
      </c>
      <c r="C672" s="3" t="s">
        <v>436</v>
      </c>
      <c r="D672" s="3" t="s">
        <v>546</v>
      </c>
      <c r="E672" s="36">
        <v>40</v>
      </c>
      <c r="F672" s="36" t="s">
        <v>307</v>
      </c>
      <c r="G672" s="29">
        <v>0</v>
      </c>
      <c r="H672" s="11">
        <v>227.9</v>
      </c>
      <c r="I672" s="11">
        <v>227.9</v>
      </c>
    </row>
    <row r="673" spans="1:9" x14ac:dyDescent="0.25">
      <c r="A673" s="113" t="s">
        <v>54</v>
      </c>
      <c r="B673" s="1" t="s">
        <v>243</v>
      </c>
      <c r="H673"/>
      <c r="I673"/>
    </row>
    <row r="674" spans="1:9" x14ac:dyDescent="0.25">
      <c r="A674" s="114"/>
      <c r="B674" s="5" t="s">
        <v>54</v>
      </c>
      <c r="C674" s="3" t="s">
        <v>437</v>
      </c>
      <c r="D674" s="3" t="s">
        <v>546</v>
      </c>
      <c r="E674" s="36">
        <v>40</v>
      </c>
      <c r="F674" s="36" t="s">
        <v>307</v>
      </c>
      <c r="G674" s="29">
        <v>0</v>
      </c>
      <c r="H674" s="11">
        <v>227.9</v>
      </c>
      <c r="I674" s="11">
        <v>227.9</v>
      </c>
    </row>
    <row r="675" spans="1:9" x14ac:dyDescent="0.25">
      <c r="A675" s="113" t="s">
        <v>55</v>
      </c>
      <c r="B675" s="1" t="s">
        <v>244</v>
      </c>
      <c r="H675"/>
      <c r="I675"/>
    </row>
    <row r="676" spans="1:9" x14ac:dyDescent="0.25">
      <c r="A676" s="114"/>
      <c r="B676" s="5" t="s">
        <v>55</v>
      </c>
      <c r="C676" s="3" t="s">
        <v>438</v>
      </c>
      <c r="D676" s="3" t="s">
        <v>546</v>
      </c>
      <c r="E676" s="36">
        <v>40</v>
      </c>
      <c r="F676" s="36" t="s">
        <v>307</v>
      </c>
      <c r="G676" s="29">
        <v>0</v>
      </c>
      <c r="H676" s="11">
        <v>235.9</v>
      </c>
      <c r="I676" s="11">
        <v>235.9</v>
      </c>
    </row>
    <row r="677" spans="1:9" x14ac:dyDescent="0.25">
      <c r="A677" s="113" t="s">
        <v>56</v>
      </c>
      <c r="B677" s="1" t="s">
        <v>245</v>
      </c>
      <c r="H677"/>
      <c r="I677"/>
    </row>
    <row r="678" spans="1:9" x14ac:dyDescent="0.25">
      <c r="A678" s="114"/>
      <c r="B678" s="5" t="s">
        <v>56</v>
      </c>
      <c r="C678" s="3" t="s">
        <v>439</v>
      </c>
      <c r="D678" s="3" t="s">
        <v>546</v>
      </c>
      <c r="E678" s="36">
        <v>40</v>
      </c>
      <c r="F678" s="36" t="s">
        <v>307</v>
      </c>
      <c r="G678" s="29">
        <v>0</v>
      </c>
      <c r="H678" s="11">
        <v>235.9</v>
      </c>
      <c r="I678" s="11">
        <v>235.9</v>
      </c>
    </row>
    <row r="679" spans="1:9" x14ac:dyDescent="0.25">
      <c r="A679" s="113" t="s">
        <v>57</v>
      </c>
      <c r="B679" s="1" t="s">
        <v>246</v>
      </c>
      <c r="H679"/>
      <c r="I679"/>
    </row>
    <row r="680" spans="1:9" x14ac:dyDescent="0.25">
      <c r="A680" s="114"/>
      <c r="B680" s="5" t="s">
        <v>57</v>
      </c>
      <c r="C680" s="3" t="s">
        <v>440</v>
      </c>
      <c r="D680" s="3" t="s">
        <v>546</v>
      </c>
      <c r="E680" s="36">
        <v>40</v>
      </c>
      <c r="F680" s="36" t="s">
        <v>307</v>
      </c>
      <c r="G680" s="29">
        <v>0</v>
      </c>
      <c r="H680" s="11">
        <v>252.9</v>
      </c>
      <c r="I680" s="11">
        <v>252.9</v>
      </c>
    </row>
    <row r="681" spans="1:9" x14ac:dyDescent="0.25">
      <c r="A681" s="113" t="s">
        <v>58</v>
      </c>
      <c r="B681" s="1" t="s">
        <v>247</v>
      </c>
      <c r="H681"/>
      <c r="I681"/>
    </row>
    <row r="682" spans="1:9" x14ac:dyDescent="0.25">
      <c r="A682" s="114"/>
      <c r="B682" s="5" t="s">
        <v>58</v>
      </c>
      <c r="C682" s="3" t="s">
        <v>441</v>
      </c>
      <c r="D682" s="3" t="s">
        <v>546</v>
      </c>
      <c r="E682" s="36">
        <v>40</v>
      </c>
      <c r="F682" s="36" t="s">
        <v>307</v>
      </c>
      <c r="G682" s="29">
        <v>0</v>
      </c>
      <c r="H682" s="11">
        <v>252.9</v>
      </c>
      <c r="I682" s="11">
        <v>252.9</v>
      </c>
    </row>
    <row r="683" spans="1:9" x14ac:dyDescent="0.25">
      <c r="A683" s="113" t="s">
        <v>59</v>
      </c>
      <c r="B683" s="1" t="s">
        <v>248</v>
      </c>
      <c r="H683"/>
      <c r="I683"/>
    </row>
    <row r="684" spans="1:9" x14ac:dyDescent="0.25">
      <c r="A684" s="114"/>
      <c r="B684" s="5" t="s">
        <v>59</v>
      </c>
      <c r="C684" s="3" t="s">
        <v>442</v>
      </c>
      <c r="D684" s="3" t="s">
        <v>546</v>
      </c>
      <c r="E684" s="36">
        <v>40</v>
      </c>
      <c r="F684" s="36" t="s">
        <v>307</v>
      </c>
      <c r="G684" s="29">
        <v>0</v>
      </c>
      <c r="H684" s="11">
        <v>235.9</v>
      </c>
      <c r="I684" s="11">
        <v>235.9</v>
      </c>
    </row>
    <row r="685" spans="1:9" x14ac:dyDescent="0.25">
      <c r="A685" s="113" t="s">
        <v>60</v>
      </c>
      <c r="B685" s="1" t="s">
        <v>249</v>
      </c>
      <c r="H685"/>
      <c r="I685"/>
    </row>
    <row r="686" spans="1:9" x14ac:dyDescent="0.25">
      <c r="A686" s="114"/>
      <c r="B686" s="5" t="s">
        <v>60</v>
      </c>
      <c r="C686" s="3" t="s">
        <v>443</v>
      </c>
      <c r="D686" s="3" t="s">
        <v>546</v>
      </c>
      <c r="E686" s="36">
        <v>40</v>
      </c>
      <c r="F686" s="36" t="s">
        <v>307</v>
      </c>
      <c r="G686" s="29">
        <v>0</v>
      </c>
      <c r="H686" s="11">
        <v>252.9</v>
      </c>
      <c r="I686" s="11">
        <v>252.9</v>
      </c>
    </row>
    <row r="687" spans="1:9" x14ac:dyDescent="0.25">
      <c r="A687" s="113" t="s">
        <v>61</v>
      </c>
      <c r="B687" s="1" t="s">
        <v>250</v>
      </c>
      <c r="H687"/>
      <c r="I687"/>
    </row>
    <row r="688" spans="1:9" x14ac:dyDescent="0.25">
      <c r="A688" s="114"/>
      <c r="B688" s="5" t="s">
        <v>61</v>
      </c>
      <c r="C688" s="3" t="s">
        <v>444</v>
      </c>
      <c r="D688" s="3" t="s">
        <v>546</v>
      </c>
      <c r="E688" s="36">
        <v>40</v>
      </c>
      <c r="F688" s="36" t="s">
        <v>307</v>
      </c>
      <c r="G688" s="29">
        <v>0</v>
      </c>
      <c r="H688" s="11">
        <v>252.9</v>
      </c>
      <c r="I688" s="11">
        <v>252.9</v>
      </c>
    </row>
    <row r="689" spans="1:9" x14ac:dyDescent="0.25">
      <c r="A689" s="113" t="s">
        <v>62</v>
      </c>
      <c r="B689" s="1" t="s">
        <v>251</v>
      </c>
      <c r="H689"/>
      <c r="I689"/>
    </row>
    <row r="690" spans="1:9" x14ac:dyDescent="0.25">
      <c r="A690" s="114"/>
      <c r="B690" s="5" t="s">
        <v>62</v>
      </c>
      <c r="C690" s="3" t="s">
        <v>445</v>
      </c>
      <c r="D690" s="3" t="s">
        <v>546</v>
      </c>
      <c r="E690" s="36">
        <v>40</v>
      </c>
      <c r="F690" s="36" t="s">
        <v>307</v>
      </c>
      <c r="G690" s="29">
        <v>0</v>
      </c>
      <c r="H690" s="11">
        <v>277.89999999999998</v>
      </c>
      <c r="I690" s="11">
        <v>277.89999999999998</v>
      </c>
    </row>
    <row r="691" spans="1:9" x14ac:dyDescent="0.25">
      <c r="A691" s="113" t="s">
        <v>63</v>
      </c>
      <c r="B691" s="1" t="s">
        <v>252</v>
      </c>
      <c r="H691"/>
      <c r="I691"/>
    </row>
    <row r="692" spans="1:9" x14ac:dyDescent="0.25">
      <c r="A692" s="114"/>
      <c r="B692" s="5" t="s">
        <v>63</v>
      </c>
      <c r="C692" s="3" t="s">
        <v>446</v>
      </c>
      <c r="D692" s="3" t="s">
        <v>546</v>
      </c>
      <c r="E692" s="36">
        <v>40</v>
      </c>
      <c r="F692" s="36" t="s">
        <v>307</v>
      </c>
      <c r="G692" s="29">
        <v>0</v>
      </c>
      <c r="H692" s="11">
        <v>277.89999999999998</v>
      </c>
      <c r="I692" s="11">
        <v>277.89999999999998</v>
      </c>
    </row>
    <row r="693" spans="1:9" x14ac:dyDescent="0.25">
      <c r="A693" s="113" t="s">
        <v>64</v>
      </c>
      <c r="B693" s="1" t="s">
        <v>253</v>
      </c>
      <c r="H693"/>
      <c r="I693"/>
    </row>
    <row r="694" spans="1:9" x14ac:dyDescent="0.25">
      <c r="A694" s="114"/>
      <c r="B694" s="5" t="s">
        <v>64</v>
      </c>
      <c r="C694" s="3" t="s">
        <v>447</v>
      </c>
      <c r="D694" s="3" t="s">
        <v>546</v>
      </c>
      <c r="E694" s="36">
        <v>40</v>
      </c>
      <c r="F694" s="36" t="s">
        <v>307</v>
      </c>
      <c r="G694" s="29">
        <v>0</v>
      </c>
      <c r="H694" s="11">
        <v>277.89999999999998</v>
      </c>
      <c r="I694" s="11">
        <v>277.89999999999998</v>
      </c>
    </row>
    <row r="695" spans="1:9" x14ac:dyDescent="0.25">
      <c r="A695" s="113" t="s">
        <v>65</v>
      </c>
      <c r="B695" s="1" t="s">
        <v>254</v>
      </c>
      <c r="H695"/>
      <c r="I695"/>
    </row>
    <row r="696" spans="1:9" x14ac:dyDescent="0.25">
      <c r="A696" s="114"/>
      <c r="B696" s="5" t="s">
        <v>65</v>
      </c>
      <c r="C696" s="3" t="s">
        <v>448</v>
      </c>
      <c r="D696" s="3" t="s">
        <v>546</v>
      </c>
      <c r="E696" s="36">
        <v>40</v>
      </c>
      <c r="F696" s="36" t="s">
        <v>307</v>
      </c>
      <c r="G696" s="29">
        <v>0</v>
      </c>
      <c r="H696" s="11">
        <v>277.89999999999998</v>
      </c>
      <c r="I696" s="11">
        <v>277.89999999999998</v>
      </c>
    </row>
    <row r="697" spans="1:9" x14ac:dyDescent="0.25">
      <c r="A697" s="113" t="s">
        <v>66</v>
      </c>
      <c r="B697" s="1" t="s">
        <v>255</v>
      </c>
      <c r="H697"/>
      <c r="I697"/>
    </row>
    <row r="698" spans="1:9" x14ac:dyDescent="0.25">
      <c r="A698" s="114"/>
      <c r="B698" s="5" t="s">
        <v>66</v>
      </c>
      <c r="C698" s="3" t="s">
        <v>449</v>
      </c>
      <c r="D698" s="3" t="s">
        <v>546</v>
      </c>
      <c r="E698" s="36">
        <v>40</v>
      </c>
      <c r="F698" s="36" t="s">
        <v>307</v>
      </c>
      <c r="G698" s="29">
        <v>0</v>
      </c>
      <c r="H698" s="11">
        <v>235.9</v>
      </c>
      <c r="I698" s="11">
        <v>235.9</v>
      </c>
    </row>
    <row r="699" spans="1:9" x14ac:dyDescent="0.25">
      <c r="A699" s="113" t="s">
        <v>67</v>
      </c>
      <c r="B699" s="1" t="s">
        <v>256</v>
      </c>
      <c r="H699"/>
      <c r="I699"/>
    </row>
    <row r="700" spans="1:9" x14ac:dyDescent="0.25">
      <c r="A700" s="114"/>
      <c r="B700" s="5" t="s">
        <v>67</v>
      </c>
      <c r="C700" s="3" t="s">
        <v>450</v>
      </c>
      <c r="D700" s="3" t="s">
        <v>546</v>
      </c>
      <c r="E700" s="36">
        <v>40</v>
      </c>
      <c r="F700" s="36" t="s">
        <v>307</v>
      </c>
      <c r="G700" s="29">
        <v>0</v>
      </c>
      <c r="H700" s="11">
        <v>252.9</v>
      </c>
      <c r="I700" s="11">
        <v>252.9</v>
      </c>
    </row>
    <row r="701" spans="1:9" x14ac:dyDescent="0.25">
      <c r="A701" s="113" t="s">
        <v>68</v>
      </c>
      <c r="B701" s="1" t="s">
        <v>257</v>
      </c>
      <c r="H701"/>
      <c r="I701"/>
    </row>
    <row r="702" spans="1:9" x14ac:dyDescent="0.25">
      <c r="A702" s="114"/>
      <c r="B702" s="5" t="s">
        <v>68</v>
      </c>
      <c r="C702" s="3" t="s">
        <v>451</v>
      </c>
      <c r="D702" s="3" t="s">
        <v>546</v>
      </c>
      <c r="E702" s="36">
        <v>40</v>
      </c>
      <c r="F702" s="36" t="s">
        <v>307</v>
      </c>
      <c r="G702" s="29">
        <v>0</v>
      </c>
      <c r="H702" s="11">
        <v>252.9</v>
      </c>
      <c r="I702" s="11">
        <v>252.9</v>
      </c>
    </row>
    <row r="703" spans="1:9" x14ac:dyDescent="0.25">
      <c r="A703" s="113" t="s">
        <v>69</v>
      </c>
      <c r="B703" s="1" t="s">
        <v>258</v>
      </c>
      <c r="H703"/>
      <c r="I703"/>
    </row>
    <row r="704" spans="1:9" x14ac:dyDescent="0.25">
      <c r="A704" s="114"/>
      <c r="B704" s="5" t="s">
        <v>69</v>
      </c>
      <c r="C704" s="3" t="s">
        <v>452</v>
      </c>
      <c r="D704" s="3" t="s">
        <v>546</v>
      </c>
      <c r="E704" s="36">
        <v>40</v>
      </c>
      <c r="F704" s="36" t="s">
        <v>307</v>
      </c>
      <c r="G704" s="29">
        <v>0</v>
      </c>
      <c r="H704" s="11">
        <v>277.89999999999998</v>
      </c>
      <c r="I704" s="11">
        <v>277.89999999999998</v>
      </c>
    </row>
    <row r="705" spans="1:9" x14ac:dyDescent="0.25">
      <c r="A705" s="113" t="s">
        <v>70</v>
      </c>
      <c r="B705" s="1" t="s">
        <v>259</v>
      </c>
      <c r="H705"/>
      <c r="I705"/>
    </row>
    <row r="706" spans="1:9" x14ac:dyDescent="0.25">
      <c r="A706" s="114"/>
      <c r="B706" s="5" t="s">
        <v>70</v>
      </c>
      <c r="C706" s="3" t="s">
        <v>453</v>
      </c>
      <c r="D706" s="3" t="s">
        <v>546</v>
      </c>
      <c r="E706" s="36">
        <v>40</v>
      </c>
      <c r="F706" s="36" t="s">
        <v>307</v>
      </c>
      <c r="G706" s="29">
        <v>0</v>
      </c>
      <c r="H706" s="11">
        <v>277.89999999999998</v>
      </c>
      <c r="I706" s="11">
        <v>277.89999999999998</v>
      </c>
    </row>
    <row r="707" spans="1:9" x14ac:dyDescent="0.25">
      <c r="A707" s="113" t="s">
        <v>71</v>
      </c>
      <c r="B707" s="1" t="s">
        <v>260</v>
      </c>
      <c r="H707"/>
      <c r="I707"/>
    </row>
    <row r="708" spans="1:9" x14ac:dyDescent="0.25">
      <c r="A708" s="114"/>
      <c r="B708" s="5" t="s">
        <v>71</v>
      </c>
      <c r="C708" s="3" t="s">
        <v>454</v>
      </c>
      <c r="D708" s="3" t="s">
        <v>546</v>
      </c>
      <c r="E708" s="36">
        <v>40</v>
      </c>
      <c r="F708" s="36" t="s">
        <v>307</v>
      </c>
      <c r="G708" s="29">
        <v>0</v>
      </c>
      <c r="H708" s="11">
        <v>277.89999999999998</v>
      </c>
      <c r="I708" s="11">
        <v>277.89999999999998</v>
      </c>
    </row>
    <row r="709" spans="1:9" x14ac:dyDescent="0.25">
      <c r="A709" s="113" t="s">
        <v>72</v>
      </c>
      <c r="B709" s="1" t="s">
        <v>261</v>
      </c>
      <c r="H709"/>
      <c r="I709"/>
    </row>
    <row r="710" spans="1:9" x14ac:dyDescent="0.25">
      <c r="A710" s="114"/>
      <c r="B710" s="5" t="s">
        <v>72</v>
      </c>
      <c r="C710" s="3" t="s">
        <v>455</v>
      </c>
      <c r="D710" s="3" t="s">
        <v>546</v>
      </c>
      <c r="E710" s="36">
        <v>40</v>
      </c>
      <c r="F710" s="36" t="s">
        <v>307</v>
      </c>
      <c r="G710" s="29">
        <v>0</v>
      </c>
      <c r="H710" s="11">
        <v>277.89999999999998</v>
      </c>
      <c r="I710" s="11">
        <v>277.89999999999998</v>
      </c>
    </row>
    <row r="711" spans="1:9" x14ac:dyDescent="0.25">
      <c r="A711" s="113" t="s">
        <v>73</v>
      </c>
      <c r="B711" s="1" t="s">
        <v>262</v>
      </c>
      <c r="H711"/>
      <c r="I711"/>
    </row>
    <row r="712" spans="1:9" x14ac:dyDescent="0.25">
      <c r="A712" s="114"/>
      <c r="B712" s="5" t="s">
        <v>73</v>
      </c>
      <c r="C712" s="3" t="s">
        <v>456</v>
      </c>
      <c r="D712" s="3" t="s">
        <v>546</v>
      </c>
      <c r="E712" s="36">
        <v>40</v>
      </c>
      <c r="F712" s="36" t="s">
        <v>307</v>
      </c>
      <c r="G712" s="29">
        <v>0</v>
      </c>
      <c r="H712" s="11">
        <v>260.89999999999998</v>
      </c>
      <c r="I712" s="11">
        <v>260.89999999999998</v>
      </c>
    </row>
    <row r="713" spans="1:9" x14ac:dyDescent="0.25">
      <c r="A713" s="113" t="s">
        <v>74</v>
      </c>
      <c r="B713" s="1" t="s">
        <v>263</v>
      </c>
      <c r="H713"/>
      <c r="I713"/>
    </row>
    <row r="714" spans="1:9" x14ac:dyDescent="0.25">
      <c r="A714" s="114"/>
      <c r="B714" s="5" t="s">
        <v>74</v>
      </c>
      <c r="C714" s="3" t="s">
        <v>457</v>
      </c>
      <c r="D714" s="3" t="s">
        <v>546</v>
      </c>
      <c r="E714" s="36">
        <v>40</v>
      </c>
      <c r="F714" s="36" t="s">
        <v>307</v>
      </c>
      <c r="G714" s="29">
        <v>0</v>
      </c>
      <c r="H714" s="11">
        <v>277.89999999999998</v>
      </c>
      <c r="I714" s="11">
        <v>277.89999999999998</v>
      </c>
    </row>
    <row r="715" spans="1:9" x14ac:dyDescent="0.25">
      <c r="A715" s="113" t="s">
        <v>75</v>
      </c>
      <c r="B715" s="1" t="s">
        <v>264</v>
      </c>
      <c r="H715"/>
      <c r="I715"/>
    </row>
    <row r="716" spans="1:9" x14ac:dyDescent="0.25">
      <c r="A716" s="114"/>
      <c r="B716" s="5" t="s">
        <v>75</v>
      </c>
      <c r="C716" s="3" t="s">
        <v>458</v>
      </c>
      <c r="D716" s="3" t="s">
        <v>546</v>
      </c>
      <c r="E716" s="36">
        <v>40</v>
      </c>
      <c r="F716" s="36" t="s">
        <v>307</v>
      </c>
      <c r="G716" s="29">
        <v>0</v>
      </c>
      <c r="H716" s="11">
        <v>277.89999999999998</v>
      </c>
      <c r="I716" s="11">
        <v>277.89999999999998</v>
      </c>
    </row>
    <row r="717" spans="1:9" x14ac:dyDescent="0.25">
      <c r="A717" s="113" t="s">
        <v>76</v>
      </c>
      <c r="B717" s="1" t="s">
        <v>265</v>
      </c>
      <c r="H717"/>
      <c r="I717"/>
    </row>
    <row r="718" spans="1:9" x14ac:dyDescent="0.25">
      <c r="A718" s="114"/>
      <c r="B718" s="5" t="s">
        <v>76</v>
      </c>
      <c r="C718" s="3" t="s">
        <v>459</v>
      </c>
      <c r="D718" s="3" t="s">
        <v>546</v>
      </c>
      <c r="E718" s="36">
        <v>40</v>
      </c>
      <c r="F718" s="36" t="s">
        <v>307</v>
      </c>
      <c r="G718" s="29">
        <v>0</v>
      </c>
      <c r="H718" s="11">
        <v>293.89999999999998</v>
      </c>
      <c r="I718" s="11">
        <v>293.89999999999998</v>
      </c>
    </row>
    <row r="719" spans="1:9" x14ac:dyDescent="0.25">
      <c r="A719" s="113" t="s">
        <v>77</v>
      </c>
      <c r="B719" s="1" t="s">
        <v>266</v>
      </c>
      <c r="H719"/>
      <c r="I719"/>
    </row>
    <row r="720" spans="1:9" x14ac:dyDescent="0.25">
      <c r="A720" s="114"/>
      <c r="B720" s="5" t="s">
        <v>77</v>
      </c>
      <c r="C720" s="3" t="s">
        <v>460</v>
      </c>
      <c r="D720" s="3" t="s">
        <v>546</v>
      </c>
      <c r="E720" s="36">
        <v>40</v>
      </c>
      <c r="F720" s="36" t="s">
        <v>307</v>
      </c>
      <c r="G720" s="29">
        <v>0</v>
      </c>
      <c r="H720" s="11">
        <v>293.89999999999998</v>
      </c>
      <c r="I720" s="11">
        <v>293.89999999999998</v>
      </c>
    </row>
    <row r="721" spans="1:9" x14ac:dyDescent="0.25">
      <c r="A721" s="113" t="s">
        <v>78</v>
      </c>
      <c r="B721" s="1" t="s">
        <v>267</v>
      </c>
      <c r="H721"/>
      <c r="I721"/>
    </row>
    <row r="722" spans="1:9" x14ac:dyDescent="0.25">
      <c r="A722" s="114"/>
      <c r="B722" s="5" t="s">
        <v>78</v>
      </c>
      <c r="C722" s="3" t="s">
        <v>461</v>
      </c>
      <c r="D722" s="3" t="s">
        <v>546</v>
      </c>
      <c r="E722" s="36">
        <v>40</v>
      </c>
      <c r="F722" s="36" t="s">
        <v>307</v>
      </c>
      <c r="G722" s="29">
        <v>0</v>
      </c>
      <c r="H722" s="11">
        <v>301.89999999999998</v>
      </c>
      <c r="I722" s="11">
        <v>301.89999999999998</v>
      </c>
    </row>
    <row r="723" spans="1:9" x14ac:dyDescent="0.25">
      <c r="A723" s="113" t="s">
        <v>79</v>
      </c>
      <c r="B723" s="1" t="s">
        <v>268</v>
      </c>
      <c r="H723"/>
      <c r="I723"/>
    </row>
    <row r="724" spans="1:9" x14ac:dyDescent="0.25">
      <c r="A724" s="114"/>
      <c r="B724" s="5" t="s">
        <v>79</v>
      </c>
      <c r="C724" s="3" t="s">
        <v>462</v>
      </c>
      <c r="D724" s="3" t="s">
        <v>546</v>
      </c>
      <c r="E724" s="36">
        <v>40</v>
      </c>
      <c r="F724" s="36" t="s">
        <v>307</v>
      </c>
      <c r="G724" s="29">
        <v>0</v>
      </c>
      <c r="H724" s="11">
        <v>301.89999999999998</v>
      </c>
      <c r="I724" s="11">
        <v>301.89999999999998</v>
      </c>
    </row>
    <row r="725" spans="1:9" x14ac:dyDescent="0.25">
      <c r="A725" s="113" t="s">
        <v>105</v>
      </c>
      <c r="B725" s="1" t="s">
        <v>269</v>
      </c>
      <c r="H725"/>
      <c r="I725"/>
    </row>
    <row r="726" spans="1:9" x14ac:dyDescent="0.25">
      <c r="A726" s="114"/>
      <c r="B726" s="5" t="s">
        <v>105</v>
      </c>
      <c r="C726" s="3" t="s">
        <v>463</v>
      </c>
      <c r="D726" s="3" t="s">
        <v>546</v>
      </c>
      <c r="E726" s="36">
        <v>40</v>
      </c>
      <c r="F726" s="36" t="s">
        <v>307</v>
      </c>
      <c r="G726" s="29">
        <v>0</v>
      </c>
      <c r="H726" s="11">
        <v>235.9</v>
      </c>
      <c r="I726" s="11">
        <v>235.9</v>
      </c>
    </row>
    <row r="727" spans="1:9" x14ac:dyDescent="0.25">
      <c r="A727" s="113" t="s">
        <v>101</v>
      </c>
      <c r="B727" s="1" t="s">
        <v>270</v>
      </c>
      <c r="H727"/>
      <c r="I727"/>
    </row>
    <row r="728" spans="1:9" x14ac:dyDescent="0.25">
      <c r="A728" s="114"/>
      <c r="B728" s="5" t="s">
        <v>101</v>
      </c>
      <c r="C728" s="3" t="s">
        <v>464</v>
      </c>
      <c r="D728" s="3" t="s">
        <v>546</v>
      </c>
      <c r="E728" s="36">
        <v>40</v>
      </c>
      <c r="F728" s="36" t="s">
        <v>307</v>
      </c>
      <c r="G728" s="29">
        <v>0</v>
      </c>
      <c r="H728" s="11">
        <v>253.9</v>
      </c>
      <c r="I728" s="11">
        <v>253.9</v>
      </c>
    </row>
    <row r="729" spans="1:9" x14ac:dyDescent="0.25">
      <c r="A729" s="113" t="s">
        <v>106</v>
      </c>
      <c r="B729" s="1" t="s">
        <v>271</v>
      </c>
      <c r="H729"/>
      <c r="I729"/>
    </row>
    <row r="730" spans="1:9" x14ac:dyDescent="0.25">
      <c r="A730" s="114"/>
      <c r="B730" s="5" t="s">
        <v>106</v>
      </c>
      <c r="C730" s="3" t="s">
        <v>465</v>
      </c>
      <c r="D730" s="3" t="s">
        <v>546</v>
      </c>
      <c r="E730" s="36">
        <v>40</v>
      </c>
      <c r="F730" s="36" t="s">
        <v>307</v>
      </c>
      <c r="G730" s="29">
        <v>0</v>
      </c>
      <c r="H730" s="11">
        <v>260.89999999999998</v>
      </c>
      <c r="I730" s="11">
        <v>260.89999999999998</v>
      </c>
    </row>
    <row r="731" spans="1:9" x14ac:dyDescent="0.25">
      <c r="A731" s="113" t="s">
        <v>102</v>
      </c>
      <c r="B731" s="1" t="s">
        <v>272</v>
      </c>
      <c r="H731"/>
      <c r="I731"/>
    </row>
    <row r="732" spans="1:9" x14ac:dyDescent="0.25">
      <c r="A732" s="114"/>
      <c r="B732" s="5" t="s">
        <v>102</v>
      </c>
      <c r="C732" s="3" t="s">
        <v>466</v>
      </c>
      <c r="D732" s="3" t="s">
        <v>546</v>
      </c>
      <c r="E732" s="36">
        <v>40</v>
      </c>
      <c r="F732" s="36" t="s">
        <v>307</v>
      </c>
      <c r="G732" s="29">
        <v>0</v>
      </c>
      <c r="H732" s="11">
        <v>277.89999999999998</v>
      </c>
      <c r="I732" s="11">
        <v>277.89999999999998</v>
      </c>
    </row>
    <row r="733" spans="1:9" x14ac:dyDescent="0.25">
      <c r="A733" s="113" t="s">
        <v>107</v>
      </c>
      <c r="B733" s="1" t="s">
        <v>273</v>
      </c>
      <c r="H733"/>
      <c r="I733"/>
    </row>
    <row r="734" spans="1:9" x14ac:dyDescent="0.25">
      <c r="A734" s="114"/>
      <c r="B734" s="5" t="s">
        <v>107</v>
      </c>
      <c r="C734" s="3" t="s">
        <v>467</v>
      </c>
      <c r="D734" s="3" t="s">
        <v>546</v>
      </c>
      <c r="E734" s="36">
        <v>40</v>
      </c>
      <c r="F734" s="36" t="s">
        <v>307</v>
      </c>
      <c r="G734" s="29">
        <v>0</v>
      </c>
      <c r="H734" s="11">
        <v>235.9</v>
      </c>
      <c r="I734" s="11">
        <v>235.9</v>
      </c>
    </row>
    <row r="735" spans="1:9" x14ac:dyDescent="0.25">
      <c r="A735" s="113" t="s">
        <v>103</v>
      </c>
      <c r="B735" s="1" t="s">
        <v>274</v>
      </c>
      <c r="H735"/>
      <c r="I735"/>
    </row>
    <row r="736" spans="1:9" x14ac:dyDescent="0.25">
      <c r="A736" s="114"/>
      <c r="B736" s="5" t="s">
        <v>103</v>
      </c>
      <c r="C736" s="3" t="s">
        <v>468</v>
      </c>
      <c r="D736" s="3" t="s">
        <v>546</v>
      </c>
      <c r="E736" s="36">
        <v>40</v>
      </c>
      <c r="F736" s="36" t="s">
        <v>307</v>
      </c>
      <c r="G736" s="29">
        <v>0</v>
      </c>
      <c r="H736" s="11">
        <v>252.9</v>
      </c>
      <c r="I736" s="11">
        <v>252.9</v>
      </c>
    </row>
    <row r="737" spans="1:9" x14ac:dyDescent="0.25">
      <c r="A737" s="113" t="s">
        <v>108</v>
      </c>
      <c r="B737" s="1" t="s">
        <v>275</v>
      </c>
      <c r="H737"/>
      <c r="I737"/>
    </row>
    <row r="738" spans="1:9" x14ac:dyDescent="0.25">
      <c r="A738" s="114"/>
      <c r="B738" s="5" t="s">
        <v>108</v>
      </c>
      <c r="C738" s="3" t="s">
        <v>469</v>
      </c>
      <c r="D738" s="3" t="s">
        <v>546</v>
      </c>
      <c r="E738" s="36">
        <v>40</v>
      </c>
      <c r="F738" s="36" t="s">
        <v>307</v>
      </c>
      <c r="G738" s="29">
        <v>0</v>
      </c>
      <c r="H738" s="11">
        <v>260.89999999999998</v>
      </c>
      <c r="I738" s="11">
        <v>260.89999999999998</v>
      </c>
    </row>
    <row r="739" spans="1:9" x14ac:dyDescent="0.25">
      <c r="A739" s="113" t="s">
        <v>104</v>
      </c>
      <c r="B739" s="1" t="s">
        <v>276</v>
      </c>
      <c r="H739"/>
      <c r="I739"/>
    </row>
    <row r="740" spans="1:9" x14ac:dyDescent="0.25">
      <c r="A740" s="114"/>
      <c r="B740" s="5" t="s">
        <v>104</v>
      </c>
      <c r="C740" s="3" t="s">
        <v>470</v>
      </c>
      <c r="D740" s="3" t="s">
        <v>546</v>
      </c>
      <c r="E740" s="36">
        <v>40</v>
      </c>
      <c r="F740" s="36" t="s">
        <v>307</v>
      </c>
      <c r="G740" s="29">
        <v>0</v>
      </c>
      <c r="H740" s="11">
        <v>277.89999999999998</v>
      </c>
      <c r="I740" s="11">
        <v>277.89999999999998</v>
      </c>
    </row>
    <row r="741" spans="1:9" x14ac:dyDescent="0.25">
      <c r="A741" s="113" t="s">
        <v>109</v>
      </c>
      <c r="B741" s="1" t="s">
        <v>277</v>
      </c>
      <c r="H741"/>
      <c r="I741"/>
    </row>
    <row r="742" spans="1:9" x14ac:dyDescent="0.25">
      <c r="A742" s="114"/>
      <c r="B742" s="5" t="s">
        <v>109</v>
      </c>
      <c r="C742" s="3" t="s">
        <v>471</v>
      </c>
      <c r="D742" s="3" t="s">
        <v>546</v>
      </c>
      <c r="E742" s="36" t="s">
        <v>546</v>
      </c>
      <c r="F742" s="36" t="s">
        <v>307</v>
      </c>
      <c r="G742" s="29">
        <v>0</v>
      </c>
      <c r="H742" s="11">
        <v>963.9</v>
      </c>
      <c r="I742" s="11">
        <v>963.9</v>
      </c>
    </row>
    <row r="743" spans="1:9" x14ac:dyDescent="0.25">
      <c r="A743" s="113" t="s">
        <v>110</v>
      </c>
      <c r="B743" s="1" t="s">
        <v>277</v>
      </c>
      <c r="H743"/>
      <c r="I743"/>
    </row>
    <row r="744" spans="1:9" x14ac:dyDescent="0.25">
      <c r="A744" s="114"/>
      <c r="B744" s="5" t="s">
        <v>110</v>
      </c>
      <c r="C744" s="3" t="s">
        <v>472</v>
      </c>
      <c r="D744" s="3" t="s">
        <v>546</v>
      </c>
      <c r="E744" s="36" t="s">
        <v>546</v>
      </c>
      <c r="F744" s="36" t="s">
        <v>307</v>
      </c>
      <c r="G744" s="29">
        <v>0</v>
      </c>
      <c r="H744" s="11">
        <v>955.9</v>
      </c>
      <c r="I744" s="11">
        <v>955.9</v>
      </c>
    </row>
    <row r="745" spans="1:9" x14ac:dyDescent="0.25">
      <c r="A745" s="113" t="s">
        <v>111</v>
      </c>
      <c r="B745" s="1" t="s">
        <v>277</v>
      </c>
      <c r="H745"/>
      <c r="I745"/>
    </row>
    <row r="746" spans="1:9" x14ac:dyDescent="0.25">
      <c r="A746" s="114"/>
      <c r="B746" s="5" t="s">
        <v>111</v>
      </c>
      <c r="C746" s="3" t="s">
        <v>473</v>
      </c>
      <c r="D746" s="3" t="s">
        <v>546</v>
      </c>
      <c r="E746" s="36" t="s">
        <v>546</v>
      </c>
      <c r="F746" s="36" t="s">
        <v>307</v>
      </c>
      <c r="G746" s="29">
        <v>0</v>
      </c>
      <c r="H746" s="11">
        <v>955.9</v>
      </c>
      <c r="I746" s="11">
        <v>955.9</v>
      </c>
    </row>
    <row r="747" spans="1:9" x14ac:dyDescent="0.25">
      <c r="A747" s="113" t="s">
        <v>112</v>
      </c>
      <c r="B747" s="1" t="s">
        <v>277</v>
      </c>
      <c r="H747"/>
      <c r="I747"/>
    </row>
    <row r="748" spans="1:9" x14ac:dyDescent="0.25">
      <c r="A748" s="114"/>
      <c r="B748" s="5" t="s">
        <v>112</v>
      </c>
      <c r="C748" s="3" t="s">
        <v>474</v>
      </c>
      <c r="D748" s="3" t="s">
        <v>546</v>
      </c>
      <c r="E748" s="36" t="s">
        <v>546</v>
      </c>
      <c r="F748" s="36" t="s">
        <v>307</v>
      </c>
      <c r="G748" s="29">
        <v>0</v>
      </c>
      <c r="H748" s="11">
        <v>972.9</v>
      </c>
      <c r="I748" s="11">
        <v>972.9</v>
      </c>
    </row>
    <row r="749" spans="1:9" x14ac:dyDescent="0.25">
      <c r="A749" s="113" t="s">
        <v>113</v>
      </c>
      <c r="B749" s="1" t="s">
        <v>277</v>
      </c>
      <c r="H749"/>
      <c r="I749"/>
    </row>
    <row r="750" spans="1:9" x14ac:dyDescent="0.25">
      <c r="A750" s="114"/>
      <c r="B750" s="5" t="s">
        <v>113</v>
      </c>
      <c r="C750" s="3" t="s">
        <v>475</v>
      </c>
      <c r="D750" s="3" t="s">
        <v>546</v>
      </c>
      <c r="E750" s="36" t="s">
        <v>546</v>
      </c>
      <c r="F750" s="36" t="s">
        <v>307</v>
      </c>
      <c r="G750" s="29">
        <v>0</v>
      </c>
      <c r="H750" s="11">
        <v>897.9</v>
      </c>
      <c r="I750" s="11">
        <v>897.9</v>
      </c>
    </row>
    <row r="751" spans="1:9" x14ac:dyDescent="0.25">
      <c r="A751" s="113" t="s">
        <v>114</v>
      </c>
      <c r="B751" s="1" t="s">
        <v>277</v>
      </c>
      <c r="H751"/>
      <c r="I751"/>
    </row>
    <row r="752" spans="1:9" x14ac:dyDescent="0.25">
      <c r="A752" s="114"/>
      <c r="B752" s="5" t="s">
        <v>114</v>
      </c>
      <c r="C752" s="3" t="s">
        <v>476</v>
      </c>
      <c r="D752" s="3" t="s">
        <v>546</v>
      </c>
      <c r="E752" s="36" t="s">
        <v>546</v>
      </c>
      <c r="F752" s="36" t="s">
        <v>307</v>
      </c>
      <c r="G752" s="29">
        <v>0</v>
      </c>
      <c r="H752" s="11">
        <v>962.9</v>
      </c>
      <c r="I752" s="11">
        <v>962.9</v>
      </c>
    </row>
    <row r="753" spans="1:9" x14ac:dyDescent="0.25">
      <c r="A753" s="113" t="s">
        <v>80</v>
      </c>
      <c r="B753" s="1" t="s">
        <v>277</v>
      </c>
      <c r="H753"/>
      <c r="I753"/>
    </row>
    <row r="754" spans="1:9" x14ac:dyDescent="0.25">
      <c r="A754" s="114"/>
      <c r="B754" s="5" t="s">
        <v>80</v>
      </c>
      <c r="C754" s="3" t="s">
        <v>477</v>
      </c>
      <c r="D754" s="3" t="s">
        <v>546</v>
      </c>
      <c r="E754" s="36" t="s">
        <v>546</v>
      </c>
      <c r="F754" s="36" t="s">
        <v>307</v>
      </c>
      <c r="G754" s="29">
        <v>0</v>
      </c>
      <c r="H754" s="11">
        <v>955.9</v>
      </c>
      <c r="I754" s="11">
        <v>955.9</v>
      </c>
    </row>
    <row r="755" spans="1:9" x14ac:dyDescent="0.25">
      <c r="A755" s="113" t="s">
        <v>115</v>
      </c>
      <c r="B755" s="1" t="s">
        <v>277</v>
      </c>
      <c r="H755"/>
      <c r="I755"/>
    </row>
    <row r="756" spans="1:9" x14ac:dyDescent="0.25">
      <c r="A756" s="114"/>
      <c r="B756" s="5" t="s">
        <v>115</v>
      </c>
      <c r="C756" s="3" t="s">
        <v>478</v>
      </c>
      <c r="D756" s="3" t="s">
        <v>546</v>
      </c>
      <c r="E756" s="36" t="s">
        <v>546</v>
      </c>
      <c r="F756" s="36" t="s">
        <v>307</v>
      </c>
      <c r="G756" s="29">
        <v>0</v>
      </c>
      <c r="H756" s="11">
        <v>972.9</v>
      </c>
      <c r="I756" s="11">
        <v>972.9</v>
      </c>
    </row>
    <row r="757" spans="1:9" x14ac:dyDescent="0.25">
      <c r="A757" s="113" t="s">
        <v>81</v>
      </c>
      <c r="B757" s="1" t="s">
        <v>277</v>
      </c>
      <c r="H757"/>
      <c r="I757"/>
    </row>
    <row r="758" spans="1:9" x14ac:dyDescent="0.25">
      <c r="A758" s="114"/>
      <c r="B758" s="5" t="s">
        <v>81</v>
      </c>
      <c r="C758" s="3" t="s">
        <v>479</v>
      </c>
      <c r="D758" s="3" t="s">
        <v>546</v>
      </c>
      <c r="E758" s="36" t="s">
        <v>546</v>
      </c>
      <c r="F758" s="36" t="s">
        <v>307</v>
      </c>
      <c r="G758" s="29">
        <v>0</v>
      </c>
      <c r="H758" s="11">
        <v>972.9</v>
      </c>
      <c r="I758" s="11">
        <v>972.9</v>
      </c>
    </row>
    <row r="759" spans="1:9" x14ac:dyDescent="0.25">
      <c r="A759" s="113" t="s">
        <v>499</v>
      </c>
      <c r="B759" s="1" t="s">
        <v>807</v>
      </c>
      <c r="H759"/>
      <c r="I759"/>
    </row>
    <row r="760" spans="1:9" x14ac:dyDescent="0.25">
      <c r="A760" s="114"/>
      <c r="B760" s="5" t="s">
        <v>499</v>
      </c>
      <c r="C760" s="3" t="s">
        <v>500</v>
      </c>
      <c r="D760" s="3" t="s">
        <v>546</v>
      </c>
      <c r="E760" s="36" t="s">
        <v>546</v>
      </c>
      <c r="F760" s="36" t="s">
        <v>307</v>
      </c>
      <c r="G760" s="29">
        <v>0</v>
      </c>
      <c r="H760" s="11">
        <v>897.9</v>
      </c>
      <c r="I760" s="11">
        <v>897.9</v>
      </c>
    </row>
    <row r="761" spans="1:9" x14ac:dyDescent="0.25">
      <c r="A761" s="113" t="s">
        <v>939</v>
      </c>
      <c r="B761" s="1" t="s">
        <v>277</v>
      </c>
      <c r="H761"/>
      <c r="I761"/>
    </row>
    <row r="762" spans="1:9" x14ac:dyDescent="0.25">
      <c r="A762" s="114"/>
      <c r="B762" s="5" t="s">
        <v>939</v>
      </c>
      <c r="C762" s="3" t="s">
        <v>940</v>
      </c>
      <c r="D762" s="3" t="s">
        <v>546</v>
      </c>
      <c r="E762" s="36" t="s">
        <v>546</v>
      </c>
      <c r="F762" s="36" t="s">
        <v>307</v>
      </c>
      <c r="G762" s="29">
        <v>0</v>
      </c>
      <c r="H762" s="11">
        <v>987.9</v>
      </c>
      <c r="I762" s="11">
        <v>987.9</v>
      </c>
    </row>
    <row r="763" spans="1:9" x14ac:dyDescent="0.25">
      <c r="A763" s="113" t="s">
        <v>937</v>
      </c>
      <c r="B763" s="1" t="s">
        <v>277</v>
      </c>
      <c r="H763"/>
      <c r="I763"/>
    </row>
    <row r="764" spans="1:9" x14ac:dyDescent="0.25">
      <c r="A764" s="114"/>
      <c r="B764" s="5" t="s">
        <v>937</v>
      </c>
      <c r="C764" s="3" t="s">
        <v>938</v>
      </c>
      <c r="D764" s="3" t="s">
        <v>546</v>
      </c>
      <c r="E764" s="36" t="s">
        <v>546</v>
      </c>
      <c r="F764" s="36" t="s">
        <v>307</v>
      </c>
      <c r="G764" s="29">
        <v>0</v>
      </c>
      <c r="H764" s="11">
        <v>947.9</v>
      </c>
      <c r="I764" s="11">
        <v>947.9</v>
      </c>
    </row>
    <row r="765" spans="1:9" x14ac:dyDescent="0.25">
      <c r="A765" s="115" t="s">
        <v>308</v>
      </c>
      <c r="B765" s="116"/>
      <c r="C765" s="116"/>
      <c r="D765" s="116"/>
      <c r="E765" s="116"/>
      <c r="F765" s="116"/>
      <c r="G765" s="116"/>
      <c r="H765" s="116"/>
      <c r="I765" s="116"/>
    </row>
    <row r="766" spans="1:9" x14ac:dyDescent="0.25">
      <c r="A766" s="10" t="s">
        <v>546</v>
      </c>
      <c r="B766" s="7"/>
      <c r="C766" s="7"/>
      <c r="D766" s="7"/>
      <c r="E766" s="7"/>
      <c r="F766" s="7"/>
      <c r="G766" s="7"/>
      <c r="H766" s="7"/>
      <c r="I766" s="7"/>
    </row>
    <row r="767" spans="1:9" x14ac:dyDescent="0.25">
      <c r="A767" s="113" t="s">
        <v>95</v>
      </c>
      <c r="B767" s="1" t="s">
        <v>240</v>
      </c>
      <c r="H767"/>
      <c r="I767"/>
    </row>
    <row r="768" spans="1:9" x14ac:dyDescent="0.25">
      <c r="A768" s="114"/>
      <c r="B768" s="5" t="s">
        <v>95</v>
      </c>
      <c r="C768" s="3" t="s">
        <v>421</v>
      </c>
      <c r="D768" s="3" t="s">
        <v>546</v>
      </c>
      <c r="E768" s="36">
        <v>1</v>
      </c>
      <c r="F768" s="36" t="s">
        <v>308</v>
      </c>
      <c r="G768" s="29">
        <v>0</v>
      </c>
      <c r="H768" s="11">
        <v>3012.9</v>
      </c>
      <c r="I768" s="11">
        <v>3012.9</v>
      </c>
    </row>
    <row r="769" spans="1:9" x14ac:dyDescent="0.25">
      <c r="A769" s="113" t="s">
        <v>45</v>
      </c>
      <c r="B769" s="1" t="s">
        <v>238</v>
      </c>
      <c r="H769"/>
      <c r="I769"/>
    </row>
    <row r="770" spans="1:9" x14ac:dyDescent="0.25">
      <c r="A770" s="114"/>
      <c r="B770" s="5" t="s">
        <v>45</v>
      </c>
      <c r="C770" s="3" t="s">
        <v>419</v>
      </c>
      <c r="D770" s="3" t="s">
        <v>546</v>
      </c>
      <c r="E770" s="36" t="s">
        <v>546</v>
      </c>
      <c r="F770" s="36" t="s">
        <v>308</v>
      </c>
      <c r="G770" s="29">
        <v>0</v>
      </c>
      <c r="H770" s="11">
        <v>4649.8999999999996</v>
      </c>
      <c r="I770" s="11">
        <v>4649.8999999999996</v>
      </c>
    </row>
    <row r="771" spans="1:9" x14ac:dyDescent="0.25">
      <c r="A771" s="113" t="s">
        <v>158</v>
      </c>
      <c r="B771" s="1" t="s">
        <v>239</v>
      </c>
      <c r="H771"/>
      <c r="I771"/>
    </row>
    <row r="772" spans="1:9" x14ac:dyDescent="0.25">
      <c r="A772" s="114"/>
      <c r="B772" s="5" t="s">
        <v>158</v>
      </c>
      <c r="C772" s="3" t="s">
        <v>811</v>
      </c>
      <c r="D772" s="3" t="s">
        <v>546</v>
      </c>
      <c r="E772" s="36" t="s">
        <v>546</v>
      </c>
      <c r="F772" s="36" t="s">
        <v>308</v>
      </c>
      <c r="G772" s="29">
        <v>0</v>
      </c>
      <c r="H772" s="11">
        <v>5132.8999999999996</v>
      </c>
      <c r="I772" s="11">
        <v>5132.8999999999996</v>
      </c>
    </row>
    <row r="773" spans="1:9" x14ac:dyDescent="0.25">
      <c r="A773" s="113" t="s">
        <v>100</v>
      </c>
      <c r="B773" s="1" t="s">
        <v>808</v>
      </c>
      <c r="H773"/>
      <c r="I773"/>
    </row>
    <row r="774" spans="1:9" x14ac:dyDescent="0.25">
      <c r="A774" s="114"/>
      <c r="B774" s="5" t="s">
        <v>100</v>
      </c>
      <c r="C774" s="3" t="s">
        <v>417</v>
      </c>
      <c r="D774" s="3" t="s">
        <v>546</v>
      </c>
      <c r="E774" s="36" t="s">
        <v>546</v>
      </c>
      <c r="F774" s="36" t="s">
        <v>308</v>
      </c>
      <c r="G774" s="29">
        <v>0</v>
      </c>
      <c r="H774" s="11">
        <v>802.9</v>
      </c>
      <c r="I774" s="11">
        <v>802.9</v>
      </c>
    </row>
    <row r="775" spans="1:9" x14ac:dyDescent="0.25">
      <c r="A775" s="113" t="s">
        <v>1</v>
      </c>
      <c r="B775" s="1" t="s">
        <v>278</v>
      </c>
      <c r="H775"/>
      <c r="I775"/>
    </row>
    <row r="776" spans="1:9" x14ac:dyDescent="0.25">
      <c r="A776" s="114"/>
      <c r="B776" s="5" t="s">
        <v>1</v>
      </c>
      <c r="C776" s="3" t="s">
        <v>418</v>
      </c>
      <c r="D776" s="3" t="s">
        <v>546</v>
      </c>
      <c r="E776" s="36" t="s">
        <v>546</v>
      </c>
      <c r="F776" s="36" t="s">
        <v>308</v>
      </c>
      <c r="G776" s="29">
        <v>0</v>
      </c>
      <c r="H776" s="11">
        <v>929.9</v>
      </c>
      <c r="I776" s="11">
        <v>929.9</v>
      </c>
    </row>
    <row r="777" spans="1:9" x14ac:dyDescent="0.25">
      <c r="A777" s="113" t="s">
        <v>96</v>
      </c>
      <c r="B777" s="1" t="s">
        <v>279</v>
      </c>
      <c r="H777"/>
      <c r="I777"/>
    </row>
    <row r="778" spans="1:9" x14ac:dyDescent="0.25">
      <c r="A778" s="114"/>
      <c r="B778" s="5" t="s">
        <v>96</v>
      </c>
      <c r="C778" s="3" t="s">
        <v>420</v>
      </c>
      <c r="D778" s="3" t="s">
        <v>546</v>
      </c>
      <c r="E778" s="36" t="s">
        <v>546</v>
      </c>
      <c r="F778" s="36" t="s">
        <v>308</v>
      </c>
      <c r="G778" s="29">
        <v>0</v>
      </c>
      <c r="H778" s="11">
        <v>95.9</v>
      </c>
      <c r="I778" s="11">
        <v>95.9</v>
      </c>
    </row>
    <row r="779" spans="1:9" x14ac:dyDescent="0.25">
      <c r="A779" s="113" t="s">
        <v>84</v>
      </c>
      <c r="B779" s="1" t="s">
        <v>280</v>
      </c>
      <c r="H779"/>
      <c r="I779"/>
    </row>
    <row r="780" spans="1:9" x14ac:dyDescent="0.25">
      <c r="A780" s="114"/>
      <c r="B780" s="5" t="s">
        <v>84</v>
      </c>
      <c r="C780" s="3" t="s">
        <v>422</v>
      </c>
      <c r="D780" s="3" t="s">
        <v>546</v>
      </c>
      <c r="E780" s="36" t="s">
        <v>546</v>
      </c>
      <c r="F780" s="36" t="s">
        <v>308</v>
      </c>
      <c r="G780" s="29">
        <v>0</v>
      </c>
      <c r="H780" s="11">
        <v>698.9</v>
      </c>
      <c r="I780" s="11">
        <v>698.9</v>
      </c>
    </row>
    <row r="781" spans="1:9" x14ac:dyDescent="0.25">
      <c r="A781" s="113" t="s">
        <v>85</v>
      </c>
      <c r="B781" s="1" t="s">
        <v>280</v>
      </c>
      <c r="H781"/>
      <c r="I781"/>
    </row>
    <row r="782" spans="1:9" x14ac:dyDescent="0.25">
      <c r="A782" s="114"/>
      <c r="B782" s="5" t="s">
        <v>85</v>
      </c>
      <c r="C782" s="3" t="s">
        <v>423</v>
      </c>
      <c r="D782" s="3" t="s">
        <v>546</v>
      </c>
      <c r="E782" s="36" t="s">
        <v>546</v>
      </c>
      <c r="F782" s="36" t="s">
        <v>308</v>
      </c>
      <c r="G782" s="29">
        <v>0</v>
      </c>
      <c r="H782" s="11">
        <v>817.9</v>
      </c>
      <c r="I782" s="11">
        <v>817.9</v>
      </c>
    </row>
    <row r="783" spans="1:9" x14ac:dyDescent="0.25">
      <c r="A783" s="113" t="s">
        <v>86</v>
      </c>
      <c r="B783" s="1" t="s">
        <v>281</v>
      </c>
      <c r="H783"/>
      <c r="I783"/>
    </row>
    <row r="784" spans="1:9" x14ac:dyDescent="0.25">
      <c r="A784" s="114"/>
      <c r="B784" s="5" t="s">
        <v>86</v>
      </c>
      <c r="C784" s="3" t="s">
        <v>424</v>
      </c>
      <c r="D784" s="3" t="s">
        <v>546</v>
      </c>
      <c r="E784" s="36" t="s">
        <v>546</v>
      </c>
      <c r="F784" s="36" t="s">
        <v>308</v>
      </c>
      <c r="G784" s="29">
        <v>0</v>
      </c>
      <c r="H784" s="11">
        <v>557.9</v>
      </c>
      <c r="I784" s="11">
        <v>557.9</v>
      </c>
    </row>
    <row r="785" spans="1:9" x14ac:dyDescent="0.25">
      <c r="A785" s="113" t="s">
        <v>97</v>
      </c>
      <c r="B785" s="1" t="s">
        <v>282</v>
      </c>
      <c r="H785"/>
      <c r="I785"/>
    </row>
    <row r="786" spans="1:9" x14ac:dyDescent="0.25">
      <c r="A786" s="114"/>
      <c r="B786" s="5" t="s">
        <v>97</v>
      </c>
      <c r="C786" s="3" t="s">
        <v>425</v>
      </c>
      <c r="D786" s="3" t="s">
        <v>546</v>
      </c>
      <c r="E786" s="36" t="s">
        <v>546</v>
      </c>
      <c r="F786" s="36" t="s">
        <v>308</v>
      </c>
      <c r="G786" s="29">
        <v>0</v>
      </c>
      <c r="H786" s="11">
        <v>646.9</v>
      </c>
      <c r="I786" s="11">
        <v>646.9</v>
      </c>
    </row>
    <row r="787" spans="1:9" x14ac:dyDescent="0.25">
      <c r="A787" s="113" t="s">
        <v>87</v>
      </c>
      <c r="B787" s="1" t="s">
        <v>283</v>
      </c>
      <c r="H787"/>
      <c r="I787"/>
    </row>
    <row r="788" spans="1:9" x14ac:dyDescent="0.25">
      <c r="A788" s="114"/>
      <c r="B788" s="5" t="s">
        <v>87</v>
      </c>
      <c r="C788" s="3" t="s">
        <v>426</v>
      </c>
      <c r="D788" s="3" t="s">
        <v>546</v>
      </c>
      <c r="E788" s="36" t="s">
        <v>546</v>
      </c>
      <c r="F788" s="36" t="s">
        <v>308</v>
      </c>
      <c r="G788" s="29">
        <v>0</v>
      </c>
      <c r="H788" s="11">
        <v>646.9</v>
      </c>
      <c r="I788" s="11">
        <v>646.9</v>
      </c>
    </row>
    <row r="789" spans="1:9" x14ac:dyDescent="0.25">
      <c r="A789" s="113" t="s">
        <v>98</v>
      </c>
      <c r="B789" s="1" t="s">
        <v>284</v>
      </c>
      <c r="H789"/>
      <c r="I789"/>
    </row>
    <row r="790" spans="1:9" x14ac:dyDescent="0.25">
      <c r="A790" s="114"/>
      <c r="B790" s="5" t="s">
        <v>98</v>
      </c>
      <c r="C790" s="3" t="s">
        <v>427</v>
      </c>
      <c r="D790" s="3" t="s">
        <v>546</v>
      </c>
      <c r="E790" s="36" t="s">
        <v>546</v>
      </c>
      <c r="F790" s="36" t="s">
        <v>308</v>
      </c>
      <c r="G790" s="29">
        <v>0</v>
      </c>
      <c r="H790" s="11">
        <v>929.9</v>
      </c>
      <c r="I790" s="11">
        <v>929.9</v>
      </c>
    </row>
    <row r="791" spans="1:9" x14ac:dyDescent="0.25">
      <c r="A791" s="113" t="s">
        <v>88</v>
      </c>
      <c r="B791" s="1" t="s">
        <v>285</v>
      </c>
      <c r="H791"/>
      <c r="I791"/>
    </row>
    <row r="792" spans="1:9" x14ac:dyDescent="0.25">
      <c r="A792" s="114"/>
      <c r="B792" s="5" t="s">
        <v>88</v>
      </c>
      <c r="C792" s="3" t="s">
        <v>428</v>
      </c>
      <c r="D792" s="3" t="s">
        <v>546</v>
      </c>
      <c r="E792" s="36" t="s">
        <v>546</v>
      </c>
      <c r="F792" s="36" t="s">
        <v>308</v>
      </c>
      <c r="G792" s="29">
        <v>0</v>
      </c>
      <c r="H792" s="11">
        <v>624.9</v>
      </c>
      <c r="I792" s="11">
        <v>624.9</v>
      </c>
    </row>
    <row r="793" spans="1:9" x14ac:dyDescent="0.25">
      <c r="A793" s="113" t="s">
        <v>89</v>
      </c>
      <c r="B793" s="1" t="s">
        <v>286</v>
      </c>
      <c r="H793"/>
      <c r="I793"/>
    </row>
    <row r="794" spans="1:9" x14ac:dyDescent="0.25">
      <c r="A794" s="114"/>
      <c r="B794" s="5" t="s">
        <v>89</v>
      </c>
      <c r="C794" s="3" t="s">
        <v>429</v>
      </c>
      <c r="D794" s="3" t="s">
        <v>546</v>
      </c>
      <c r="E794" s="36" t="s">
        <v>546</v>
      </c>
      <c r="F794" s="36" t="s">
        <v>308</v>
      </c>
      <c r="G794" s="29">
        <v>0</v>
      </c>
      <c r="H794" s="11">
        <v>773.9</v>
      </c>
      <c r="I794" s="11">
        <v>773.9</v>
      </c>
    </row>
    <row r="795" spans="1:9" x14ac:dyDescent="0.25">
      <c r="A795" s="113" t="s">
        <v>90</v>
      </c>
      <c r="B795" s="1" t="s">
        <v>287</v>
      </c>
      <c r="H795"/>
      <c r="I795"/>
    </row>
    <row r="796" spans="1:9" x14ac:dyDescent="0.25">
      <c r="A796" s="114"/>
      <c r="B796" s="5" t="s">
        <v>90</v>
      </c>
      <c r="C796" s="3" t="s">
        <v>430</v>
      </c>
      <c r="D796" s="3" t="s">
        <v>546</v>
      </c>
      <c r="E796" s="36" t="s">
        <v>546</v>
      </c>
      <c r="F796" s="36" t="s">
        <v>308</v>
      </c>
      <c r="G796" s="29">
        <v>0</v>
      </c>
      <c r="H796" s="11">
        <v>1755.9</v>
      </c>
      <c r="I796" s="11">
        <v>1755.9</v>
      </c>
    </row>
    <row r="797" spans="1:9" x14ac:dyDescent="0.25">
      <c r="A797" s="113" t="s">
        <v>99</v>
      </c>
      <c r="B797" s="1" t="s">
        <v>288</v>
      </c>
      <c r="H797"/>
      <c r="I797"/>
    </row>
    <row r="798" spans="1:9" x14ac:dyDescent="0.25">
      <c r="A798" s="114"/>
      <c r="B798" s="5" t="s">
        <v>99</v>
      </c>
      <c r="C798" s="3" t="s">
        <v>827</v>
      </c>
      <c r="D798" s="3" t="s">
        <v>546</v>
      </c>
      <c r="E798" s="36" t="s">
        <v>546</v>
      </c>
      <c r="F798" s="36" t="s">
        <v>308</v>
      </c>
      <c r="G798" s="29">
        <v>0</v>
      </c>
      <c r="H798" s="11">
        <v>2082.9</v>
      </c>
      <c r="I798" s="11">
        <v>2082.9</v>
      </c>
    </row>
    <row r="799" spans="1:9" x14ac:dyDescent="0.25">
      <c r="A799" s="113" t="s">
        <v>91</v>
      </c>
      <c r="B799" s="1" t="s">
        <v>289</v>
      </c>
      <c r="H799"/>
      <c r="I799"/>
    </row>
    <row r="800" spans="1:9" x14ac:dyDescent="0.25">
      <c r="A800" s="114"/>
      <c r="B800" s="5" t="s">
        <v>91</v>
      </c>
      <c r="C800" s="3" t="s">
        <v>431</v>
      </c>
      <c r="D800" s="3" t="s">
        <v>546</v>
      </c>
      <c r="E800" s="36" t="s">
        <v>546</v>
      </c>
      <c r="F800" s="36" t="s">
        <v>308</v>
      </c>
      <c r="G800" s="29">
        <v>0</v>
      </c>
      <c r="H800" s="11">
        <v>1375.9</v>
      </c>
      <c r="I800" s="11">
        <v>1375.9</v>
      </c>
    </row>
    <row r="801" spans="1:9" x14ac:dyDescent="0.25">
      <c r="A801" s="113" t="s">
        <v>92</v>
      </c>
      <c r="B801" s="1" t="s">
        <v>290</v>
      </c>
      <c r="H801"/>
      <c r="I801"/>
    </row>
    <row r="802" spans="1:9" x14ac:dyDescent="0.25">
      <c r="A802" s="114"/>
      <c r="B802" s="5" t="s">
        <v>92</v>
      </c>
      <c r="C802" s="3" t="s">
        <v>432</v>
      </c>
      <c r="D802" s="3" t="s">
        <v>546</v>
      </c>
      <c r="E802" s="36" t="s">
        <v>546</v>
      </c>
      <c r="F802" s="36" t="s">
        <v>308</v>
      </c>
      <c r="G802" s="29">
        <v>0</v>
      </c>
      <c r="H802" s="11">
        <v>1621.9</v>
      </c>
      <c r="I802" s="11">
        <v>1621.9</v>
      </c>
    </row>
    <row r="803" spans="1:9" x14ac:dyDescent="0.25">
      <c r="A803" s="113" t="s">
        <v>93</v>
      </c>
      <c r="B803" s="1" t="s">
        <v>291</v>
      </c>
      <c r="H803"/>
      <c r="I803"/>
    </row>
    <row r="804" spans="1:9" x14ac:dyDescent="0.25">
      <c r="A804" s="114"/>
      <c r="B804" s="5" t="s">
        <v>93</v>
      </c>
      <c r="C804" s="3" t="s">
        <v>433</v>
      </c>
      <c r="D804" s="3" t="s">
        <v>546</v>
      </c>
      <c r="E804" s="36" t="s">
        <v>546</v>
      </c>
      <c r="F804" s="36" t="s">
        <v>308</v>
      </c>
      <c r="G804" s="29">
        <v>0</v>
      </c>
      <c r="H804" s="11">
        <v>1107.9000000000001</v>
      </c>
      <c r="I804" s="11">
        <v>1107.9000000000001</v>
      </c>
    </row>
    <row r="805" spans="1:9" x14ac:dyDescent="0.25">
      <c r="A805" s="113" t="s">
        <v>94</v>
      </c>
      <c r="B805" s="1" t="s">
        <v>292</v>
      </c>
      <c r="H805"/>
      <c r="I805"/>
    </row>
    <row r="806" spans="1:9" x14ac:dyDescent="0.25">
      <c r="A806" s="114"/>
      <c r="B806" s="5" t="s">
        <v>94</v>
      </c>
      <c r="C806" s="3" t="s">
        <v>434</v>
      </c>
      <c r="D806" s="3" t="s">
        <v>546</v>
      </c>
      <c r="E806" s="36" t="s">
        <v>546</v>
      </c>
      <c r="F806" s="36" t="s">
        <v>308</v>
      </c>
      <c r="G806" s="29">
        <v>0</v>
      </c>
      <c r="H806" s="11">
        <v>1397.9</v>
      </c>
      <c r="I806" s="11">
        <v>1397.9</v>
      </c>
    </row>
    <row r="807" spans="1:9" x14ac:dyDescent="0.25">
      <c r="A807" s="113" t="s">
        <v>46</v>
      </c>
      <c r="B807" s="1" t="s">
        <v>293</v>
      </c>
      <c r="H807"/>
      <c r="I807"/>
    </row>
    <row r="808" spans="1:9" x14ac:dyDescent="0.25">
      <c r="A808" s="114"/>
      <c r="B808" s="5" t="s">
        <v>46</v>
      </c>
      <c r="C808" s="3" t="s">
        <v>828</v>
      </c>
      <c r="D808" s="3" t="s">
        <v>546</v>
      </c>
      <c r="E808" s="36" t="s">
        <v>546</v>
      </c>
      <c r="F808" s="36" t="s">
        <v>308</v>
      </c>
      <c r="G808" s="29">
        <v>0</v>
      </c>
      <c r="H808" s="11">
        <v>2752.9</v>
      </c>
      <c r="I808" s="11">
        <v>2752.9</v>
      </c>
    </row>
    <row r="809" spans="1:9" x14ac:dyDescent="0.25">
      <c r="A809" s="113" t="s">
        <v>809</v>
      </c>
      <c r="B809" s="1" t="s">
        <v>810</v>
      </c>
      <c r="H809"/>
      <c r="I809"/>
    </row>
    <row r="810" spans="1:9" x14ac:dyDescent="0.25">
      <c r="A810" s="114"/>
      <c r="B810" s="5" t="s">
        <v>809</v>
      </c>
      <c r="C810" s="3" t="s">
        <v>826</v>
      </c>
      <c r="D810" s="3" t="s">
        <v>546</v>
      </c>
      <c r="E810" s="36" t="s">
        <v>546</v>
      </c>
      <c r="F810" s="36" t="s">
        <v>308</v>
      </c>
      <c r="G810" s="29">
        <v>0</v>
      </c>
      <c r="H810" s="11">
        <v>929.9</v>
      </c>
      <c r="I810" s="11">
        <v>929.9</v>
      </c>
    </row>
    <row r="811" spans="1:9" x14ac:dyDescent="0.25">
      <c r="A811" s="113" t="s">
        <v>823</v>
      </c>
      <c r="B811" s="1" t="s">
        <v>824</v>
      </c>
      <c r="H811"/>
      <c r="I811"/>
    </row>
    <row r="812" spans="1:9" x14ac:dyDescent="0.25">
      <c r="A812" s="114"/>
      <c r="B812" s="5" t="s">
        <v>822</v>
      </c>
      <c r="C812" s="3" t="s">
        <v>825</v>
      </c>
      <c r="D812" s="3" t="s">
        <v>546</v>
      </c>
      <c r="E812" s="36" t="s">
        <v>546</v>
      </c>
      <c r="F812" s="36" t="s">
        <v>308</v>
      </c>
      <c r="G812" s="29">
        <v>0</v>
      </c>
      <c r="H812" s="11">
        <v>1078.9000000000001</v>
      </c>
      <c r="I812" s="11">
        <v>1078.9000000000001</v>
      </c>
    </row>
    <row r="813" spans="1:9" x14ac:dyDescent="0.25">
      <c r="H813"/>
    </row>
    <row r="814" spans="1:9" x14ac:dyDescent="0.25">
      <c r="H814"/>
    </row>
    <row r="815" spans="1:9" x14ac:dyDescent="0.25">
      <c r="H815"/>
    </row>
    <row r="816" spans="1:9" x14ac:dyDescent="0.25">
      <c r="H816"/>
    </row>
    <row r="817" spans="8:8" x14ac:dyDescent="0.25">
      <c r="H817"/>
    </row>
    <row r="818" spans="8:8" x14ac:dyDescent="0.25">
      <c r="H818"/>
    </row>
    <row r="819" spans="8:8" x14ac:dyDescent="0.25">
      <c r="H819"/>
    </row>
    <row r="820" spans="8:8" x14ac:dyDescent="0.25">
      <c r="H820"/>
    </row>
    <row r="821" spans="8:8" x14ac:dyDescent="0.25">
      <c r="H821"/>
    </row>
    <row r="822" spans="8:8" x14ac:dyDescent="0.25">
      <c r="H822"/>
    </row>
    <row r="823" spans="8:8" x14ac:dyDescent="0.25">
      <c r="H823"/>
    </row>
    <row r="824" spans="8:8" x14ac:dyDescent="0.25">
      <c r="H824"/>
    </row>
    <row r="825" spans="8:8" x14ac:dyDescent="0.25">
      <c r="H825"/>
    </row>
    <row r="826" spans="8:8" x14ac:dyDescent="0.25">
      <c r="H826"/>
    </row>
    <row r="827" spans="8:8" x14ac:dyDescent="0.25">
      <c r="H827"/>
    </row>
    <row r="828" spans="8:8" x14ac:dyDescent="0.25">
      <c r="H828"/>
    </row>
    <row r="829" spans="8:8" x14ac:dyDescent="0.25">
      <c r="H829"/>
    </row>
    <row r="830" spans="8:8" x14ac:dyDescent="0.25">
      <c r="H830"/>
    </row>
    <row r="831" spans="8:8" x14ac:dyDescent="0.25">
      <c r="H831"/>
    </row>
    <row r="832" spans="8:8" x14ac:dyDescent="0.25">
      <c r="H832"/>
    </row>
    <row r="833" spans="8:8" x14ac:dyDescent="0.25">
      <c r="H833"/>
    </row>
    <row r="834" spans="8:8" x14ac:dyDescent="0.25">
      <c r="H834"/>
    </row>
    <row r="835" spans="8:8" x14ac:dyDescent="0.25">
      <c r="H835"/>
    </row>
    <row r="836" spans="8:8" x14ac:dyDescent="0.25">
      <c r="H836"/>
    </row>
    <row r="837" spans="8:8" x14ac:dyDescent="0.25">
      <c r="H837"/>
    </row>
    <row r="838" spans="8:8" x14ac:dyDescent="0.25">
      <c r="H838"/>
    </row>
    <row r="839" spans="8:8" x14ac:dyDescent="0.25">
      <c r="H839"/>
    </row>
    <row r="840" spans="8:8" x14ac:dyDescent="0.25">
      <c r="H840"/>
    </row>
    <row r="841" spans="8:8" x14ac:dyDescent="0.25">
      <c r="H841"/>
    </row>
    <row r="842" spans="8:8" x14ac:dyDescent="0.25">
      <c r="H842"/>
    </row>
    <row r="843" spans="8:8" x14ac:dyDescent="0.25">
      <c r="H843"/>
    </row>
    <row r="844" spans="8:8" x14ac:dyDescent="0.25">
      <c r="H844"/>
    </row>
    <row r="845" spans="8:8" x14ac:dyDescent="0.25">
      <c r="H845"/>
    </row>
    <row r="846" spans="8:8" x14ac:dyDescent="0.25">
      <c r="H846"/>
    </row>
    <row r="847" spans="8:8" x14ac:dyDescent="0.25">
      <c r="H847"/>
    </row>
    <row r="848" spans="8:8" x14ac:dyDescent="0.25">
      <c r="H848"/>
    </row>
    <row r="849" spans="8:8" x14ac:dyDescent="0.25">
      <c r="H849"/>
    </row>
    <row r="850" spans="8:8" x14ac:dyDescent="0.25">
      <c r="H850"/>
    </row>
    <row r="851" spans="8:8" x14ac:dyDescent="0.25">
      <c r="H851"/>
    </row>
    <row r="852" spans="8:8" x14ac:dyDescent="0.25">
      <c r="H852"/>
    </row>
    <row r="853" spans="8:8" x14ac:dyDescent="0.25">
      <c r="H853"/>
    </row>
    <row r="854" spans="8:8" x14ac:dyDescent="0.25">
      <c r="H854"/>
    </row>
    <row r="855" spans="8:8" x14ac:dyDescent="0.25">
      <c r="H855"/>
    </row>
    <row r="856" spans="8:8" x14ac:dyDescent="0.25">
      <c r="H856"/>
    </row>
    <row r="857" spans="8:8" x14ac:dyDescent="0.25">
      <c r="H857"/>
    </row>
    <row r="858" spans="8:8" x14ac:dyDescent="0.25">
      <c r="H858"/>
    </row>
    <row r="859" spans="8:8" x14ac:dyDescent="0.25">
      <c r="H859"/>
    </row>
    <row r="860" spans="8:8" x14ac:dyDescent="0.25">
      <c r="H860"/>
    </row>
    <row r="861" spans="8:8" x14ac:dyDescent="0.25">
      <c r="H861"/>
    </row>
    <row r="862" spans="8:8" x14ac:dyDescent="0.25">
      <c r="H862"/>
    </row>
    <row r="863" spans="8:8" x14ac:dyDescent="0.25">
      <c r="H863"/>
    </row>
    <row r="864" spans="8:8" x14ac:dyDescent="0.25">
      <c r="H864"/>
    </row>
    <row r="865" spans="8:8" x14ac:dyDescent="0.25">
      <c r="H865"/>
    </row>
    <row r="866" spans="8:8" x14ac:dyDescent="0.25">
      <c r="H866"/>
    </row>
    <row r="867" spans="8:8" x14ac:dyDescent="0.25">
      <c r="H867"/>
    </row>
    <row r="868" spans="8:8" x14ac:dyDescent="0.25">
      <c r="H868"/>
    </row>
    <row r="869" spans="8:8" x14ac:dyDescent="0.25">
      <c r="H869"/>
    </row>
    <row r="870" spans="8:8" x14ac:dyDescent="0.25">
      <c r="H870"/>
    </row>
    <row r="871" spans="8:8" x14ac:dyDescent="0.25">
      <c r="H871"/>
    </row>
    <row r="872" spans="8:8" x14ac:dyDescent="0.25">
      <c r="H872"/>
    </row>
    <row r="873" spans="8:8" x14ac:dyDescent="0.25">
      <c r="H873"/>
    </row>
    <row r="874" spans="8:8" x14ac:dyDescent="0.25">
      <c r="H874"/>
    </row>
    <row r="875" spans="8:8" x14ac:dyDescent="0.25">
      <c r="H875"/>
    </row>
    <row r="876" spans="8:8" x14ac:dyDescent="0.25">
      <c r="H876"/>
    </row>
    <row r="877" spans="8:8" x14ac:dyDescent="0.25">
      <c r="H877"/>
    </row>
    <row r="878" spans="8:8" x14ac:dyDescent="0.25">
      <c r="H878"/>
    </row>
    <row r="879" spans="8:8" x14ac:dyDescent="0.25">
      <c r="H879"/>
    </row>
    <row r="880" spans="8:8" x14ac:dyDescent="0.25">
      <c r="H880"/>
    </row>
    <row r="881" spans="8:8" x14ac:dyDescent="0.25">
      <c r="H881"/>
    </row>
    <row r="882" spans="8:8" x14ac:dyDescent="0.25">
      <c r="H882"/>
    </row>
    <row r="883" spans="8:8" x14ac:dyDescent="0.25">
      <c r="H883"/>
    </row>
    <row r="884" spans="8:8" x14ac:dyDescent="0.25">
      <c r="H884"/>
    </row>
    <row r="885" spans="8:8" x14ac:dyDescent="0.25">
      <c r="H885"/>
    </row>
    <row r="886" spans="8:8" x14ac:dyDescent="0.25">
      <c r="H886"/>
    </row>
    <row r="887" spans="8:8" x14ac:dyDescent="0.25">
      <c r="H887"/>
    </row>
    <row r="888" spans="8:8" x14ac:dyDescent="0.25">
      <c r="H888"/>
    </row>
    <row r="889" spans="8:8" x14ac:dyDescent="0.25">
      <c r="H889"/>
    </row>
    <row r="890" spans="8:8" x14ac:dyDescent="0.25">
      <c r="H890"/>
    </row>
    <row r="891" spans="8:8" x14ac:dyDescent="0.25">
      <c r="H891"/>
    </row>
    <row r="892" spans="8:8" x14ac:dyDescent="0.25">
      <c r="H892"/>
    </row>
    <row r="893" spans="8:8" x14ac:dyDescent="0.25">
      <c r="H893"/>
    </row>
    <row r="894" spans="8:8" x14ac:dyDescent="0.25">
      <c r="H894"/>
    </row>
    <row r="895" spans="8:8" x14ac:dyDescent="0.25">
      <c r="H895"/>
    </row>
    <row r="896" spans="8:8" x14ac:dyDescent="0.25">
      <c r="H896"/>
    </row>
    <row r="897" spans="8:8" x14ac:dyDescent="0.25">
      <c r="H897"/>
    </row>
    <row r="898" spans="8:8" x14ac:dyDescent="0.25">
      <c r="H898"/>
    </row>
    <row r="899" spans="8:8" x14ac:dyDescent="0.25">
      <c r="H899"/>
    </row>
    <row r="900" spans="8:8" x14ac:dyDescent="0.25">
      <c r="H900"/>
    </row>
    <row r="901" spans="8:8" x14ac:dyDescent="0.25">
      <c r="H901"/>
    </row>
    <row r="902" spans="8:8" x14ac:dyDescent="0.25">
      <c r="H902"/>
    </row>
    <row r="903" spans="8:8" x14ac:dyDescent="0.25">
      <c r="H903"/>
    </row>
    <row r="904" spans="8:8" x14ac:dyDescent="0.25">
      <c r="H904"/>
    </row>
    <row r="905" spans="8:8" x14ac:dyDescent="0.25">
      <c r="H905"/>
    </row>
    <row r="906" spans="8:8" x14ac:dyDescent="0.25">
      <c r="H906"/>
    </row>
    <row r="907" spans="8:8" x14ac:dyDescent="0.25">
      <c r="H907"/>
    </row>
    <row r="908" spans="8:8" x14ac:dyDescent="0.25">
      <c r="H908"/>
    </row>
    <row r="909" spans="8:8" x14ac:dyDescent="0.25">
      <c r="H909"/>
    </row>
    <row r="910" spans="8:8" x14ac:dyDescent="0.25">
      <c r="H910"/>
    </row>
    <row r="911" spans="8:8" x14ac:dyDescent="0.25">
      <c r="H911"/>
    </row>
    <row r="912" spans="8:8" x14ac:dyDescent="0.25">
      <c r="H912"/>
    </row>
    <row r="913" spans="8:8" x14ac:dyDescent="0.25">
      <c r="H913"/>
    </row>
    <row r="914" spans="8:8" x14ac:dyDescent="0.25">
      <c r="H914"/>
    </row>
    <row r="915" spans="8:8" x14ac:dyDescent="0.25">
      <c r="H915"/>
    </row>
    <row r="916" spans="8:8" x14ac:dyDescent="0.25">
      <c r="H916"/>
    </row>
    <row r="917" spans="8:8" x14ac:dyDescent="0.25">
      <c r="H917"/>
    </row>
    <row r="918" spans="8:8" x14ac:dyDescent="0.25">
      <c r="H918"/>
    </row>
    <row r="919" spans="8:8" x14ac:dyDescent="0.25">
      <c r="H919"/>
    </row>
    <row r="920" spans="8:8" x14ac:dyDescent="0.25">
      <c r="H920"/>
    </row>
    <row r="921" spans="8:8" x14ac:dyDescent="0.25">
      <c r="H921"/>
    </row>
    <row r="922" spans="8:8" x14ac:dyDescent="0.25">
      <c r="H922"/>
    </row>
    <row r="923" spans="8:8" x14ac:dyDescent="0.25">
      <c r="H923"/>
    </row>
    <row r="924" spans="8:8" x14ac:dyDescent="0.25">
      <c r="H924"/>
    </row>
    <row r="925" spans="8:8" x14ac:dyDescent="0.25">
      <c r="H925"/>
    </row>
    <row r="926" spans="8:8" x14ac:dyDescent="0.25">
      <c r="H926"/>
    </row>
    <row r="927" spans="8:8" x14ac:dyDescent="0.25">
      <c r="H927"/>
    </row>
    <row r="928" spans="8:8" x14ac:dyDescent="0.25">
      <c r="H928"/>
    </row>
    <row r="929" spans="8:8" x14ac:dyDescent="0.25">
      <c r="H929"/>
    </row>
    <row r="930" spans="8:8" x14ac:dyDescent="0.25">
      <c r="H930"/>
    </row>
    <row r="931" spans="8:8" x14ac:dyDescent="0.25">
      <c r="H931"/>
    </row>
    <row r="932" spans="8:8" x14ac:dyDescent="0.25">
      <c r="H932"/>
    </row>
    <row r="933" spans="8:8" x14ac:dyDescent="0.25">
      <c r="H933"/>
    </row>
    <row r="934" spans="8:8" x14ac:dyDescent="0.25">
      <c r="H934"/>
    </row>
    <row r="935" spans="8:8" x14ac:dyDescent="0.25">
      <c r="H935"/>
    </row>
    <row r="936" spans="8:8" x14ac:dyDescent="0.25">
      <c r="H936"/>
    </row>
    <row r="937" spans="8:8" x14ac:dyDescent="0.25">
      <c r="H937"/>
    </row>
    <row r="938" spans="8:8" x14ac:dyDescent="0.25">
      <c r="H938"/>
    </row>
    <row r="939" spans="8:8" x14ac:dyDescent="0.25">
      <c r="H939"/>
    </row>
    <row r="940" spans="8:8" x14ac:dyDescent="0.25">
      <c r="H940"/>
    </row>
    <row r="941" spans="8:8" x14ac:dyDescent="0.25">
      <c r="H941"/>
    </row>
    <row r="942" spans="8:8" x14ac:dyDescent="0.25">
      <c r="H942"/>
    </row>
    <row r="943" spans="8:8" x14ac:dyDescent="0.25">
      <c r="H943"/>
    </row>
    <row r="944" spans="8:8" x14ac:dyDescent="0.25">
      <c r="H944"/>
    </row>
    <row r="945" spans="8:8" x14ac:dyDescent="0.25">
      <c r="H945"/>
    </row>
    <row r="946" spans="8:8" x14ac:dyDescent="0.25">
      <c r="H946"/>
    </row>
    <row r="947" spans="8:8" x14ac:dyDescent="0.25">
      <c r="H947"/>
    </row>
    <row r="948" spans="8:8" x14ac:dyDescent="0.25">
      <c r="H948"/>
    </row>
    <row r="949" spans="8:8" x14ac:dyDescent="0.25">
      <c r="H949"/>
    </row>
    <row r="950" spans="8:8" x14ac:dyDescent="0.25">
      <c r="H950"/>
    </row>
    <row r="951" spans="8:8" x14ac:dyDescent="0.25">
      <c r="H951"/>
    </row>
    <row r="952" spans="8:8" x14ac:dyDescent="0.25">
      <c r="H952"/>
    </row>
    <row r="953" spans="8:8" x14ac:dyDescent="0.25">
      <c r="H953"/>
    </row>
    <row r="954" spans="8:8" x14ac:dyDescent="0.25">
      <c r="H954"/>
    </row>
    <row r="955" spans="8:8" x14ac:dyDescent="0.25">
      <c r="H955"/>
    </row>
    <row r="956" spans="8:8" x14ac:dyDescent="0.25">
      <c r="H956"/>
    </row>
    <row r="957" spans="8:8" x14ac:dyDescent="0.25">
      <c r="H957"/>
    </row>
    <row r="958" spans="8:8" x14ac:dyDescent="0.25">
      <c r="H958"/>
    </row>
    <row r="959" spans="8:8" x14ac:dyDescent="0.25">
      <c r="H959"/>
    </row>
    <row r="960" spans="8:8" x14ac:dyDescent="0.25">
      <c r="H960"/>
    </row>
    <row r="961" spans="8:8" x14ac:dyDescent="0.25">
      <c r="H961"/>
    </row>
    <row r="962" spans="8:8" x14ac:dyDescent="0.25">
      <c r="H962"/>
    </row>
    <row r="963" spans="8:8" x14ac:dyDescent="0.25">
      <c r="H963"/>
    </row>
    <row r="964" spans="8:8" x14ac:dyDescent="0.25">
      <c r="H964"/>
    </row>
    <row r="965" spans="8:8" x14ac:dyDescent="0.25">
      <c r="H965"/>
    </row>
    <row r="966" spans="8:8" x14ac:dyDescent="0.25">
      <c r="H966"/>
    </row>
    <row r="967" spans="8:8" x14ac:dyDescent="0.25">
      <c r="H967"/>
    </row>
    <row r="968" spans="8:8" x14ac:dyDescent="0.25">
      <c r="H968"/>
    </row>
    <row r="969" spans="8:8" x14ac:dyDescent="0.25">
      <c r="H969"/>
    </row>
    <row r="970" spans="8:8" x14ac:dyDescent="0.25">
      <c r="H970"/>
    </row>
    <row r="971" spans="8:8" x14ac:dyDescent="0.25">
      <c r="H971"/>
    </row>
    <row r="972" spans="8:8" x14ac:dyDescent="0.25">
      <c r="H972"/>
    </row>
    <row r="973" spans="8:8" x14ac:dyDescent="0.25">
      <c r="H973"/>
    </row>
    <row r="974" spans="8:8" x14ac:dyDescent="0.25">
      <c r="H974"/>
    </row>
    <row r="975" spans="8:8" x14ac:dyDescent="0.25">
      <c r="H975"/>
    </row>
    <row r="976" spans="8:8" x14ac:dyDescent="0.25">
      <c r="H976"/>
    </row>
    <row r="977" spans="8:8" x14ac:dyDescent="0.25">
      <c r="H977"/>
    </row>
    <row r="978" spans="8:8" x14ac:dyDescent="0.25">
      <c r="H978"/>
    </row>
    <row r="979" spans="8:8" x14ac:dyDescent="0.25">
      <c r="H979"/>
    </row>
    <row r="980" spans="8:8" x14ac:dyDescent="0.25">
      <c r="H980"/>
    </row>
    <row r="981" spans="8:8" x14ac:dyDescent="0.25">
      <c r="H981"/>
    </row>
    <row r="982" spans="8:8" x14ac:dyDescent="0.25">
      <c r="H982"/>
    </row>
    <row r="983" spans="8:8" x14ac:dyDescent="0.25">
      <c r="H983"/>
    </row>
    <row r="984" spans="8:8" x14ac:dyDescent="0.25">
      <c r="H984"/>
    </row>
    <row r="985" spans="8:8" x14ac:dyDescent="0.25">
      <c r="H985"/>
    </row>
    <row r="986" spans="8:8" x14ac:dyDescent="0.25">
      <c r="H986"/>
    </row>
    <row r="987" spans="8:8" x14ac:dyDescent="0.25">
      <c r="H987"/>
    </row>
    <row r="988" spans="8:8" x14ac:dyDescent="0.25">
      <c r="H988"/>
    </row>
    <row r="989" spans="8:8" x14ac:dyDescent="0.25">
      <c r="H989"/>
    </row>
    <row r="990" spans="8:8" x14ac:dyDescent="0.25">
      <c r="H990"/>
    </row>
    <row r="991" spans="8:8" x14ac:dyDescent="0.25">
      <c r="H991"/>
    </row>
    <row r="992" spans="8:8" x14ac:dyDescent="0.25">
      <c r="H992"/>
    </row>
    <row r="993" spans="8:8" x14ac:dyDescent="0.25">
      <c r="H993"/>
    </row>
    <row r="994" spans="8:8" x14ac:dyDescent="0.25">
      <c r="H994"/>
    </row>
    <row r="995" spans="8:8" x14ac:dyDescent="0.25">
      <c r="H995"/>
    </row>
    <row r="996" spans="8:8" x14ac:dyDescent="0.25">
      <c r="H996"/>
    </row>
    <row r="997" spans="8:8" x14ac:dyDescent="0.25">
      <c r="H997"/>
    </row>
    <row r="998" spans="8:8" x14ac:dyDescent="0.25">
      <c r="H998"/>
    </row>
    <row r="999" spans="8:8" x14ac:dyDescent="0.25">
      <c r="H999"/>
    </row>
    <row r="1000" spans="8:8" x14ac:dyDescent="0.25">
      <c r="H1000"/>
    </row>
    <row r="1001" spans="8:8" x14ac:dyDescent="0.25">
      <c r="H1001"/>
    </row>
    <row r="1002" spans="8:8" x14ac:dyDescent="0.25">
      <c r="H1002"/>
    </row>
    <row r="1003" spans="8:8" x14ac:dyDescent="0.25">
      <c r="H1003"/>
    </row>
    <row r="1004" spans="8:8" x14ac:dyDescent="0.25">
      <c r="H1004"/>
    </row>
    <row r="1005" spans="8:8" x14ac:dyDescent="0.25">
      <c r="H1005"/>
    </row>
    <row r="1006" spans="8:8" x14ac:dyDescent="0.25">
      <c r="H1006"/>
    </row>
    <row r="1007" spans="8:8" x14ac:dyDescent="0.25">
      <c r="H1007"/>
    </row>
    <row r="1008" spans="8:8" x14ac:dyDescent="0.25">
      <c r="H1008"/>
    </row>
    <row r="1009" spans="8:8" x14ac:dyDescent="0.25">
      <c r="H1009"/>
    </row>
    <row r="1010" spans="8:8" x14ac:dyDescent="0.25">
      <c r="H1010"/>
    </row>
    <row r="1011" spans="8:8" x14ac:dyDescent="0.25">
      <c r="H1011"/>
    </row>
    <row r="1012" spans="8:8" x14ac:dyDescent="0.25">
      <c r="H1012"/>
    </row>
    <row r="1013" spans="8:8" x14ac:dyDescent="0.25">
      <c r="H1013"/>
    </row>
    <row r="1014" spans="8:8" x14ac:dyDescent="0.25">
      <c r="H1014"/>
    </row>
    <row r="1015" spans="8:8" x14ac:dyDescent="0.25">
      <c r="H1015"/>
    </row>
    <row r="1016" spans="8:8" x14ac:dyDescent="0.25">
      <c r="H1016"/>
    </row>
    <row r="1017" spans="8:8" x14ac:dyDescent="0.25">
      <c r="H1017"/>
    </row>
    <row r="1018" spans="8:8" x14ac:dyDescent="0.25">
      <c r="H1018"/>
    </row>
    <row r="1019" spans="8:8" x14ac:dyDescent="0.25">
      <c r="H1019"/>
    </row>
    <row r="1020" spans="8:8" x14ac:dyDescent="0.25">
      <c r="H1020"/>
    </row>
    <row r="1021" spans="8:8" x14ac:dyDescent="0.25">
      <c r="H1021"/>
    </row>
    <row r="1022" spans="8:8" x14ac:dyDescent="0.25">
      <c r="H1022"/>
    </row>
    <row r="1023" spans="8:8" x14ac:dyDescent="0.25">
      <c r="H1023"/>
    </row>
    <row r="1024" spans="8:8" x14ac:dyDescent="0.25">
      <c r="H1024"/>
    </row>
    <row r="1025" spans="8:8" x14ac:dyDescent="0.25">
      <c r="H1025"/>
    </row>
    <row r="1026" spans="8:8" x14ac:dyDescent="0.25">
      <c r="H1026"/>
    </row>
    <row r="1027" spans="8:8" x14ac:dyDescent="0.25">
      <c r="H1027"/>
    </row>
    <row r="1028" spans="8:8" x14ac:dyDescent="0.25">
      <c r="H1028"/>
    </row>
    <row r="1029" spans="8:8" x14ac:dyDescent="0.25">
      <c r="H1029"/>
    </row>
    <row r="1030" spans="8:8" x14ac:dyDescent="0.25">
      <c r="H1030"/>
    </row>
    <row r="1031" spans="8:8" x14ac:dyDescent="0.25">
      <c r="H1031"/>
    </row>
    <row r="1032" spans="8:8" x14ac:dyDescent="0.25">
      <c r="H1032"/>
    </row>
    <row r="1033" spans="8:8" x14ac:dyDescent="0.25">
      <c r="H1033"/>
    </row>
    <row r="1034" spans="8:8" x14ac:dyDescent="0.25">
      <c r="H1034"/>
    </row>
    <row r="1035" spans="8:8" x14ac:dyDescent="0.25">
      <c r="H1035"/>
    </row>
    <row r="1036" spans="8:8" x14ac:dyDescent="0.25">
      <c r="H1036"/>
    </row>
    <row r="1037" spans="8:8" x14ac:dyDescent="0.25">
      <c r="H1037"/>
    </row>
    <row r="1038" spans="8:8" x14ac:dyDescent="0.25">
      <c r="H1038"/>
    </row>
    <row r="1039" spans="8:8" x14ac:dyDescent="0.25">
      <c r="H1039"/>
    </row>
    <row r="1040" spans="8:8" x14ac:dyDescent="0.25">
      <c r="H1040"/>
    </row>
    <row r="1041" spans="8:8" x14ac:dyDescent="0.25">
      <c r="H1041"/>
    </row>
    <row r="1042" spans="8:8" x14ac:dyDescent="0.25">
      <c r="H1042"/>
    </row>
    <row r="1043" spans="8:8" x14ac:dyDescent="0.25">
      <c r="H1043"/>
    </row>
    <row r="1044" spans="8:8" x14ac:dyDescent="0.25">
      <c r="H1044"/>
    </row>
    <row r="1045" spans="8:8" x14ac:dyDescent="0.25">
      <c r="H1045"/>
    </row>
    <row r="1046" spans="8:8" x14ac:dyDescent="0.25">
      <c r="H1046"/>
    </row>
    <row r="1047" spans="8:8" x14ac:dyDescent="0.25">
      <c r="H1047"/>
    </row>
    <row r="1048" spans="8:8" x14ac:dyDescent="0.25">
      <c r="H1048"/>
    </row>
    <row r="1049" spans="8:8" x14ac:dyDescent="0.25">
      <c r="H1049"/>
    </row>
    <row r="1050" spans="8:8" x14ac:dyDescent="0.25">
      <c r="H1050"/>
    </row>
    <row r="1051" spans="8:8" x14ac:dyDescent="0.25">
      <c r="H1051"/>
    </row>
    <row r="1052" spans="8:8" x14ac:dyDescent="0.25">
      <c r="H1052"/>
    </row>
    <row r="1053" spans="8:8" x14ac:dyDescent="0.25">
      <c r="H1053"/>
    </row>
    <row r="1054" spans="8:8" x14ac:dyDescent="0.25">
      <c r="H1054"/>
    </row>
    <row r="1055" spans="8:8" x14ac:dyDescent="0.25">
      <c r="H1055"/>
    </row>
    <row r="1056" spans="8:8" x14ac:dyDescent="0.25">
      <c r="H1056"/>
    </row>
    <row r="1057" spans="8:8" x14ac:dyDescent="0.25">
      <c r="H1057"/>
    </row>
    <row r="1058" spans="8:8" x14ac:dyDescent="0.25">
      <c r="H1058"/>
    </row>
    <row r="1059" spans="8:8" x14ac:dyDescent="0.25">
      <c r="H1059"/>
    </row>
    <row r="1060" spans="8:8" x14ac:dyDescent="0.25">
      <c r="H1060"/>
    </row>
    <row r="1061" spans="8:8" x14ac:dyDescent="0.25">
      <c r="H1061"/>
    </row>
    <row r="1062" spans="8:8" x14ac:dyDescent="0.25">
      <c r="H1062"/>
    </row>
    <row r="1063" spans="8:8" x14ac:dyDescent="0.25">
      <c r="H1063"/>
    </row>
    <row r="1064" spans="8:8" x14ac:dyDescent="0.25">
      <c r="H1064"/>
    </row>
    <row r="1065" spans="8:8" x14ac:dyDescent="0.25">
      <c r="H1065"/>
    </row>
    <row r="1066" spans="8:8" x14ac:dyDescent="0.25">
      <c r="H1066"/>
    </row>
    <row r="1067" spans="8:8" x14ac:dyDescent="0.25">
      <c r="H1067"/>
    </row>
    <row r="1068" spans="8:8" x14ac:dyDescent="0.25">
      <c r="H1068"/>
    </row>
    <row r="1069" spans="8:8" x14ac:dyDescent="0.25">
      <c r="H1069"/>
    </row>
    <row r="1070" spans="8:8" x14ac:dyDescent="0.25">
      <c r="H1070"/>
    </row>
    <row r="1071" spans="8:8" x14ac:dyDescent="0.25">
      <c r="H1071"/>
    </row>
    <row r="1072" spans="8:8" x14ac:dyDescent="0.25">
      <c r="H1072"/>
    </row>
    <row r="1073" spans="8:8" x14ac:dyDescent="0.25">
      <c r="H1073"/>
    </row>
    <row r="1074" spans="8:8" x14ac:dyDescent="0.25">
      <c r="H1074"/>
    </row>
    <row r="1075" spans="8:8" x14ac:dyDescent="0.25">
      <c r="H1075"/>
    </row>
    <row r="1076" spans="8:8" x14ac:dyDescent="0.25">
      <c r="H1076"/>
    </row>
    <row r="1077" spans="8:8" x14ac:dyDescent="0.25">
      <c r="H1077"/>
    </row>
    <row r="1078" spans="8:8" x14ac:dyDescent="0.25">
      <c r="H1078"/>
    </row>
    <row r="1079" spans="8:8" x14ac:dyDescent="0.25">
      <c r="H1079"/>
    </row>
    <row r="1080" spans="8:8" x14ac:dyDescent="0.25">
      <c r="H1080"/>
    </row>
    <row r="1081" spans="8:8" x14ac:dyDescent="0.25">
      <c r="H1081"/>
    </row>
    <row r="1082" spans="8:8" x14ac:dyDescent="0.25">
      <c r="H1082"/>
    </row>
    <row r="1083" spans="8:8" x14ac:dyDescent="0.25">
      <c r="H1083"/>
    </row>
    <row r="1084" spans="8:8" x14ac:dyDescent="0.25">
      <c r="H1084"/>
    </row>
    <row r="1085" spans="8:8" x14ac:dyDescent="0.25">
      <c r="H1085"/>
    </row>
    <row r="1086" spans="8:8" x14ac:dyDescent="0.25">
      <c r="H1086"/>
    </row>
    <row r="1087" spans="8:8" x14ac:dyDescent="0.25">
      <c r="H1087"/>
    </row>
    <row r="1088" spans="8:8" x14ac:dyDescent="0.25">
      <c r="H1088"/>
    </row>
    <row r="1089" spans="8:8" x14ac:dyDescent="0.25">
      <c r="H1089"/>
    </row>
    <row r="1090" spans="8:8" x14ac:dyDescent="0.25">
      <c r="H1090"/>
    </row>
    <row r="1091" spans="8:8" x14ac:dyDescent="0.25">
      <c r="H1091"/>
    </row>
    <row r="1092" spans="8:8" x14ac:dyDescent="0.25">
      <c r="H1092"/>
    </row>
    <row r="1093" spans="8:8" x14ac:dyDescent="0.25">
      <c r="H1093"/>
    </row>
    <row r="1094" spans="8:8" x14ac:dyDescent="0.25">
      <c r="H1094"/>
    </row>
    <row r="1095" spans="8:8" x14ac:dyDescent="0.25">
      <c r="H1095"/>
    </row>
    <row r="1096" spans="8:8" x14ac:dyDescent="0.25">
      <c r="H1096"/>
    </row>
    <row r="1097" spans="8:8" x14ac:dyDescent="0.25">
      <c r="H1097"/>
    </row>
    <row r="1098" spans="8:8" x14ac:dyDescent="0.25">
      <c r="H1098"/>
    </row>
    <row r="1099" spans="8:8" x14ac:dyDescent="0.25">
      <c r="H1099"/>
    </row>
    <row r="1100" spans="8:8" x14ac:dyDescent="0.25">
      <c r="H1100"/>
    </row>
    <row r="1101" spans="8:8" x14ac:dyDescent="0.25">
      <c r="H1101"/>
    </row>
    <row r="1102" spans="8:8" x14ac:dyDescent="0.25">
      <c r="H1102"/>
    </row>
    <row r="1103" spans="8:8" x14ac:dyDescent="0.25">
      <c r="H1103"/>
    </row>
    <row r="1104" spans="8:8" x14ac:dyDescent="0.25">
      <c r="H1104"/>
    </row>
    <row r="1105" spans="8:8" x14ac:dyDescent="0.25">
      <c r="H1105"/>
    </row>
    <row r="1106" spans="8:8" x14ac:dyDescent="0.25">
      <c r="H1106"/>
    </row>
    <row r="1107" spans="8:8" x14ac:dyDescent="0.25">
      <c r="H1107"/>
    </row>
    <row r="1108" spans="8:8" x14ac:dyDescent="0.25">
      <c r="H1108"/>
    </row>
    <row r="1109" spans="8:8" x14ac:dyDescent="0.25">
      <c r="H1109"/>
    </row>
    <row r="1110" spans="8:8" x14ac:dyDescent="0.25">
      <c r="H1110"/>
    </row>
    <row r="1111" spans="8:8" x14ac:dyDescent="0.25">
      <c r="H1111"/>
    </row>
    <row r="1112" spans="8:8" x14ac:dyDescent="0.25">
      <c r="H1112"/>
    </row>
    <row r="1113" spans="8:8" x14ac:dyDescent="0.25">
      <c r="H1113"/>
    </row>
    <row r="1114" spans="8:8" x14ac:dyDescent="0.25">
      <c r="H1114"/>
    </row>
    <row r="1115" spans="8:8" x14ac:dyDescent="0.25">
      <c r="H1115"/>
    </row>
    <row r="1116" spans="8:8" x14ac:dyDescent="0.25">
      <c r="H1116"/>
    </row>
    <row r="1117" spans="8:8" x14ac:dyDescent="0.25">
      <c r="H1117"/>
    </row>
    <row r="1118" spans="8:8" x14ac:dyDescent="0.25">
      <c r="H1118"/>
    </row>
    <row r="1119" spans="8:8" x14ac:dyDescent="0.25">
      <c r="H1119"/>
    </row>
    <row r="1120" spans="8:8" x14ac:dyDescent="0.25">
      <c r="H1120"/>
    </row>
    <row r="1121" spans="8:8" x14ac:dyDescent="0.25">
      <c r="H1121"/>
    </row>
    <row r="1122" spans="8:8" x14ac:dyDescent="0.25">
      <c r="H1122"/>
    </row>
    <row r="1123" spans="8:8" x14ac:dyDescent="0.25">
      <c r="H1123"/>
    </row>
    <row r="1124" spans="8:8" x14ac:dyDescent="0.25">
      <c r="H1124"/>
    </row>
    <row r="1125" spans="8:8" x14ac:dyDescent="0.25">
      <c r="H1125"/>
    </row>
    <row r="1126" spans="8:8" x14ac:dyDescent="0.25">
      <c r="H1126"/>
    </row>
    <row r="1127" spans="8:8" x14ac:dyDescent="0.25">
      <c r="H1127"/>
    </row>
    <row r="1128" spans="8:8" x14ac:dyDescent="0.25">
      <c r="H1128"/>
    </row>
    <row r="1129" spans="8:8" x14ac:dyDescent="0.25">
      <c r="H1129"/>
    </row>
    <row r="1130" spans="8:8" x14ac:dyDescent="0.25">
      <c r="H1130"/>
    </row>
    <row r="1131" spans="8:8" x14ac:dyDescent="0.25">
      <c r="H1131"/>
    </row>
    <row r="1132" spans="8:8" x14ac:dyDescent="0.25">
      <c r="H1132"/>
    </row>
    <row r="1133" spans="8:8" x14ac:dyDescent="0.25">
      <c r="H1133"/>
    </row>
    <row r="1134" spans="8:8" x14ac:dyDescent="0.25">
      <c r="H1134"/>
    </row>
    <row r="1135" spans="8:8" x14ac:dyDescent="0.25">
      <c r="H1135"/>
    </row>
    <row r="1136" spans="8:8" x14ac:dyDescent="0.25">
      <c r="H1136"/>
    </row>
    <row r="1137" spans="8:8" x14ac:dyDescent="0.25">
      <c r="H1137"/>
    </row>
    <row r="1138" spans="8:8" x14ac:dyDescent="0.25">
      <c r="H1138"/>
    </row>
    <row r="1139" spans="8:8" x14ac:dyDescent="0.25">
      <c r="H1139"/>
    </row>
    <row r="1140" spans="8:8" x14ac:dyDescent="0.25">
      <c r="H1140"/>
    </row>
    <row r="1141" spans="8:8" x14ac:dyDescent="0.25">
      <c r="H1141"/>
    </row>
    <row r="1142" spans="8:8" x14ac:dyDescent="0.25">
      <c r="H1142"/>
    </row>
    <row r="1143" spans="8:8" x14ac:dyDescent="0.25">
      <c r="H1143"/>
    </row>
    <row r="1144" spans="8:8" x14ac:dyDescent="0.25">
      <c r="H1144"/>
    </row>
    <row r="1145" spans="8:8" x14ac:dyDescent="0.25">
      <c r="H1145"/>
    </row>
    <row r="1146" spans="8:8" x14ac:dyDescent="0.25">
      <c r="H1146"/>
    </row>
    <row r="1147" spans="8:8" x14ac:dyDescent="0.25">
      <c r="H1147"/>
    </row>
    <row r="1148" spans="8:8" x14ac:dyDescent="0.25">
      <c r="H1148"/>
    </row>
    <row r="1149" spans="8:8" x14ac:dyDescent="0.25">
      <c r="H1149"/>
    </row>
    <row r="1150" spans="8:8" x14ac:dyDescent="0.25">
      <c r="H1150"/>
    </row>
    <row r="1151" spans="8:8" x14ac:dyDescent="0.25">
      <c r="H1151"/>
    </row>
    <row r="1152" spans="8:8" x14ac:dyDescent="0.25">
      <c r="H1152"/>
    </row>
    <row r="1153" spans="8:8" x14ac:dyDescent="0.25">
      <c r="H1153"/>
    </row>
    <row r="1154" spans="8:8" x14ac:dyDescent="0.25">
      <c r="H1154"/>
    </row>
    <row r="1155" spans="8:8" x14ac:dyDescent="0.25">
      <c r="H1155"/>
    </row>
    <row r="1156" spans="8:8" x14ac:dyDescent="0.25">
      <c r="H1156"/>
    </row>
    <row r="1157" spans="8:8" x14ac:dyDescent="0.25">
      <c r="H1157"/>
    </row>
    <row r="1158" spans="8:8" x14ac:dyDescent="0.25">
      <c r="H1158"/>
    </row>
    <row r="1159" spans="8:8" x14ac:dyDescent="0.25">
      <c r="H1159"/>
    </row>
    <row r="1160" spans="8:8" x14ac:dyDescent="0.25">
      <c r="H1160"/>
    </row>
    <row r="1161" spans="8:8" x14ac:dyDescent="0.25">
      <c r="H1161"/>
    </row>
    <row r="1162" spans="8:8" x14ac:dyDescent="0.25">
      <c r="H1162"/>
    </row>
    <row r="1163" spans="8:8" x14ac:dyDescent="0.25">
      <c r="H1163"/>
    </row>
    <row r="1164" spans="8:8" x14ac:dyDescent="0.25">
      <c r="H1164"/>
    </row>
    <row r="1165" spans="8:8" x14ac:dyDescent="0.25">
      <c r="H1165"/>
    </row>
    <row r="1166" spans="8:8" x14ac:dyDescent="0.25">
      <c r="H1166"/>
    </row>
    <row r="1167" spans="8:8" x14ac:dyDescent="0.25">
      <c r="H1167"/>
    </row>
    <row r="1168" spans="8:8" x14ac:dyDescent="0.25">
      <c r="H1168"/>
    </row>
    <row r="1169" spans="8:8" x14ac:dyDescent="0.25">
      <c r="H1169"/>
    </row>
    <row r="1170" spans="8:8" x14ac:dyDescent="0.25">
      <c r="H1170"/>
    </row>
    <row r="1171" spans="8:8" x14ac:dyDescent="0.25">
      <c r="H1171"/>
    </row>
    <row r="1172" spans="8:8" x14ac:dyDescent="0.25">
      <c r="H1172"/>
    </row>
    <row r="1173" spans="8:8" x14ac:dyDescent="0.25">
      <c r="H1173"/>
    </row>
    <row r="1174" spans="8:8" x14ac:dyDescent="0.25">
      <c r="H1174"/>
    </row>
    <row r="1175" spans="8:8" x14ac:dyDescent="0.25">
      <c r="H1175"/>
    </row>
    <row r="1176" spans="8:8" x14ac:dyDescent="0.25">
      <c r="H1176"/>
    </row>
    <row r="1177" spans="8:8" x14ac:dyDescent="0.25">
      <c r="H1177"/>
    </row>
    <row r="1178" spans="8:8" x14ac:dyDescent="0.25">
      <c r="H1178"/>
    </row>
    <row r="1179" spans="8:8" x14ac:dyDescent="0.25">
      <c r="H1179"/>
    </row>
    <row r="1180" spans="8:8" x14ac:dyDescent="0.25">
      <c r="H1180"/>
    </row>
    <row r="1181" spans="8:8" x14ac:dyDescent="0.25">
      <c r="H1181"/>
    </row>
    <row r="1182" spans="8:8" x14ac:dyDescent="0.25">
      <c r="H1182"/>
    </row>
    <row r="1183" spans="8:8" x14ac:dyDescent="0.25">
      <c r="H1183"/>
    </row>
    <row r="1184" spans="8:8" x14ac:dyDescent="0.25">
      <c r="H1184"/>
    </row>
    <row r="1185" spans="8:8" x14ac:dyDescent="0.25">
      <c r="H1185"/>
    </row>
    <row r="1186" spans="8:8" x14ac:dyDescent="0.25">
      <c r="H1186"/>
    </row>
    <row r="1187" spans="8:8" x14ac:dyDescent="0.25">
      <c r="H1187"/>
    </row>
    <row r="1188" spans="8:8" x14ac:dyDescent="0.25">
      <c r="H1188"/>
    </row>
    <row r="1189" spans="8:8" x14ac:dyDescent="0.25">
      <c r="H1189"/>
    </row>
    <row r="1190" spans="8:8" x14ac:dyDescent="0.25">
      <c r="H1190"/>
    </row>
    <row r="1191" spans="8:8" x14ac:dyDescent="0.25">
      <c r="H1191"/>
    </row>
    <row r="1192" spans="8:8" x14ac:dyDescent="0.25">
      <c r="H1192"/>
    </row>
    <row r="1193" spans="8:8" x14ac:dyDescent="0.25">
      <c r="H1193"/>
    </row>
    <row r="1194" spans="8:8" x14ac:dyDescent="0.25">
      <c r="H1194"/>
    </row>
    <row r="1195" spans="8:8" x14ac:dyDescent="0.25">
      <c r="H1195"/>
    </row>
    <row r="1196" spans="8:8" x14ac:dyDescent="0.25">
      <c r="H1196"/>
    </row>
    <row r="1197" spans="8:8" x14ac:dyDescent="0.25">
      <c r="H1197"/>
    </row>
    <row r="1198" spans="8:8" x14ac:dyDescent="0.25">
      <c r="H1198"/>
    </row>
    <row r="1199" spans="8:8" x14ac:dyDescent="0.25">
      <c r="H1199"/>
    </row>
    <row r="1200" spans="8:8" x14ac:dyDescent="0.25">
      <c r="H1200"/>
    </row>
    <row r="1201" spans="8:8" x14ac:dyDescent="0.25">
      <c r="H1201"/>
    </row>
    <row r="1202" spans="8:8" x14ac:dyDescent="0.25">
      <c r="H1202"/>
    </row>
    <row r="1203" spans="8:8" x14ac:dyDescent="0.25">
      <c r="H1203"/>
    </row>
    <row r="1204" spans="8:8" x14ac:dyDescent="0.25">
      <c r="H1204"/>
    </row>
    <row r="1205" spans="8:8" x14ac:dyDescent="0.25">
      <c r="H1205"/>
    </row>
    <row r="1206" spans="8:8" x14ac:dyDescent="0.25">
      <c r="H1206"/>
    </row>
    <row r="1207" spans="8:8" x14ac:dyDescent="0.25">
      <c r="H1207"/>
    </row>
    <row r="1208" spans="8:8" x14ac:dyDescent="0.25">
      <c r="H1208"/>
    </row>
    <row r="1209" spans="8:8" x14ac:dyDescent="0.25">
      <c r="H1209"/>
    </row>
  </sheetData>
  <hyperlinks>
    <hyperlink ref="F4" location="WORKLIGHTS" display="Change distributor discount for net prices" xr:uid="{BB44E66A-6D8E-49BC-A606-A8DC69E271A5}"/>
    <hyperlink ref="F4:H4" location="'Price overview (EUR)'!A1" display="Change distributor discount for net prices" xr:uid="{EAEA50C8-2C23-488A-8285-3B4E4B54744A}"/>
  </hyperlinks>
  <pageMargins left="0.7" right="0.7" top="0.75" bottom="0.75" header="0.3" footer="0.3"/>
  <pageSetup paperSize="9" scale="65" orientation="portrait" horizontalDpi="1200" verticalDpi="120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4CDA-F38D-4D06-A094-D21DF742C335}">
  <sheetPr>
    <pageSetUpPr fitToPage="1"/>
  </sheetPr>
  <dimension ref="A1:I1209"/>
  <sheetViews>
    <sheetView showGridLines="0" zoomScaleNormal="100" workbookViewId="0">
      <selection activeCell="D13" sqref="D13"/>
    </sheetView>
  </sheetViews>
  <sheetFormatPr defaultRowHeight="15" x14ac:dyDescent="0.25"/>
  <cols>
    <col min="1" max="1" width="16.7109375" customWidth="1"/>
    <col min="2" max="2" width="37.140625" bestFit="1" customWidth="1"/>
    <col min="3" max="3" width="15.28515625" customWidth="1"/>
    <col min="4" max="4" width="35" bestFit="1" customWidth="1"/>
    <col min="5" max="5" width="21.140625" customWidth="1"/>
    <col min="6" max="6" width="14.42578125" customWidth="1"/>
    <col min="7" max="7" width="14.7109375" customWidth="1"/>
    <col min="8" max="8" width="15.7109375" style="2" customWidth="1"/>
    <col min="9" max="9" width="16.42578125" style="2" customWidth="1"/>
  </cols>
  <sheetData>
    <row r="1" spans="1:8" x14ac:dyDescent="0.25">
      <c r="A1" s="14"/>
      <c r="B1" s="14"/>
      <c r="C1" s="14"/>
      <c r="D1" s="14"/>
      <c r="E1" s="14"/>
      <c r="F1" s="27" t="s">
        <v>495</v>
      </c>
      <c r="G1" s="14"/>
      <c r="H1" s="87"/>
    </row>
    <row r="2" spans="1:8" x14ac:dyDescent="0.25">
      <c r="A2" s="14"/>
      <c r="B2" s="14"/>
      <c r="C2" s="14"/>
      <c r="D2" s="14"/>
      <c r="E2" s="14"/>
      <c r="F2" s="27"/>
      <c r="G2" s="14"/>
      <c r="H2" s="87"/>
    </row>
    <row r="3" spans="1:8" x14ac:dyDescent="0.25">
      <c r="A3" s="14"/>
      <c r="B3" s="14"/>
      <c r="C3" s="14"/>
      <c r="D3" s="14"/>
      <c r="E3" s="14"/>
      <c r="F3" s="14"/>
      <c r="G3" s="14"/>
      <c r="H3" s="87"/>
    </row>
    <row r="4" spans="1:8" x14ac:dyDescent="0.25">
      <c r="A4" s="14"/>
      <c r="B4" s="14"/>
      <c r="C4" s="14"/>
      <c r="D4" s="14"/>
      <c r="E4" s="14"/>
      <c r="F4" s="28" t="s">
        <v>494</v>
      </c>
      <c r="G4" s="28"/>
      <c r="H4" s="88"/>
    </row>
    <row r="5" spans="1:8" x14ac:dyDescent="0.25">
      <c r="A5" s="14"/>
      <c r="B5" s="14"/>
      <c r="C5" s="14"/>
      <c r="D5" s="14"/>
      <c r="E5" s="14"/>
      <c r="F5" s="14"/>
      <c r="G5" s="14"/>
      <c r="H5" s="87"/>
    </row>
    <row r="6" spans="1:8" x14ac:dyDescent="0.25">
      <c r="A6" s="14"/>
      <c r="B6" s="14"/>
      <c r="C6" s="14"/>
      <c r="D6" s="14"/>
      <c r="E6" s="14"/>
      <c r="F6" s="14"/>
      <c r="G6" s="14"/>
      <c r="H6" s="87"/>
    </row>
    <row r="7" spans="1:8" x14ac:dyDescent="0.25">
      <c r="A7" s="14"/>
      <c r="B7" s="14"/>
      <c r="C7" s="14"/>
      <c r="D7" s="14"/>
      <c r="E7" s="14"/>
      <c r="F7" s="14"/>
      <c r="G7" s="14"/>
      <c r="H7" s="87"/>
    </row>
    <row r="8" spans="1:8" x14ac:dyDescent="0.25">
      <c r="A8" s="14"/>
      <c r="B8" s="14"/>
      <c r="C8" s="14"/>
      <c r="D8" s="14"/>
      <c r="E8" s="14"/>
      <c r="F8" s="14"/>
      <c r="G8" s="14"/>
      <c r="H8" s="87"/>
    </row>
    <row r="9" spans="1:8" x14ac:dyDescent="0.25">
      <c r="A9" s="14"/>
      <c r="B9" s="14"/>
      <c r="C9" s="14"/>
      <c r="D9" s="14"/>
      <c r="E9" s="14"/>
      <c r="F9" s="14"/>
      <c r="G9" s="14"/>
      <c r="H9" s="87"/>
    </row>
    <row r="10" spans="1:8" x14ac:dyDescent="0.25">
      <c r="A10" s="14"/>
      <c r="B10" s="14"/>
      <c r="C10" s="14"/>
      <c r="D10" s="14"/>
      <c r="E10" s="14"/>
      <c r="F10" s="14"/>
      <c r="G10" s="14"/>
      <c r="H10" s="87"/>
    </row>
    <row r="11" spans="1:8" x14ac:dyDescent="0.25">
      <c r="A11" s="14"/>
      <c r="B11" s="14"/>
      <c r="C11" s="14"/>
      <c r="D11" s="14"/>
      <c r="E11" s="14"/>
      <c r="F11" s="14"/>
      <c r="G11" s="14"/>
      <c r="H11" s="87"/>
    </row>
    <row r="12" spans="1:8" x14ac:dyDescent="0.25">
      <c r="A12" s="14"/>
      <c r="B12" s="14"/>
      <c r="C12" s="14"/>
      <c r="D12" s="14"/>
      <c r="E12" s="14"/>
      <c r="F12" s="14"/>
      <c r="G12" s="14"/>
      <c r="H12" s="87"/>
    </row>
    <row r="13" spans="1:8" ht="28.5" x14ac:dyDescent="0.45">
      <c r="A13" s="13" t="s">
        <v>491</v>
      </c>
      <c r="B13" s="14"/>
      <c r="C13" s="14"/>
      <c r="D13" s="34"/>
      <c r="E13" s="35"/>
      <c r="F13" s="35"/>
      <c r="G13" s="35"/>
      <c r="H13" s="89"/>
    </row>
    <row r="14" spans="1:8" x14ac:dyDescent="0.25">
      <c r="A14" s="14" t="s">
        <v>497</v>
      </c>
      <c r="B14" s="14"/>
      <c r="C14" s="14"/>
      <c r="D14" s="14"/>
      <c r="E14" s="14"/>
      <c r="F14" s="14"/>
      <c r="G14" s="14"/>
      <c r="H14" s="87"/>
    </row>
    <row r="15" spans="1:8" x14ac:dyDescent="0.25">
      <c r="A15" s="15" t="s">
        <v>1852</v>
      </c>
      <c r="C15" s="14"/>
      <c r="D15" s="14"/>
      <c r="E15" s="14"/>
      <c r="F15" s="14"/>
      <c r="G15" s="14"/>
      <c r="H15" s="87"/>
    </row>
    <row r="16" spans="1:8" x14ac:dyDescent="0.25">
      <c r="A16" s="14"/>
      <c r="B16" s="14"/>
      <c r="C16" s="14"/>
      <c r="D16" s="14"/>
      <c r="E16" s="14"/>
      <c r="F16" s="14"/>
      <c r="G16" s="14"/>
      <c r="H16" s="87"/>
    </row>
    <row r="17" spans="1:9" x14ac:dyDescent="0.25">
      <c r="A17" s="8" t="s">
        <v>490</v>
      </c>
      <c r="B17" s="8" t="s">
        <v>374</v>
      </c>
      <c r="C17" s="8" t="s">
        <v>375</v>
      </c>
      <c r="D17" s="8" t="s">
        <v>311</v>
      </c>
      <c r="E17" s="39" t="s">
        <v>1168</v>
      </c>
      <c r="F17" s="26" t="s">
        <v>898</v>
      </c>
      <c r="G17" s="9" t="s">
        <v>498</v>
      </c>
      <c r="H17" s="81" t="s">
        <v>1735</v>
      </c>
      <c r="I17" s="81" t="s">
        <v>1738</v>
      </c>
    </row>
    <row r="18" spans="1:9" x14ac:dyDescent="0.25">
      <c r="A18" s="115" t="s">
        <v>305</v>
      </c>
      <c r="B18" s="116"/>
      <c r="C18" s="116"/>
      <c r="D18" s="116"/>
      <c r="E18" s="116"/>
      <c r="F18" s="116"/>
      <c r="G18" s="116"/>
      <c r="H18" s="116"/>
      <c r="I18" s="116"/>
    </row>
    <row r="19" spans="1:9" x14ac:dyDescent="0.25">
      <c r="A19" s="10" t="s">
        <v>199</v>
      </c>
      <c r="B19" s="7"/>
      <c r="C19" s="7"/>
      <c r="D19" s="7"/>
      <c r="E19" s="7"/>
      <c r="F19" s="7"/>
      <c r="G19" s="7"/>
      <c r="H19" s="7"/>
      <c r="I19" s="7"/>
    </row>
    <row r="20" spans="1:9" x14ac:dyDescent="0.25">
      <c r="A20" s="113" t="s">
        <v>41</v>
      </c>
      <c r="B20" s="1" t="s">
        <v>164</v>
      </c>
      <c r="H20"/>
      <c r="I20"/>
    </row>
    <row r="21" spans="1:9" x14ac:dyDescent="0.25">
      <c r="A21" s="114"/>
      <c r="B21" s="5" t="s">
        <v>41</v>
      </c>
      <c r="C21" s="3" t="s">
        <v>313</v>
      </c>
      <c r="D21" s="3" t="s">
        <v>546</v>
      </c>
      <c r="E21" s="36">
        <v>24</v>
      </c>
      <c r="F21" s="36" t="s">
        <v>916</v>
      </c>
      <c r="G21" s="29">
        <v>0</v>
      </c>
      <c r="H21" s="11">
        <v>46.9</v>
      </c>
      <c r="I21" s="11">
        <v>46.9</v>
      </c>
    </row>
    <row r="22" spans="1:9" x14ac:dyDescent="0.25">
      <c r="A22" s="113" t="s">
        <v>159</v>
      </c>
      <c r="B22" s="85" t="s">
        <v>215</v>
      </c>
      <c r="C22" s="82"/>
      <c r="D22" s="82"/>
      <c r="E22" s="82"/>
      <c r="F22" s="82"/>
      <c r="G22" s="82"/>
      <c r="H22" s="82"/>
      <c r="I22" s="82"/>
    </row>
    <row r="23" spans="1:9" x14ac:dyDescent="0.25">
      <c r="A23" s="114"/>
      <c r="B23" s="5" t="s">
        <v>159</v>
      </c>
      <c r="C23" s="3" t="s">
        <v>365</v>
      </c>
      <c r="D23" s="3" t="s">
        <v>546</v>
      </c>
      <c r="E23" s="36">
        <v>48</v>
      </c>
      <c r="F23" s="36" t="s">
        <v>916</v>
      </c>
      <c r="G23" s="29">
        <v>0</v>
      </c>
      <c r="H23" s="11">
        <v>52.9</v>
      </c>
      <c r="I23" s="11">
        <v>52.9</v>
      </c>
    </row>
    <row r="24" spans="1:9" x14ac:dyDescent="0.25">
      <c r="A24" s="113" t="s">
        <v>37</v>
      </c>
      <c r="B24" s="85" t="s">
        <v>199</v>
      </c>
      <c r="C24" s="82"/>
      <c r="D24" s="82"/>
      <c r="E24" s="82"/>
      <c r="F24" s="82"/>
      <c r="G24" s="82"/>
      <c r="H24" s="82"/>
      <c r="I24" s="82"/>
    </row>
    <row r="25" spans="1:9" x14ac:dyDescent="0.25">
      <c r="A25" s="114"/>
      <c r="B25" s="5" t="s">
        <v>37</v>
      </c>
      <c r="C25" s="3" t="s">
        <v>359</v>
      </c>
      <c r="D25" s="3" t="s">
        <v>546</v>
      </c>
      <c r="E25" s="36">
        <v>24</v>
      </c>
      <c r="F25" s="36" t="s">
        <v>916</v>
      </c>
      <c r="G25" s="29">
        <v>0</v>
      </c>
      <c r="H25" s="11">
        <v>61.9</v>
      </c>
      <c r="I25" s="11">
        <v>61.9</v>
      </c>
    </row>
    <row r="26" spans="1:9" x14ac:dyDescent="0.25">
      <c r="A26" s="113" t="s">
        <v>156</v>
      </c>
      <c r="B26" s="85" t="s">
        <v>236</v>
      </c>
      <c r="C26" s="82"/>
      <c r="D26" s="82"/>
      <c r="E26" s="82"/>
      <c r="F26" s="82"/>
      <c r="G26" s="82"/>
      <c r="H26" s="82"/>
      <c r="I26" s="82"/>
    </row>
    <row r="27" spans="1:9" x14ac:dyDescent="0.25">
      <c r="A27" s="114"/>
      <c r="B27" s="5" t="s">
        <v>156</v>
      </c>
      <c r="C27" s="3" t="s">
        <v>364</v>
      </c>
      <c r="D27" s="3" t="s">
        <v>546</v>
      </c>
      <c r="E27" s="36">
        <v>24</v>
      </c>
      <c r="F27" s="36" t="s">
        <v>916</v>
      </c>
      <c r="G27" s="29">
        <v>0</v>
      </c>
      <c r="H27" s="11">
        <v>78.900000000000006</v>
      </c>
      <c r="I27" s="11">
        <v>78.900000000000006</v>
      </c>
    </row>
    <row r="28" spans="1:9" x14ac:dyDescent="0.25">
      <c r="A28" s="113" t="s">
        <v>1185</v>
      </c>
      <c r="B28" s="85" t="s">
        <v>1186</v>
      </c>
      <c r="C28" s="82"/>
      <c r="D28" s="82"/>
      <c r="E28" s="82"/>
      <c r="F28" s="82"/>
      <c r="G28" s="82"/>
      <c r="H28" s="82"/>
      <c r="I28" s="82"/>
    </row>
    <row r="29" spans="1:9" x14ac:dyDescent="0.25">
      <c r="A29" s="114"/>
      <c r="B29" s="5" t="s">
        <v>1185</v>
      </c>
      <c r="C29" s="3" t="s">
        <v>1187</v>
      </c>
      <c r="D29" s="3" t="s">
        <v>546</v>
      </c>
      <c r="E29" s="36">
        <v>24</v>
      </c>
      <c r="F29" s="36" t="s">
        <v>916</v>
      </c>
      <c r="G29" s="29">
        <v>0</v>
      </c>
      <c r="H29" s="11">
        <v>89.9</v>
      </c>
      <c r="I29" s="11">
        <v>89.9</v>
      </c>
    </row>
    <row r="30" spans="1:9" x14ac:dyDescent="0.25">
      <c r="A30" s="113" t="s">
        <v>1188</v>
      </c>
      <c r="B30" s="85" t="s">
        <v>1189</v>
      </c>
      <c r="C30" s="82"/>
      <c r="D30" s="82"/>
      <c r="E30" s="82"/>
      <c r="F30" s="82"/>
      <c r="G30" s="82"/>
      <c r="H30" s="82"/>
      <c r="I30" s="82"/>
    </row>
    <row r="31" spans="1:9" x14ac:dyDescent="0.25">
      <c r="A31" s="114"/>
      <c r="B31" s="5" t="s">
        <v>1188</v>
      </c>
      <c r="C31" s="3" t="s">
        <v>1190</v>
      </c>
      <c r="D31" s="3" t="s">
        <v>1388</v>
      </c>
      <c r="E31" s="36" t="s">
        <v>546</v>
      </c>
      <c r="F31" s="36" t="s">
        <v>916</v>
      </c>
      <c r="G31" s="29">
        <v>0</v>
      </c>
      <c r="H31" s="11">
        <v>36.9</v>
      </c>
      <c r="I31" s="11">
        <v>36.9</v>
      </c>
    </row>
    <row r="32" spans="1:9" x14ac:dyDescent="0.25">
      <c r="A32" s="113" t="s">
        <v>1206</v>
      </c>
      <c r="B32" s="85" t="s">
        <v>1208</v>
      </c>
      <c r="C32" s="82"/>
      <c r="D32" s="82"/>
      <c r="E32" s="82"/>
      <c r="F32" s="82"/>
      <c r="G32" s="82"/>
      <c r="H32" s="82"/>
      <c r="I32" s="82"/>
    </row>
    <row r="33" spans="1:9" x14ac:dyDescent="0.25">
      <c r="A33" s="114"/>
      <c r="B33" s="5" t="s">
        <v>1206</v>
      </c>
      <c r="C33" s="3" t="s">
        <v>1207</v>
      </c>
      <c r="D33" s="3" t="s">
        <v>546</v>
      </c>
      <c r="E33" s="36">
        <v>1</v>
      </c>
      <c r="F33" s="36" t="s">
        <v>916</v>
      </c>
      <c r="G33" s="29">
        <v>0</v>
      </c>
      <c r="H33" s="11">
        <v>114.9</v>
      </c>
      <c r="I33" s="11">
        <v>114.9</v>
      </c>
    </row>
    <row r="34" spans="1:9" x14ac:dyDescent="0.25">
      <c r="A34" s="84" t="s">
        <v>481</v>
      </c>
      <c r="B34" s="83"/>
      <c r="C34" s="83"/>
      <c r="D34" s="83"/>
      <c r="E34" s="83"/>
      <c r="F34" s="83"/>
      <c r="G34" s="83"/>
      <c r="H34" s="83"/>
      <c r="I34" s="83"/>
    </row>
    <row r="35" spans="1:9" x14ac:dyDescent="0.25">
      <c r="A35" s="113" t="s">
        <v>29</v>
      </c>
      <c r="B35" s="85" t="s">
        <v>201</v>
      </c>
      <c r="C35" s="82"/>
      <c r="D35" s="82"/>
      <c r="E35" s="82"/>
      <c r="F35" s="82"/>
      <c r="G35" s="82"/>
      <c r="H35" s="82"/>
      <c r="I35" s="82"/>
    </row>
    <row r="36" spans="1:9" x14ac:dyDescent="0.25">
      <c r="A36" s="114"/>
      <c r="B36" s="5" t="s">
        <v>29</v>
      </c>
      <c r="C36" s="3" t="s">
        <v>360</v>
      </c>
      <c r="D36" s="3" t="s">
        <v>572</v>
      </c>
      <c r="E36" s="36">
        <v>12</v>
      </c>
      <c r="F36" s="36" t="s">
        <v>916</v>
      </c>
      <c r="G36" s="29">
        <v>0</v>
      </c>
      <c r="H36" s="11">
        <v>74.900000000000006</v>
      </c>
      <c r="I36" s="11">
        <v>74.900000000000006</v>
      </c>
    </row>
    <row r="37" spans="1:9" x14ac:dyDescent="0.25">
      <c r="A37" s="114"/>
      <c r="B37" s="6" t="s">
        <v>149</v>
      </c>
      <c r="C37" s="4" t="s">
        <v>361</v>
      </c>
      <c r="D37" s="4" t="s">
        <v>570</v>
      </c>
      <c r="E37" s="41">
        <v>20</v>
      </c>
      <c r="F37" s="41" t="s">
        <v>916</v>
      </c>
      <c r="G37" s="30">
        <v>0</v>
      </c>
      <c r="H37" s="12">
        <v>76.900000000000006</v>
      </c>
      <c r="I37" s="12">
        <v>76.900000000000006</v>
      </c>
    </row>
    <row r="38" spans="1:9" x14ac:dyDescent="0.25">
      <c r="A38" s="114"/>
      <c r="B38" s="6" t="s">
        <v>728</v>
      </c>
      <c r="C38" s="4" t="s">
        <v>729</v>
      </c>
      <c r="D38" s="4" t="s">
        <v>575</v>
      </c>
      <c r="E38" s="41">
        <v>12</v>
      </c>
      <c r="F38" s="41" t="s">
        <v>916</v>
      </c>
      <c r="G38" s="30">
        <v>0</v>
      </c>
      <c r="H38" s="12">
        <v>74.900000000000006</v>
      </c>
      <c r="I38" s="12">
        <v>74.900000000000006</v>
      </c>
    </row>
    <row r="39" spans="1:9" x14ac:dyDescent="0.25">
      <c r="A39" s="113" t="s">
        <v>32</v>
      </c>
      <c r="B39" s="85" t="s">
        <v>203</v>
      </c>
      <c r="C39" s="82"/>
      <c r="D39" s="82"/>
      <c r="E39" s="82"/>
      <c r="F39" s="82"/>
      <c r="G39" s="82"/>
      <c r="H39" s="82"/>
      <c r="I39" s="82"/>
    </row>
    <row r="40" spans="1:9" x14ac:dyDescent="0.25">
      <c r="A40" s="114"/>
      <c r="B40" s="5" t="s">
        <v>32</v>
      </c>
      <c r="C40" s="3" t="s">
        <v>362</v>
      </c>
      <c r="D40" s="3" t="s">
        <v>546</v>
      </c>
      <c r="E40" s="36">
        <v>24</v>
      </c>
      <c r="F40" s="36" t="s">
        <v>916</v>
      </c>
      <c r="G40" s="29">
        <v>0</v>
      </c>
      <c r="H40" s="11">
        <v>92.9</v>
      </c>
      <c r="I40" s="11">
        <v>92.9</v>
      </c>
    </row>
    <row r="41" spans="1:9" x14ac:dyDescent="0.25">
      <c r="A41" s="113" t="s">
        <v>1301</v>
      </c>
      <c r="B41" s="85" t="s">
        <v>200</v>
      </c>
      <c r="C41" s="82"/>
      <c r="D41" s="82"/>
      <c r="E41" s="82"/>
      <c r="F41" s="82"/>
      <c r="G41" s="82"/>
      <c r="H41" s="82"/>
      <c r="I41" s="82"/>
    </row>
    <row r="42" spans="1:9" x14ac:dyDescent="0.25">
      <c r="A42" s="114"/>
      <c r="B42" s="5" t="s">
        <v>1301</v>
      </c>
      <c r="C42" s="3" t="s">
        <v>1322</v>
      </c>
      <c r="D42" s="3" t="s">
        <v>546</v>
      </c>
      <c r="E42" s="36">
        <v>48</v>
      </c>
      <c r="F42" s="36" t="s">
        <v>916</v>
      </c>
      <c r="G42" s="29">
        <v>0</v>
      </c>
      <c r="H42" s="11">
        <v>68.900000000000006</v>
      </c>
      <c r="I42" s="11">
        <v>68.900000000000006</v>
      </c>
    </row>
    <row r="43" spans="1:9" x14ac:dyDescent="0.25">
      <c r="A43" s="113" t="s">
        <v>1299</v>
      </c>
      <c r="B43" s="85" t="s">
        <v>202</v>
      </c>
      <c r="C43" s="82"/>
      <c r="D43" s="82"/>
      <c r="E43" s="82"/>
      <c r="F43" s="82"/>
      <c r="G43" s="82"/>
      <c r="H43" s="82"/>
      <c r="I43" s="82"/>
    </row>
    <row r="44" spans="1:9" x14ac:dyDescent="0.25">
      <c r="A44" s="114"/>
      <c r="B44" s="5" t="s">
        <v>1299</v>
      </c>
      <c r="C44" s="3" t="s">
        <v>1323</v>
      </c>
      <c r="D44" s="3" t="s">
        <v>546</v>
      </c>
      <c r="E44" s="36">
        <v>24</v>
      </c>
      <c r="F44" s="36" t="s">
        <v>916</v>
      </c>
      <c r="G44" s="29">
        <v>0</v>
      </c>
      <c r="H44" s="11">
        <v>108.9</v>
      </c>
      <c r="I44" s="11">
        <v>108.9</v>
      </c>
    </row>
    <row r="45" spans="1:9" x14ac:dyDescent="0.25">
      <c r="A45" s="113" t="s">
        <v>1300</v>
      </c>
      <c r="B45" s="85" t="s">
        <v>204</v>
      </c>
      <c r="C45" s="82"/>
      <c r="D45" s="82"/>
      <c r="E45" s="82"/>
      <c r="F45" s="82"/>
      <c r="G45" s="82"/>
      <c r="H45" s="82"/>
      <c r="I45" s="82"/>
    </row>
    <row r="46" spans="1:9" x14ac:dyDescent="0.25">
      <c r="A46" s="114"/>
      <c r="B46" s="5" t="s">
        <v>1300</v>
      </c>
      <c r="C46" s="3" t="s">
        <v>1324</v>
      </c>
      <c r="D46" s="3" t="s">
        <v>546</v>
      </c>
      <c r="E46" s="36">
        <v>48</v>
      </c>
      <c r="F46" s="36" t="s">
        <v>916</v>
      </c>
      <c r="G46" s="29">
        <v>0</v>
      </c>
      <c r="H46" s="11">
        <v>56.9</v>
      </c>
      <c r="I46" s="11">
        <v>56.9</v>
      </c>
    </row>
    <row r="47" spans="1:9" x14ac:dyDescent="0.25">
      <c r="A47" s="10" t="s">
        <v>485</v>
      </c>
      <c r="B47" s="7"/>
      <c r="C47" s="7"/>
      <c r="D47" s="7"/>
      <c r="E47" s="7"/>
      <c r="F47" s="7"/>
      <c r="G47" s="7"/>
      <c r="H47" s="7"/>
      <c r="I47" s="7"/>
    </row>
    <row r="48" spans="1:9" x14ac:dyDescent="0.25">
      <c r="A48" s="113" t="s">
        <v>531</v>
      </c>
      <c r="B48" s="1" t="s">
        <v>536</v>
      </c>
      <c r="H48"/>
      <c r="I48"/>
    </row>
    <row r="49" spans="1:9" x14ac:dyDescent="0.25">
      <c r="A49" s="114"/>
      <c r="B49" s="5" t="s">
        <v>531</v>
      </c>
      <c r="C49" s="3" t="s">
        <v>541</v>
      </c>
      <c r="D49" s="3" t="s">
        <v>546</v>
      </c>
      <c r="E49" s="36">
        <v>24</v>
      </c>
      <c r="F49" s="36" t="s">
        <v>918</v>
      </c>
      <c r="G49" s="29">
        <v>0</v>
      </c>
      <c r="H49" s="11">
        <v>26.9</v>
      </c>
      <c r="I49" s="11">
        <v>26.9</v>
      </c>
    </row>
    <row r="50" spans="1:9" x14ac:dyDescent="0.25">
      <c r="A50" s="113" t="s">
        <v>532</v>
      </c>
      <c r="B50" s="1" t="s">
        <v>537</v>
      </c>
      <c r="H50"/>
      <c r="I50"/>
    </row>
    <row r="51" spans="1:9" x14ac:dyDescent="0.25">
      <c r="A51" s="114"/>
      <c r="B51" s="5" t="s">
        <v>532</v>
      </c>
      <c r="C51" s="3" t="s">
        <v>542</v>
      </c>
      <c r="D51" s="3" t="s">
        <v>546</v>
      </c>
      <c r="E51" s="36">
        <v>24</v>
      </c>
      <c r="F51" s="36" t="s">
        <v>918</v>
      </c>
      <c r="G51" s="29">
        <v>0</v>
      </c>
      <c r="H51" s="11">
        <v>37.9</v>
      </c>
      <c r="I51" s="11">
        <v>37.9</v>
      </c>
    </row>
    <row r="52" spans="1:9" x14ac:dyDescent="0.25">
      <c r="A52" s="10" t="s">
        <v>486</v>
      </c>
      <c r="B52" s="7"/>
      <c r="C52" s="7"/>
      <c r="D52" s="7"/>
      <c r="E52" s="7"/>
      <c r="F52" s="7"/>
      <c r="G52" s="7"/>
      <c r="H52" s="7"/>
      <c r="I52" s="7"/>
    </row>
    <row r="53" spans="1:9" x14ac:dyDescent="0.25">
      <c r="A53" s="113" t="s">
        <v>39</v>
      </c>
      <c r="B53" s="1" t="s">
        <v>897</v>
      </c>
      <c r="H53"/>
      <c r="I53"/>
    </row>
    <row r="54" spans="1:9" x14ac:dyDescent="0.25">
      <c r="A54" s="114"/>
      <c r="B54" s="5" t="s">
        <v>39</v>
      </c>
      <c r="C54" s="3" t="s">
        <v>367</v>
      </c>
      <c r="D54" s="3" t="s">
        <v>572</v>
      </c>
      <c r="E54" s="36">
        <v>4</v>
      </c>
      <c r="F54" s="36" t="s">
        <v>918</v>
      </c>
      <c r="G54" s="29">
        <v>0</v>
      </c>
      <c r="H54" s="11">
        <v>149.9</v>
      </c>
      <c r="I54" s="11">
        <v>149.9</v>
      </c>
    </row>
    <row r="55" spans="1:9" x14ac:dyDescent="0.25">
      <c r="A55" s="114"/>
      <c r="B55" s="6" t="s">
        <v>150</v>
      </c>
      <c r="C55" s="4" t="s">
        <v>366</v>
      </c>
      <c r="D55" s="4" t="s">
        <v>570</v>
      </c>
      <c r="E55" s="41" t="s">
        <v>546</v>
      </c>
      <c r="F55" s="41" t="s">
        <v>918</v>
      </c>
      <c r="G55" s="30">
        <v>0</v>
      </c>
      <c r="H55" s="12">
        <v>144.9</v>
      </c>
      <c r="I55" s="12">
        <v>144.9</v>
      </c>
    </row>
    <row r="56" spans="1:9" x14ac:dyDescent="0.25">
      <c r="A56" s="114"/>
      <c r="B56" s="6" t="s">
        <v>730</v>
      </c>
      <c r="C56" s="4" t="s">
        <v>731</v>
      </c>
      <c r="D56" s="4" t="s">
        <v>575</v>
      </c>
      <c r="E56" s="41">
        <v>4</v>
      </c>
      <c r="F56" s="41" t="s">
        <v>918</v>
      </c>
      <c r="G56" s="30">
        <v>0</v>
      </c>
      <c r="H56" s="12">
        <v>149.9</v>
      </c>
      <c r="I56" s="12">
        <v>149.9</v>
      </c>
    </row>
    <row r="57" spans="1:9" x14ac:dyDescent="0.25">
      <c r="A57" s="113" t="s">
        <v>40</v>
      </c>
      <c r="B57" s="1" t="s">
        <v>486</v>
      </c>
      <c r="H57"/>
      <c r="I57"/>
    </row>
    <row r="58" spans="1:9" x14ac:dyDescent="0.25">
      <c r="A58" s="114"/>
      <c r="B58" s="5" t="s">
        <v>40</v>
      </c>
      <c r="C58" s="3" t="s">
        <v>368</v>
      </c>
      <c r="D58" s="3" t="s">
        <v>572</v>
      </c>
      <c r="E58" s="36">
        <v>4</v>
      </c>
      <c r="F58" s="36" t="s">
        <v>918</v>
      </c>
      <c r="G58" s="29">
        <v>0</v>
      </c>
      <c r="H58" s="11">
        <v>171.9</v>
      </c>
      <c r="I58" s="11">
        <v>171.9</v>
      </c>
    </row>
    <row r="59" spans="1:9" x14ac:dyDescent="0.25">
      <c r="A59" s="113" t="s">
        <v>888</v>
      </c>
      <c r="B59" s="1" t="s">
        <v>889</v>
      </c>
      <c r="H59"/>
      <c r="I59"/>
    </row>
    <row r="60" spans="1:9" x14ac:dyDescent="0.25">
      <c r="A60" s="114"/>
      <c r="B60" s="5" t="s">
        <v>888</v>
      </c>
      <c r="C60" s="3" t="s">
        <v>942</v>
      </c>
      <c r="D60" s="3" t="s">
        <v>572</v>
      </c>
      <c r="E60" s="36">
        <v>4</v>
      </c>
      <c r="F60" s="36" t="s">
        <v>918</v>
      </c>
      <c r="G60" s="29">
        <v>0</v>
      </c>
      <c r="H60" s="11">
        <v>149.9</v>
      </c>
      <c r="I60" s="11">
        <v>149.9</v>
      </c>
    </row>
    <row r="61" spans="1:9" x14ac:dyDescent="0.25">
      <c r="A61" s="114"/>
      <c r="B61" s="6" t="s">
        <v>1776</v>
      </c>
      <c r="C61" s="4" t="s">
        <v>1777</v>
      </c>
      <c r="D61" s="4" t="s">
        <v>903</v>
      </c>
      <c r="E61" s="41" t="s">
        <v>546</v>
      </c>
      <c r="F61" s="41" t="s">
        <v>918</v>
      </c>
      <c r="G61" s="30">
        <v>0</v>
      </c>
      <c r="H61" s="12">
        <v>149.9</v>
      </c>
      <c r="I61" s="12">
        <v>149.9</v>
      </c>
    </row>
    <row r="62" spans="1:9" x14ac:dyDescent="0.25">
      <c r="A62" s="113" t="s">
        <v>1198</v>
      </c>
      <c r="B62" s="1" t="s">
        <v>1199</v>
      </c>
      <c r="H62"/>
      <c r="I62"/>
    </row>
    <row r="63" spans="1:9" x14ac:dyDescent="0.25">
      <c r="A63" s="114"/>
      <c r="B63" s="5" t="s">
        <v>1198</v>
      </c>
      <c r="C63" s="3" t="s">
        <v>1200</v>
      </c>
      <c r="D63" s="3" t="s">
        <v>572</v>
      </c>
      <c r="E63" s="36">
        <v>4</v>
      </c>
      <c r="F63" s="36" t="s">
        <v>918</v>
      </c>
      <c r="G63" s="29">
        <v>0</v>
      </c>
      <c r="H63" s="11">
        <v>214.9</v>
      </c>
      <c r="I63" s="11">
        <v>214.9</v>
      </c>
    </row>
    <row r="64" spans="1:9" x14ac:dyDescent="0.25">
      <c r="A64" s="114"/>
      <c r="B64" s="6" t="s">
        <v>1750</v>
      </c>
      <c r="C64" s="4" t="s">
        <v>1749</v>
      </c>
      <c r="D64" s="4" t="s">
        <v>903</v>
      </c>
      <c r="E64" s="41">
        <v>4</v>
      </c>
      <c r="F64" s="41" t="s">
        <v>918</v>
      </c>
      <c r="G64" s="30">
        <v>0</v>
      </c>
      <c r="H64" s="12">
        <v>214.9</v>
      </c>
      <c r="I64" s="12">
        <v>214.9</v>
      </c>
    </row>
    <row r="65" spans="1:9" x14ac:dyDescent="0.25">
      <c r="A65" s="10" t="s">
        <v>234</v>
      </c>
      <c r="B65" s="7"/>
      <c r="C65" s="7"/>
      <c r="D65" s="7"/>
      <c r="E65" s="7"/>
      <c r="F65" s="7"/>
      <c r="G65" s="7"/>
      <c r="H65" s="7"/>
      <c r="I65" s="7"/>
    </row>
    <row r="66" spans="1:9" x14ac:dyDescent="0.25">
      <c r="A66" s="113" t="s">
        <v>528</v>
      </c>
      <c r="B66" s="1" t="s">
        <v>535</v>
      </c>
      <c r="H66"/>
      <c r="I66"/>
    </row>
    <row r="67" spans="1:9" x14ac:dyDescent="0.25">
      <c r="A67" s="114"/>
      <c r="B67" s="5" t="s">
        <v>528</v>
      </c>
      <c r="C67" s="3" t="s">
        <v>538</v>
      </c>
      <c r="D67" s="3" t="s">
        <v>546</v>
      </c>
      <c r="E67" s="36">
        <v>24</v>
      </c>
      <c r="F67" s="36" t="s">
        <v>918</v>
      </c>
      <c r="G67" s="29">
        <v>0</v>
      </c>
      <c r="H67" s="11">
        <v>16.899999999999999</v>
      </c>
      <c r="I67" s="11">
        <v>16.899999999999999</v>
      </c>
    </row>
    <row r="68" spans="1:9" x14ac:dyDescent="0.25">
      <c r="A68" s="113" t="s">
        <v>529</v>
      </c>
      <c r="B68" s="1" t="s">
        <v>234</v>
      </c>
      <c r="H68"/>
      <c r="I68"/>
    </row>
    <row r="69" spans="1:9" x14ac:dyDescent="0.25">
      <c r="A69" s="114"/>
      <c r="B69" s="5" t="s">
        <v>529</v>
      </c>
      <c r="C69" s="3" t="s">
        <v>539</v>
      </c>
      <c r="D69" s="3" t="s">
        <v>546</v>
      </c>
      <c r="E69" s="36">
        <v>24</v>
      </c>
      <c r="F69" s="36" t="s">
        <v>918</v>
      </c>
      <c r="G69" s="29">
        <v>0</v>
      </c>
      <c r="H69" s="11">
        <v>36.9</v>
      </c>
      <c r="I69" s="11">
        <v>36.9</v>
      </c>
    </row>
    <row r="70" spans="1:9" x14ac:dyDescent="0.25">
      <c r="A70" s="113" t="s">
        <v>530</v>
      </c>
      <c r="B70" s="1" t="s">
        <v>235</v>
      </c>
      <c r="H70"/>
      <c r="I70"/>
    </row>
    <row r="71" spans="1:9" x14ac:dyDescent="0.25">
      <c r="A71" s="114"/>
      <c r="B71" s="5" t="s">
        <v>530</v>
      </c>
      <c r="C71" s="3" t="s">
        <v>540</v>
      </c>
      <c r="D71" s="3" t="s">
        <v>546</v>
      </c>
      <c r="E71" s="36">
        <v>24</v>
      </c>
      <c r="F71" s="36" t="s">
        <v>918</v>
      </c>
      <c r="G71" s="29">
        <v>0</v>
      </c>
      <c r="H71" s="11">
        <v>24.9</v>
      </c>
      <c r="I71" s="11">
        <v>24.9</v>
      </c>
    </row>
    <row r="72" spans="1:9" x14ac:dyDescent="0.25">
      <c r="A72" s="84" t="s">
        <v>209</v>
      </c>
      <c r="B72" s="83"/>
      <c r="C72" s="83"/>
      <c r="D72" s="83"/>
      <c r="E72" s="83"/>
      <c r="F72" s="83"/>
      <c r="G72" s="83"/>
      <c r="H72" s="83"/>
      <c r="I72" s="83"/>
    </row>
    <row r="73" spans="1:9" x14ac:dyDescent="0.25">
      <c r="A73" s="113" t="s">
        <v>1298</v>
      </c>
      <c r="B73" s="85" t="s">
        <v>208</v>
      </c>
      <c r="C73" s="82"/>
      <c r="D73" s="82"/>
      <c r="E73" s="82"/>
      <c r="F73" s="82"/>
      <c r="G73" s="82"/>
      <c r="H73" s="82"/>
      <c r="I73" s="82"/>
    </row>
    <row r="74" spans="1:9" x14ac:dyDescent="0.25">
      <c r="A74" s="114"/>
      <c r="B74" s="5" t="s">
        <v>1298</v>
      </c>
      <c r="C74" s="3" t="s">
        <v>1325</v>
      </c>
      <c r="D74" s="3" t="s">
        <v>546</v>
      </c>
      <c r="E74" s="36">
        <v>24</v>
      </c>
      <c r="F74" s="36" t="s">
        <v>916</v>
      </c>
      <c r="G74" s="29">
        <v>0</v>
      </c>
      <c r="H74" s="11">
        <v>76.900000000000006</v>
      </c>
      <c r="I74" s="11">
        <v>76.900000000000006</v>
      </c>
    </row>
    <row r="75" spans="1:9" x14ac:dyDescent="0.25">
      <c r="A75" s="113" t="s">
        <v>1297</v>
      </c>
      <c r="B75" s="85" t="s">
        <v>209</v>
      </c>
      <c r="C75" s="82"/>
      <c r="D75" s="82"/>
      <c r="E75" s="82"/>
      <c r="F75" s="82"/>
      <c r="G75" s="82"/>
      <c r="H75" s="82"/>
      <c r="I75" s="82"/>
    </row>
    <row r="76" spans="1:9" x14ac:dyDescent="0.25">
      <c r="A76" s="114"/>
      <c r="B76" s="5" t="s">
        <v>1297</v>
      </c>
      <c r="C76" s="3" t="s">
        <v>1326</v>
      </c>
      <c r="D76" s="3" t="s">
        <v>546</v>
      </c>
      <c r="E76" s="36">
        <v>24</v>
      </c>
      <c r="F76" s="36" t="s">
        <v>916</v>
      </c>
      <c r="G76" s="29">
        <v>0</v>
      </c>
      <c r="H76" s="11">
        <v>94.9</v>
      </c>
      <c r="I76" s="11">
        <v>94.9</v>
      </c>
    </row>
    <row r="77" spans="1:9" x14ac:dyDescent="0.25">
      <c r="A77" s="84" t="s">
        <v>544</v>
      </c>
      <c r="B77" s="83"/>
      <c r="C77" s="83"/>
      <c r="D77" s="83"/>
      <c r="E77" s="83"/>
      <c r="F77" s="83"/>
      <c r="G77" s="83"/>
      <c r="H77" s="83"/>
      <c r="I77" s="83"/>
    </row>
    <row r="78" spans="1:9" x14ac:dyDescent="0.25">
      <c r="A78" s="113" t="s">
        <v>33</v>
      </c>
      <c r="B78" s="85" t="s">
        <v>210</v>
      </c>
      <c r="C78" s="82"/>
      <c r="D78" s="82"/>
      <c r="E78" s="82"/>
      <c r="F78" s="82"/>
      <c r="G78" s="82"/>
      <c r="H78" s="82"/>
      <c r="I78" s="82"/>
    </row>
    <row r="79" spans="1:9" x14ac:dyDescent="0.25">
      <c r="A79" s="114"/>
      <c r="B79" s="5" t="s">
        <v>33</v>
      </c>
      <c r="C79" s="3" t="s">
        <v>363</v>
      </c>
      <c r="D79" s="3" t="s">
        <v>546</v>
      </c>
      <c r="E79" s="36">
        <v>12</v>
      </c>
      <c r="F79" s="36" t="s">
        <v>916</v>
      </c>
      <c r="G79" s="29">
        <v>0</v>
      </c>
      <c r="H79" s="11">
        <v>123.9</v>
      </c>
      <c r="I79" s="11">
        <v>123.9</v>
      </c>
    </row>
    <row r="80" spans="1:9" x14ac:dyDescent="0.25">
      <c r="A80" s="113" t="s">
        <v>533</v>
      </c>
      <c r="B80" s="1" t="s">
        <v>232</v>
      </c>
      <c r="H80"/>
      <c r="I80"/>
    </row>
    <row r="81" spans="1:9" x14ac:dyDescent="0.25">
      <c r="A81" s="114"/>
      <c r="B81" s="5" t="s">
        <v>533</v>
      </c>
      <c r="C81" s="3" t="s">
        <v>543</v>
      </c>
      <c r="D81" s="3" t="s">
        <v>572</v>
      </c>
      <c r="E81" s="36">
        <v>20</v>
      </c>
      <c r="F81" s="36" t="s">
        <v>918</v>
      </c>
      <c r="G81" s="29">
        <v>0</v>
      </c>
      <c r="H81" s="11">
        <v>37.9</v>
      </c>
      <c r="I81" s="11">
        <v>37.9</v>
      </c>
    </row>
    <row r="82" spans="1:9" x14ac:dyDescent="0.25">
      <c r="A82" s="113" t="s">
        <v>1135</v>
      </c>
      <c r="B82" s="85" t="s">
        <v>1136</v>
      </c>
      <c r="C82" s="82"/>
      <c r="D82" s="82"/>
      <c r="E82" s="82"/>
      <c r="F82" s="82"/>
      <c r="G82" s="82"/>
      <c r="H82" s="82"/>
      <c r="I82" s="82"/>
    </row>
    <row r="83" spans="1:9" x14ac:dyDescent="0.25">
      <c r="A83" s="114"/>
      <c r="B83" s="5" t="s">
        <v>1135</v>
      </c>
      <c r="C83" s="3" t="s">
        <v>1137</v>
      </c>
      <c r="D83" s="3" t="s">
        <v>546</v>
      </c>
      <c r="E83" s="36">
        <v>48</v>
      </c>
      <c r="F83" s="36" t="s">
        <v>918</v>
      </c>
      <c r="G83" s="29">
        <v>0</v>
      </c>
      <c r="H83" s="11">
        <v>35.9</v>
      </c>
      <c r="I83" s="11">
        <v>35.9</v>
      </c>
    </row>
    <row r="84" spans="1:9" x14ac:dyDescent="0.25">
      <c r="A84" s="113" t="s">
        <v>1144</v>
      </c>
      <c r="B84" s="85" t="s">
        <v>1147</v>
      </c>
      <c r="C84" s="82"/>
      <c r="D84" s="82"/>
      <c r="E84" s="82"/>
      <c r="F84" s="82"/>
      <c r="G84" s="82"/>
      <c r="H84" s="82"/>
      <c r="I84" s="82"/>
    </row>
    <row r="85" spans="1:9" x14ac:dyDescent="0.25">
      <c r="A85" s="114"/>
      <c r="B85" s="5" t="s">
        <v>1144</v>
      </c>
      <c r="C85" s="3" t="s">
        <v>1145</v>
      </c>
      <c r="D85" s="3" t="s">
        <v>546</v>
      </c>
      <c r="E85" s="36">
        <v>96</v>
      </c>
      <c r="F85" s="36" t="s">
        <v>918</v>
      </c>
      <c r="G85" s="29">
        <v>0</v>
      </c>
      <c r="H85" s="11">
        <v>35.9</v>
      </c>
      <c r="I85" s="11">
        <v>35.9</v>
      </c>
    </row>
    <row r="86" spans="1:9" x14ac:dyDescent="0.25">
      <c r="A86" s="113" t="s">
        <v>1159</v>
      </c>
      <c r="B86" s="85" t="s">
        <v>1160</v>
      </c>
      <c r="C86" s="82"/>
      <c r="D86" s="82"/>
      <c r="E86" s="82"/>
      <c r="F86" s="82"/>
      <c r="G86" s="82"/>
      <c r="H86" s="82"/>
      <c r="I86" s="82"/>
    </row>
    <row r="87" spans="1:9" x14ac:dyDescent="0.25">
      <c r="A87" s="114"/>
      <c r="B87" s="5" t="s">
        <v>1159</v>
      </c>
      <c r="C87" s="3" t="s">
        <v>1161</v>
      </c>
      <c r="D87" s="3" t="s">
        <v>546</v>
      </c>
      <c r="E87" s="36">
        <v>24</v>
      </c>
      <c r="F87" s="36" t="s">
        <v>916</v>
      </c>
      <c r="G87" s="29">
        <v>0</v>
      </c>
      <c r="H87" s="11">
        <v>48.9</v>
      </c>
      <c r="I87" s="11">
        <v>48.9</v>
      </c>
    </row>
    <row r="88" spans="1:9" x14ac:dyDescent="0.25">
      <c r="A88" s="113" t="s">
        <v>1265</v>
      </c>
      <c r="B88" s="85" t="s">
        <v>1148</v>
      </c>
      <c r="C88" s="82"/>
      <c r="D88" s="82"/>
      <c r="E88" s="82"/>
      <c r="F88" s="82"/>
      <c r="G88" s="82"/>
      <c r="H88" s="82"/>
      <c r="I88" s="82"/>
    </row>
    <row r="89" spans="1:9" x14ac:dyDescent="0.25">
      <c r="A89" s="114"/>
      <c r="B89" s="5" t="s">
        <v>1265</v>
      </c>
      <c r="C89" s="3" t="s">
        <v>1285</v>
      </c>
      <c r="D89" s="3" t="s">
        <v>546</v>
      </c>
      <c r="E89" s="36">
        <v>48</v>
      </c>
      <c r="F89" s="36" t="s">
        <v>918</v>
      </c>
      <c r="G89" s="29">
        <v>0</v>
      </c>
      <c r="H89" s="11">
        <v>45.9</v>
      </c>
      <c r="I89" s="11">
        <v>45.9</v>
      </c>
    </row>
    <row r="90" spans="1:9" x14ac:dyDescent="0.25">
      <c r="A90" s="113" t="s">
        <v>1146</v>
      </c>
      <c r="B90" s="85" t="s">
        <v>1148</v>
      </c>
      <c r="C90" s="82"/>
      <c r="D90" s="82"/>
      <c r="E90" s="82"/>
      <c r="F90" s="82"/>
      <c r="G90" s="82"/>
      <c r="H90" s="82"/>
      <c r="I90" s="82"/>
    </row>
    <row r="91" spans="1:9" x14ac:dyDescent="0.25">
      <c r="A91" s="114"/>
      <c r="B91" s="5" t="s">
        <v>1146</v>
      </c>
      <c r="C91" s="3" t="s">
        <v>1149</v>
      </c>
      <c r="D91" s="3" t="s">
        <v>546</v>
      </c>
      <c r="E91" s="36">
        <v>48</v>
      </c>
      <c r="F91" s="36" t="s">
        <v>918</v>
      </c>
      <c r="G91" s="29">
        <v>0</v>
      </c>
      <c r="H91" s="11">
        <v>45.9</v>
      </c>
      <c r="I91" s="11">
        <v>45.9</v>
      </c>
    </row>
    <row r="92" spans="1:9" x14ac:dyDescent="0.25">
      <c r="A92" s="113" t="s">
        <v>1302</v>
      </c>
      <c r="B92" s="85" t="s">
        <v>161</v>
      </c>
      <c r="C92" s="82"/>
      <c r="D92" s="82"/>
      <c r="E92" s="82"/>
      <c r="F92" s="82"/>
      <c r="G92" s="82"/>
      <c r="H92" s="82"/>
      <c r="I92" s="82"/>
    </row>
    <row r="93" spans="1:9" x14ac:dyDescent="0.25">
      <c r="A93" s="114"/>
      <c r="B93" s="5" t="s">
        <v>1302</v>
      </c>
      <c r="C93" s="3" t="s">
        <v>1327</v>
      </c>
      <c r="D93" s="3" t="s">
        <v>546</v>
      </c>
      <c r="E93" s="36">
        <v>48</v>
      </c>
      <c r="F93" s="36" t="s">
        <v>916</v>
      </c>
      <c r="G93" s="29">
        <v>0</v>
      </c>
      <c r="H93" s="11">
        <v>86.9</v>
      </c>
      <c r="I93" s="11">
        <v>86.9</v>
      </c>
    </row>
    <row r="94" spans="1:9" x14ac:dyDescent="0.25">
      <c r="A94" s="113" t="s">
        <v>1702</v>
      </c>
      <c r="B94" s="1" t="s">
        <v>1703</v>
      </c>
      <c r="H94"/>
      <c r="I94"/>
    </row>
    <row r="95" spans="1:9" x14ac:dyDescent="0.25">
      <c r="A95" s="114"/>
      <c r="B95" s="5" t="s">
        <v>1702</v>
      </c>
      <c r="C95" s="3" t="s">
        <v>1704</v>
      </c>
      <c r="D95" s="3" t="s">
        <v>546</v>
      </c>
      <c r="E95" s="36">
        <v>24</v>
      </c>
      <c r="F95" s="36" t="s">
        <v>916</v>
      </c>
      <c r="G95" s="29">
        <v>0</v>
      </c>
      <c r="H95" s="11">
        <v>49.9</v>
      </c>
      <c r="I95" s="11">
        <v>49.9</v>
      </c>
    </row>
    <row r="96" spans="1:9" x14ac:dyDescent="0.25">
      <c r="A96" s="84" t="s">
        <v>482</v>
      </c>
      <c r="B96" s="83"/>
      <c r="C96" s="83"/>
      <c r="D96" s="83"/>
      <c r="E96" s="83"/>
      <c r="F96" s="83"/>
      <c r="G96" s="83"/>
      <c r="H96" s="83"/>
      <c r="I96" s="83"/>
    </row>
    <row r="97" spans="1:9" x14ac:dyDescent="0.25">
      <c r="A97" s="113" t="s">
        <v>518</v>
      </c>
      <c r="B97" s="85" t="s">
        <v>519</v>
      </c>
      <c r="C97" s="82"/>
      <c r="D97" s="82"/>
      <c r="E97" s="82"/>
      <c r="F97" s="82"/>
      <c r="G97" s="82"/>
      <c r="H97" s="82"/>
      <c r="I97" s="82"/>
    </row>
    <row r="98" spans="1:9" x14ac:dyDescent="0.25">
      <c r="A98" s="114"/>
      <c r="B98" s="5" t="s">
        <v>518</v>
      </c>
      <c r="C98" s="3" t="s">
        <v>520</v>
      </c>
      <c r="D98" s="3" t="s">
        <v>546</v>
      </c>
      <c r="E98" s="36" t="s">
        <v>546</v>
      </c>
      <c r="F98" s="36" t="s">
        <v>916</v>
      </c>
      <c r="G98" s="29">
        <v>0</v>
      </c>
      <c r="H98" s="11">
        <v>180.9</v>
      </c>
      <c r="I98" s="11">
        <v>180.9</v>
      </c>
    </row>
    <row r="99" spans="1:9" x14ac:dyDescent="0.25">
      <c r="A99" s="113" t="s">
        <v>1306</v>
      </c>
      <c r="B99" s="85" t="s">
        <v>492</v>
      </c>
      <c r="C99" s="82"/>
      <c r="D99" s="82"/>
      <c r="E99" s="82"/>
      <c r="F99" s="82"/>
      <c r="G99" s="82"/>
      <c r="H99" s="82"/>
      <c r="I99" s="82"/>
    </row>
    <row r="100" spans="1:9" x14ac:dyDescent="0.25">
      <c r="A100" s="114"/>
      <c r="B100" s="5" t="s">
        <v>1306</v>
      </c>
      <c r="C100" s="3" t="s">
        <v>1315</v>
      </c>
      <c r="D100" s="3" t="s">
        <v>546</v>
      </c>
      <c r="E100" s="36">
        <v>24</v>
      </c>
      <c r="F100" s="36" t="s">
        <v>916</v>
      </c>
      <c r="G100" s="29">
        <v>0</v>
      </c>
      <c r="H100" s="11">
        <v>90.9</v>
      </c>
      <c r="I100" s="11">
        <v>90.9</v>
      </c>
    </row>
    <row r="101" spans="1:9" x14ac:dyDescent="0.25">
      <c r="A101" s="113" t="s">
        <v>1305</v>
      </c>
      <c r="B101" s="85" t="s">
        <v>207</v>
      </c>
      <c r="C101" s="82"/>
      <c r="D101" s="82"/>
      <c r="E101" s="82"/>
      <c r="F101" s="82"/>
      <c r="G101" s="82"/>
      <c r="H101" s="82"/>
      <c r="I101" s="82"/>
    </row>
    <row r="102" spans="1:9" x14ac:dyDescent="0.25">
      <c r="A102" s="114"/>
      <c r="B102" s="5" t="s">
        <v>1305</v>
      </c>
      <c r="C102" s="3" t="s">
        <v>1316</v>
      </c>
      <c r="D102" s="3" t="s">
        <v>546</v>
      </c>
      <c r="E102" s="36">
        <v>6</v>
      </c>
      <c r="F102" s="36" t="s">
        <v>916</v>
      </c>
      <c r="G102" s="29">
        <v>0</v>
      </c>
      <c r="H102" s="11">
        <v>129.9</v>
      </c>
      <c r="I102" s="11">
        <v>129.9</v>
      </c>
    </row>
    <row r="103" spans="1:9" x14ac:dyDescent="0.25">
      <c r="A103" s="113" t="s">
        <v>1309</v>
      </c>
      <c r="B103" s="85" t="s">
        <v>1314</v>
      </c>
      <c r="C103" s="82"/>
      <c r="D103" s="82"/>
      <c r="E103" s="82"/>
      <c r="F103" s="82"/>
      <c r="G103" s="82"/>
      <c r="H103" s="82"/>
      <c r="I103" s="82"/>
    </row>
    <row r="104" spans="1:9" x14ac:dyDescent="0.25">
      <c r="A104" s="114"/>
      <c r="B104" s="5" t="s">
        <v>1309</v>
      </c>
      <c r="C104" s="3" t="s">
        <v>1317</v>
      </c>
      <c r="D104" s="3" t="s">
        <v>572</v>
      </c>
      <c r="E104" s="36">
        <v>4</v>
      </c>
      <c r="F104" s="36" t="s">
        <v>917</v>
      </c>
      <c r="G104" s="29">
        <v>0</v>
      </c>
      <c r="H104" s="11">
        <v>150.9</v>
      </c>
      <c r="I104" s="11">
        <v>150.9</v>
      </c>
    </row>
    <row r="105" spans="1:9" x14ac:dyDescent="0.25">
      <c r="A105" s="114"/>
      <c r="B105" s="6" t="s">
        <v>1373</v>
      </c>
      <c r="C105" s="4" t="s">
        <v>1391</v>
      </c>
      <c r="D105" s="4" t="s">
        <v>1380</v>
      </c>
      <c r="E105" s="41">
        <v>4</v>
      </c>
      <c r="F105" s="41" t="s">
        <v>917</v>
      </c>
      <c r="G105" s="30">
        <v>0</v>
      </c>
      <c r="H105" s="12">
        <v>150.9</v>
      </c>
      <c r="I105" s="12">
        <v>150.9</v>
      </c>
    </row>
    <row r="106" spans="1:9" x14ac:dyDescent="0.25">
      <c r="A106" s="114"/>
      <c r="B106" s="6" t="s">
        <v>1401</v>
      </c>
      <c r="C106" s="4" t="s">
        <v>1402</v>
      </c>
      <c r="D106" s="4" t="s">
        <v>903</v>
      </c>
      <c r="E106" s="41">
        <v>4</v>
      </c>
      <c r="F106" s="41" t="s">
        <v>917</v>
      </c>
      <c r="G106" s="30">
        <v>0</v>
      </c>
      <c r="H106" s="12">
        <v>150.9</v>
      </c>
      <c r="I106" s="12">
        <v>150.9</v>
      </c>
    </row>
    <row r="107" spans="1:9" x14ac:dyDescent="0.25">
      <c r="A107" s="113" t="s">
        <v>1308</v>
      </c>
      <c r="B107" s="85" t="s">
        <v>1313</v>
      </c>
      <c r="C107" s="82"/>
      <c r="D107" s="82"/>
      <c r="E107" s="82"/>
      <c r="F107" s="82"/>
      <c r="G107" s="82"/>
      <c r="H107" s="82"/>
      <c r="I107" s="82"/>
    </row>
    <row r="108" spans="1:9" x14ac:dyDescent="0.25">
      <c r="A108" s="114"/>
      <c r="B108" s="5" t="s">
        <v>1308</v>
      </c>
      <c r="C108" s="3" t="s">
        <v>1318</v>
      </c>
      <c r="D108" s="3" t="s">
        <v>572</v>
      </c>
      <c r="E108" s="36">
        <v>4</v>
      </c>
      <c r="F108" s="36" t="s">
        <v>917</v>
      </c>
      <c r="G108" s="29">
        <v>0</v>
      </c>
      <c r="H108" s="11">
        <v>172.9</v>
      </c>
      <c r="I108" s="11">
        <v>172.9</v>
      </c>
    </row>
    <row r="109" spans="1:9" x14ac:dyDescent="0.25">
      <c r="A109" s="114"/>
      <c r="B109" s="6" t="s">
        <v>1374</v>
      </c>
      <c r="C109" s="4" t="s">
        <v>1392</v>
      </c>
      <c r="D109" s="4" t="s">
        <v>1380</v>
      </c>
      <c r="E109" s="41">
        <v>4</v>
      </c>
      <c r="F109" s="41" t="s">
        <v>917</v>
      </c>
      <c r="G109" s="30">
        <v>0</v>
      </c>
      <c r="H109" s="12">
        <v>172.9</v>
      </c>
      <c r="I109" s="12">
        <v>172.9</v>
      </c>
    </row>
    <row r="110" spans="1:9" x14ac:dyDescent="0.25">
      <c r="A110" s="114"/>
      <c r="B110" s="6" t="s">
        <v>1403</v>
      </c>
      <c r="C110" s="4" t="s">
        <v>1404</v>
      </c>
      <c r="D110" s="4" t="s">
        <v>903</v>
      </c>
      <c r="E110" s="41">
        <v>4</v>
      </c>
      <c r="F110" s="41" t="s">
        <v>917</v>
      </c>
      <c r="G110" s="30">
        <v>0</v>
      </c>
      <c r="H110" s="12">
        <v>172.9</v>
      </c>
      <c r="I110" s="12">
        <v>172.9</v>
      </c>
    </row>
    <row r="111" spans="1:9" x14ac:dyDescent="0.25">
      <c r="A111" s="113" t="s">
        <v>1304</v>
      </c>
      <c r="B111" s="85" t="s">
        <v>1311</v>
      </c>
      <c r="C111" s="82"/>
      <c r="D111" s="82"/>
      <c r="E111" s="82"/>
      <c r="F111" s="82"/>
      <c r="G111" s="82"/>
      <c r="H111" s="82"/>
      <c r="I111" s="82"/>
    </row>
    <row r="112" spans="1:9" x14ac:dyDescent="0.25">
      <c r="A112" s="114"/>
      <c r="B112" s="5" t="s">
        <v>1304</v>
      </c>
      <c r="C112" s="3" t="s">
        <v>1319</v>
      </c>
      <c r="D112" s="3" t="s">
        <v>572</v>
      </c>
      <c r="E112" s="36">
        <v>4</v>
      </c>
      <c r="F112" s="36" t="s">
        <v>917</v>
      </c>
      <c r="G112" s="29">
        <v>0</v>
      </c>
      <c r="H112" s="11">
        <v>238.9</v>
      </c>
      <c r="I112" s="11">
        <v>238.9</v>
      </c>
    </row>
    <row r="113" spans="1:9" x14ac:dyDescent="0.25">
      <c r="A113" s="114"/>
      <c r="B113" s="6" t="s">
        <v>1375</v>
      </c>
      <c r="C113" s="4" t="s">
        <v>1393</v>
      </c>
      <c r="D113" s="4" t="s">
        <v>1381</v>
      </c>
      <c r="E113" s="41">
        <v>4</v>
      </c>
      <c r="F113" s="41" t="s">
        <v>917</v>
      </c>
      <c r="G113" s="30">
        <v>0</v>
      </c>
      <c r="H113" s="12">
        <v>238.9</v>
      </c>
      <c r="I113" s="12">
        <v>238.9</v>
      </c>
    </row>
    <row r="114" spans="1:9" x14ac:dyDescent="0.25">
      <c r="A114" s="114"/>
      <c r="B114" s="6" t="s">
        <v>1378</v>
      </c>
      <c r="C114" s="4" t="s">
        <v>1396</v>
      </c>
      <c r="D114" s="4" t="s">
        <v>1380</v>
      </c>
      <c r="E114" s="41">
        <v>4</v>
      </c>
      <c r="F114" s="41" t="s">
        <v>917</v>
      </c>
      <c r="G114" s="30">
        <v>0</v>
      </c>
      <c r="H114" s="12">
        <v>238.9</v>
      </c>
      <c r="I114" s="12">
        <v>238.9</v>
      </c>
    </row>
    <row r="115" spans="1:9" x14ac:dyDescent="0.25">
      <c r="A115" s="114"/>
      <c r="B115" s="6" t="s">
        <v>1405</v>
      </c>
      <c r="C115" s="4" t="s">
        <v>1406</v>
      </c>
      <c r="D115" s="4" t="s">
        <v>575</v>
      </c>
      <c r="E115" s="41">
        <v>4</v>
      </c>
      <c r="F115" s="41" t="s">
        <v>917</v>
      </c>
      <c r="G115" s="30">
        <v>0</v>
      </c>
      <c r="H115" s="12">
        <v>238.9</v>
      </c>
      <c r="I115" s="12">
        <v>238.9</v>
      </c>
    </row>
    <row r="116" spans="1:9" x14ac:dyDescent="0.25">
      <c r="A116" s="113" t="s">
        <v>1303</v>
      </c>
      <c r="B116" s="85" t="s">
        <v>1310</v>
      </c>
      <c r="C116" s="82"/>
      <c r="D116" s="82"/>
      <c r="E116" s="82"/>
      <c r="F116" s="82"/>
      <c r="G116" s="82"/>
      <c r="H116" s="82"/>
      <c r="I116" s="82"/>
    </row>
    <row r="117" spans="1:9" x14ac:dyDescent="0.25">
      <c r="A117" s="114"/>
      <c r="B117" s="5" t="s">
        <v>1303</v>
      </c>
      <c r="C117" s="3" t="s">
        <v>1320</v>
      </c>
      <c r="D117" s="3" t="s">
        <v>572</v>
      </c>
      <c r="E117" s="36">
        <v>4</v>
      </c>
      <c r="F117" s="36" t="s">
        <v>917</v>
      </c>
      <c r="G117" s="29">
        <v>0</v>
      </c>
      <c r="H117" s="11">
        <v>282.89999999999998</v>
      </c>
      <c r="I117" s="11">
        <v>282.89999999999998</v>
      </c>
    </row>
    <row r="118" spans="1:9" x14ac:dyDescent="0.25">
      <c r="A118" s="114"/>
      <c r="B118" s="6" t="s">
        <v>1376</v>
      </c>
      <c r="C118" s="4" t="s">
        <v>1394</v>
      </c>
      <c r="D118" s="4" t="s">
        <v>1381</v>
      </c>
      <c r="E118" s="41">
        <v>4</v>
      </c>
      <c r="F118" s="41" t="s">
        <v>917</v>
      </c>
      <c r="G118" s="30">
        <v>0</v>
      </c>
      <c r="H118" s="12">
        <v>282.89999999999998</v>
      </c>
      <c r="I118" s="12">
        <v>282.89999999999998</v>
      </c>
    </row>
    <row r="119" spans="1:9" x14ac:dyDescent="0.25">
      <c r="A119" s="114"/>
      <c r="B119" s="6" t="s">
        <v>1379</v>
      </c>
      <c r="C119" s="4" t="s">
        <v>1397</v>
      </c>
      <c r="D119" s="4" t="s">
        <v>1380</v>
      </c>
      <c r="E119" s="41">
        <v>4</v>
      </c>
      <c r="F119" s="41" t="s">
        <v>917</v>
      </c>
      <c r="G119" s="30">
        <v>0</v>
      </c>
      <c r="H119" s="12">
        <v>282.89999999999998</v>
      </c>
      <c r="I119" s="12">
        <v>282.89999999999998</v>
      </c>
    </row>
    <row r="120" spans="1:9" x14ac:dyDescent="0.25">
      <c r="A120" s="114"/>
      <c r="B120" s="6" t="s">
        <v>1408</v>
      </c>
      <c r="C120" s="4" t="s">
        <v>1407</v>
      </c>
      <c r="D120" s="4" t="s">
        <v>575</v>
      </c>
      <c r="E120" s="41">
        <v>4</v>
      </c>
      <c r="F120" s="41" t="s">
        <v>917</v>
      </c>
      <c r="G120" s="30">
        <v>0</v>
      </c>
      <c r="H120" s="12">
        <v>282.89999999999998</v>
      </c>
      <c r="I120" s="12">
        <v>282.89999999999998</v>
      </c>
    </row>
    <row r="121" spans="1:9" x14ac:dyDescent="0.25">
      <c r="A121" s="113" t="s">
        <v>1307</v>
      </c>
      <c r="B121" s="85" t="s">
        <v>1312</v>
      </c>
      <c r="C121" s="82"/>
      <c r="D121" s="82"/>
      <c r="E121" s="82"/>
      <c r="F121" s="82"/>
      <c r="G121" s="82"/>
      <c r="H121" s="82"/>
      <c r="I121" s="82"/>
    </row>
    <row r="122" spans="1:9" x14ac:dyDescent="0.25">
      <c r="A122" s="114"/>
      <c r="B122" s="5" t="s">
        <v>1307</v>
      </c>
      <c r="C122" s="3" t="s">
        <v>1321</v>
      </c>
      <c r="D122" s="3" t="s">
        <v>572</v>
      </c>
      <c r="E122" s="36">
        <v>3</v>
      </c>
      <c r="F122" s="36" t="s">
        <v>917</v>
      </c>
      <c r="G122" s="29">
        <v>0</v>
      </c>
      <c r="H122" s="11">
        <v>316.89999999999998</v>
      </c>
      <c r="I122" s="11">
        <v>316.89999999999998</v>
      </c>
    </row>
    <row r="123" spans="1:9" x14ac:dyDescent="0.25">
      <c r="A123" s="114"/>
      <c r="B123" s="6" t="s">
        <v>1377</v>
      </c>
      <c r="C123" s="4" t="s">
        <v>1395</v>
      </c>
      <c r="D123" s="4" t="s">
        <v>1380</v>
      </c>
      <c r="E123" s="41">
        <v>3</v>
      </c>
      <c r="F123" s="41" t="s">
        <v>917</v>
      </c>
      <c r="G123" s="30">
        <v>0</v>
      </c>
      <c r="H123" s="12">
        <v>316.89999999999998</v>
      </c>
      <c r="I123" s="12">
        <v>316.89999999999998</v>
      </c>
    </row>
    <row r="124" spans="1:9" x14ac:dyDescent="0.25">
      <c r="A124" s="114"/>
      <c r="B124" s="6" t="s">
        <v>1409</v>
      </c>
      <c r="C124" s="4" t="s">
        <v>1410</v>
      </c>
      <c r="D124" s="4" t="s">
        <v>903</v>
      </c>
      <c r="E124" s="41">
        <v>3</v>
      </c>
      <c r="F124" s="41" t="s">
        <v>917</v>
      </c>
      <c r="G124" s="30">
        <v>0</v>
      </c>
      <c r="H124" s="12">
        <v>316.89999999999998</v>
      </c>
      <c r="I124" s="12">
        <v>316.89999999999998</v>
      </c>
    </row>
    <row r="125" spans="1:9" x14ac:dyDescent="0.25">
      <c r="A125" s="84" t="s">
        <v>483</v>
      </c>
      <c r="B125" s="83"/>
      <c r="C125" s="83"/>
      <c r="D125" s="83"/>
      <c r="E125" s="83"/>
      <c r="F125" s="83"/>
      <c r="G125" s="83"/>
      <c r="H125" s="83"/>
      <c r="I125" s="83"/>
    </row>
    <row r="126" spans="1:9" x14ac:dyDescent="0.25">
      <c r="A126" s="113" t="s">
        <v>0</v>
      </c>
      <c r="B126" s="1" t="s">
        <v>534</v>
      </c>
      <c r="H126"/>
      <c r="I126"/>
    </row>
    <row r="127" spans="1:9" x14ac:dyDescent="0.25">
      <c r="A127" s="114"/>
      <c r="B127" s="5" t="s">
        <v>0</v>
      </c>
      <c r="C127" s="3" t="s">
        <v>312</v>
      </c>
      <c r="D127" s="3" t="s">
        <v>546</v>
      </c>
      <c r="E127" s="36">
        <v>144</v>
      </c>
      <c r="F127" s="36" t="s">
        <v>918</v>
      </c>
      <c r="G127" s="29">
        <v>0</v>
      </c>
      <c r="H127" s="11">
        <v>10.199999999999999</v>
      </c>
      <c r="I127" s="11">
        <v>10.199999999999999</v>
      </c>
    </row>
    <row r="128" spans="1:9" x14ac:dyDescent="0.25">
      <c r="A128" s="113" t="s">
        <v>294</v>
      </c>
      <c r="B128" s="85" t="s">
        <v>301</v>
      </c>
      <c r="C128" s="82"/>
      <c r="D128" s="82"/>
      <c r="E128" s="82"/>
      <c r="F128" s="82"/>
      <c r="G128" s="82"/>
      <c r="H128" s="82"/>
      <c r="I128" s="82"/>
    </row>
    <row r="129" spans="1:9" x14ac:dyDescent="0.25">
      <c r="A129" s="114"/>
      <c r="B129" s="5" t="s">
        <v>294</v>
      </c>
      <c r="C129" s="3" t="s">
        <v>315</v>
      </c>
      <c r="D129" s="3" t="s">
        <v>546</v>
      </c>
      <c r="E129" s="36">
        <v>48</v>
      </c>
      <c r="F129" s="36" t="s">
        <v>916</v>
      </c>
      <c r="G129" s="29">
        <v>0</v>
      </c>
      <c r="H129" s="11">
        <v>23.9</v>
      </c>
      <c r="I129" s="11">
        <v>23.9</v>
      </c>
    </row>
    <row r="130" spans="1:9" x14ac:dyDescent="0.25">
      <c r="A130" s="113" t="s">
        <v>295</v>
      </c>
      <c r="B130" s="85" t="s">
        <v>163</v>
      </c>
      <c r="C130" s="82"/>
      <c r="D130" s="82"/>
      <c r="E130" s="82"/>
      <c r="F130" s="82"/>
      <c r="G130" s="82"/>
      <c r="H130" s="82"/>
      <c r="I130" s="82"/>
    </row>
    <row r="131" spans="1:9" x14ac:dyDescent="0.25">
      <c r="A131" s="114"/>
      <c r="B131" s="5" t="s">
        <v>295</v>
      </c>
      <c r="C131" s="3" t="s">
        <v>316</v>
      </c>
      <c r="D131" s="3" t="s">
        <v>546</v>
      </c>
      <c r="E131" s="36">
        <v>48</v>
      </c>
      <c r="F131" s="36" t="s">
        <v>916</v>
      </c>
      <c r="G131" s="29">
        <v>0</v>
      </c>
      <c r="H131" s="11">
        <v>33.9</v>
      </c>
      <c r="I131" s="11">
        <v>33.9</v>
      </c>
    </row>
    <row r="132" spans="1:9" x14ac:dyDescent="0.25">
      <c r="A132" s="113" t="s">
        <v>296</v>
      </c>
      <c r="B132" s="85" t="s">
        <v>162</v>
      </c>
      <c r="C132" s="82"/>
      <c r="D132" s="82"/>
      <c r="E132" s="82"/>
      <c r="F132" s="82"/>
      <c r="G132" s="82"/>
      <c r="H132" s="82"/>
      <c r="I132" s="82"/>
    </row>
    <row r="133" spans="1:9" x14ac:dyDescent="0.25">
      <c r="A133" s="114"/>
      <c r="B133" s="5" t="s">
        <v>296</v>
      </c>
      <c r="C133" s="3" t="s">
        <v>317</v>
      </c>
      <c r="D133" s="3" t="s">
        <v>546</v>
      </c>
      <c r="E133" s="36">
        <v>24</v>
      </c>
      <c r="F133" s="36" t="s">
        <v>916</v>
      </c>
      <c r="G133" s="29">
        <v>0</v>
      </c>
      <c r="H133" s="11">
        <v>41.9</v>
      </c>
      <c r="I133" s="11">
        <v>41.9</v>
      </c>
    </row>
    <row r="134" spans="1:9" x14ac:dyDescent="0.25">
      <c r="A134" s="113" t="s">
        <v>297</v>
      </c>
      <c r="B134" s="85" t="s">
        <v>302</v>
      </c>
      <c r="C134" s="82"/>
      <c r="D134" s="82"/>
      <c r="E134" s="82"/>
      <c r="F134" s="82"/>
      <c r="G134" s="82"/>
      <c r="H134" s="82"/>
      <c r="I134" s="82"/>
    </row>
    <row r="135" spans="1:9" x14ac:dyDescent="0.25">
      <c r="A135" s="114"/>
      <c r="B135" s="5" t="s">
        <v>297</v>
      </c>
      <c r="C135" s="3" t="s">
        <v>318</v>
      </c>
      <c r="D135" s="3" t="s">
        <v>546</v>
      </c>
      <c r="E135" s="36">
        <v>24</v>
      </c>
      <c r="F135" s="36" t="s">
        <v>916</v>
      </c>
      <c r="G135" s="29">
        <v>0</v>
      </c>
      <c r="H135" s="11">
        <v>53.9</v>
      </c>
      <c r="I135" s="11">
        <v>53.9</v>
      </c>
    </row>
    <row r="136" spans="1:9" x14ac:dyDescent="0.25">
      <c r="A136" s="113" t="s">
        <v>4</v>
      </c>
      <c r="B136" s="85" t="s">
        <v>166</v>
      </c>
      <c r="C136" s="82"/>
      <c r="D136" s="82"/>
      <c r="E136" s="82"/>
      <c r="F136" s="82"/>
      <c r="G136" s="82"/>
      <c r="H136" s="82"/>
      <c r="I136" s="82"/>
    </row>
    <row r="137" spans="1:9" x14ac:dyDescent="0.25">
      <c r="A137" s="114"/>
      <c r="B137" s="5" t="s">
        <v>4</v>
      </c>
      <c r="C137" s="3" t="s">
        <v>314</v>
      </c>
      <c r="D137" s="3" t="s">
        <v>546</v>
      </c>
      <c r="E137" s="36">
        <v>48</v>
      </c>
      <c r="F137" s="36" t="s">
        <v>916</v>
      </c>
      <c r="G137" s="29">
        <v>0</v>
      </c>
      <c r="H137" s="11">
        <v>36.9</v>
      </c>
      <c r="I137" s="11">
        <v>36.9</v>
      </c>
    </row>
    <row r="138" spans="1:9" x14ac:dyDescent="0.25">
      <c r="A138" s="113" t="s">
        <v>298</v>
      </c>
      <c r="B138" s="85" t="s">
        <v>165</v>
      </c>
      <c r="C138" s="82"/>
      <c r="D138" s="82"/>
      <c r="E138" s="82"/>
      <c r="F138" s="82"/>
      <c r="G138" s="82"/>
      <c r="H138" s="82"/>
      <c r="I138" s="82"/>
    </row>
    <row r="139" spans="1:9" x14ac:dyDescent="0.25">
      <c r="A139" s="114"/>
      <c r="B139" s="5" t="s">
        <v>298</v>
      </c>
      <c r="C139" s="3" t="s">
        <v>319</v>
      </c>
      <c r="D139" s="3" t="s">
        <v>546</v>
      </c>
      <c r="E139" s="36">
        <v>24</v>
      </c>
      <c r="F139" s="36" t="s">
        <v>916</v>
      </c>
      <c r="G139" s="29">
        <v>0</v>
      </c>
      <c r="H139" s="11">
        <v>47.9</v>
      </c>
      <c r="I139" s="11">
        <v>47.9</v>
      </c>
    </row>
    <row r="140" spans="1:9" x14ac:dyDescent="0.25">
      <c r="A140" s="113" t="s">
        <v>299</v>
      </c>
      <c r="B140" s="85" t="s">
        <v>303</v>
      </c>
      <c r="C140" s="82"/>
      <c r="D140" s="82"/>
      <c r="E140" s="82"/>
      <c r="F140" s="82"/>
      <c r="G140" s="82"/>
      <c r="H140" s="82"/>
      <c r="I140" s="82"/>
    </row>
    <row r="141" spans="1:9" x14ac:dyDescent="0.25">
      <c r="A141" s="114"/>
      <c r="B141" s="5" t="s">
        <v>299</v>
      </c>
      <c r="C141" s="3" t="s">
        <v>320</v>
      </c>
      <c r="D141" s="3" t="s">
        <v>546</v>
      </c>
      <c r="E141" s="36">
        <v>24</v>
      </c>
      <c r="F141" s="36" t="s">
        <v>916</v>
      </c>
      <c r="G141" s="29">
        <v>0</v>
      </c>
      <c r="H141" s="11">
        <v>64.900000000000006</v>
      </c>
      <c r="I141" s="11">
        <v>64.900000000000006</v>
      </c>
    </row>
    <row r="142" spans="1:9" x14ac:dyDescent="0.25">
      <c r="A142" s="113" t="s">
        <v>300</v>
      </c>
      <c r="B142" s="85" t="s">
        <v>304</v>
      </c>
      <c r="C142" s="82"/>
      <c r="D142" s="82"/>
      <c r="E142" s="82"/>
      <c r="F142" s="82"/>
      <c r="G142" s="82"/>
      <c r="H142" s="82"/>
      <c r="I142" s="82"/>
    </row>
    <row r="143" spans="1:9" x14ac:dyDescent="0.25">
      <c r="A143" s="114"/>
      <c r="B143" s="5" t="s">
        <v>300</v>
      </c>
      <c r="C143" s="3" t="s">
        <v>321</v>
      </c>
      <c r="D143" s="3" t="s">
        <v>546</v>
      </c>
      <c r="E143" s="36">
        <v>24</v>
      </c>
      <c r="F143" s="36" t="s">
        <v>916</v>
      </c>
      <c r="G143" s="29">
        <v>0</v>
      </c>
      <c r="H143" s="11">
        <v>84.9</v>
      </c>
      <c r="I143" s="11">
        <v>84.9</v>
      </c>
    </row>
    <row r="144" spans="1:9" x14ac:dyDescent="0.25">
      <c r="A144" s="113" t="s">
        <v>501</v>
      </c>
      <c r="B144" s="85" t="s">
        <v>502</v>
      </c>
      <c r="C144" s="82"/>
      <c r="D144" s="82"/>
      <c r="E144" s="82"/>
      <c r="F144" s="82"/>
      <c r="G144" s="82"/>
      <c r="H144" s="82"/>
      <c r="I144" s="82"/>
    </row>
    <row r="145" spans="1:9" x14ac:dyDescent="0.25">
      <c r="A145" s="114"/>
      <c r="B145" s="5" t="s">
        <v>501</v>
      </c>
      <c r="C145" s="3" t="s">
        <v>503</v>
      </c>
      <c r="D145" s="3" t="s">
        <v>546</v>
      </c>
      <c r="E145" s="36">
        <v>24</v>
      </c>
      <c r="F145" s="36" t="s">
        <v>916</v>
      </c>
      <c r="G145" s="29">
        <v>0</v>
      </c>
      <c r="H145" s="11">
        <v>35.9</v>
      </c>
      <c r="I145" s="11">
        <v>35.9</v>
      </c>
    </row>
    <row r="146" spans="1:9" x14ac:dyDescent="0.25">
      <c r="A146" s="113" t="s">
        <v>547</v>
      </c>
      <c r="B146" s="85" t="s">
        <v>548</v>
      </c>
      <c r="C146" s="82"/>
      <c r="D146" s="82"/>
      <c r="E146" s="82"/>
      <c r="F146" s="82"/>
      <c r="G146" s="82"/>
      <c r="H146" s="82"/>
      <c r="I146" s="82"/>
    </row>
    <row r="147" spans="1:9" x14ac:dyDescent="0.25">
      <c r="A147" s="114"/>
      <c r="B147" s="5" t="s">
        <v>547</v>
      </c>
      <c r="C147" s="3" t="s">
        <v>549</v>
      </c>
      <c r="D147" s="3" t="s">
        <v>546</v>
      </c>
      <c r="E147" s="36">
        <v>144</v>
      </c>
      <c r="F147" s="36" t="s">
        <v>916</v>
      </c>
      <c r="G147" s="29">
        <v>0</v>
      </c>
      <c r="H147" s="11">
        <v>17.899999999999999</v>
      </c>
      <c r="I147" s="11">
        <v>17.899999999999999</v>
      </c>
    </row>
    <row r="148" spans="1:9" x14ac:dyDescent="0.25">
      <c r="A148" s="113" t="s">
        <v>1227</v>
      </c>
      <c r="B148" s="85" t="s">
        <v>548</v>
      </c>
      <c r="C148" s="82"/>
      <c r="D148" s="82"/>
      <c r="E148" s="82"/>
      <c r="F148" s="82"/>
      <c r="G148" s="82"/>
      <c r="H148" s="82"/>
      <c r="I148" s="82"/>
    </row>
    <row r="149" spans="1:9" x14ac:dyDescent="0.25">
      <c r="A149" s="114"/>
      <c r="B149" s="5" t="s">
        <v>1227</v>
      </c>
      <c r="C149" s="3" t="s">
        <v>1281</v>
      </c>
      <c r="D149" s="3" t="s">
        <v>546</v>
      </c>
      <c r="E149" s="36">
        <v>144</v>
      </c>
      <c r="F149" s="36" t="s">
        <v>916</v>
      </c>
      <c r="G149" s="29">
        <v>0</v>
      </c>
      <c r="H149" s="11">
        <v>16.899999999999999</v>
      </c>
      <c r="I149" s="11">
        <v>16.899999999999999</v>
      </c>
    </row>
    <row r="150" spans="1:9" x14ac:dyDescent="0.25">
      <c r="A150" s="113" t="s">
        <v>1263</v>
      </c>
      <c r="B150" s="85" t="s">
        <v>502</v>
      </c>
      <c r="C150" s="82"/>
      <c r="D150" s="82"/>
      <c r="E150" s="82"/>
      <c r="F150" s="82"/>
      <c r="G150" s="82"/>
      <c r="H150" s="82"/>
      <c r="I150" s="82"/>
    </row>
    <row r="151" spans="1:9" x14ac:dyDescent="0.25">
      <c r="A151" s="114"/>
      <c r="B151" s="5" t="s">
        <v>1263</v>
      </c>
      <c r="C151" s="3" t="s">
        <v>1283</v>
      </c>
      <c r="D151" s="3" t="s">
        <v>546</v>
      </c>
      <c r="E151" s="36">
        <v>24</v>
      </c>
      <c r="F151" s="36" t="s">
        <v>916</v>
      </c>
      <c r="G151" s="29">
        <v>0</v>
      </c>
      <c r="H151" s="11">
        <v>35.9</v>
      </c>
      <c r="I151" s="11">
        <v>35.9</v>
      </c>
    </row>
    <row r="152" spans="1:9" x14ac:dyDescent="0.25">
      <c r="A152" s="113" t="s">
        <v>1264</v>
      </c>
      <c r="B152" s="85" t="s">
        <v>304</v>
      </c>
      <c r="C152" s="82"/>
      <c r="D152" s="82"/>
      <c r="E152" s="82"/>
      <c r="F152" s="82"/>
      <c r="G152" s="82"/>
      <c r="H152" s="82"/>
      <c r="I152" s="82"/>
    </row>
    <row r="153" spans="1:9" x14ac:dyDescent="0.25">
      <c r="A153" s="114"/>
      <c r="B153" s="5" t="s">
        <v>1264</v>
      </c>
      <c r="C153" s="3" t="s">
        <v>1284</v>
      </c>
      <c r="D153" s="3" t="s">
        <v>546</v>
      </c>
      <c r="E153" s="36">
        <v>24</v>
      </c>
      <c r="F153" s="36" t="s">
        <v>916</v>
      </c>
      <c r="G153" s="29">
        <v>0</v>
      </c>
      <c r="H153" s="11">
        <v>84.9</v>
      </c>
      <c r="I153" s="11">
        <v>84.9</v>
      </c>
    </row>
    <row r="154" spans="1:9" x14ac:dyDescent="0.25">
      <c r="A154" s="84" t="s">
        <v>484</v>
      </c>
      <c r="B154" s="83"/>
      <c r="C154" s="83"/>
      <c r="D154" s="83"/>
      <c r="E154" s="83"/>
      <c r="F154" s="83"/>
      <c r="G154" s="83"/>
      <c r="H154" s="83"/>
      <c r="I154" s="83"/>
    </row>
    <row r="155" spans="1:9" x14ac:dyDescent="0.25">
      <c r="A155" s="113" t="s">
        <v>36</v>
      </c>
      <c r="B155" s="85" t="s">
        <v>187</v>
      </c>
      <c r="C155" s="82"/>
      <c r="D155" s="82"/>
      <c r="E155" s="82"/>
      <c r="F155" s="82"/>
      <c r="G155" s="82"/>
      <c r="H155" s="82"/>
      <c r="I155" s="82"/>
    </row>
    <row r="156" spans="1:9" x14ac:dyDescent="0.25">
      <c r="A156" s="114"/>
      <c r="B156" s="5" t="s">
        <v>36</v>
      </c>
      <c r="C156" s="3" t="s">
        <v>353</v>
      </c>
      <c r="D156" s="3" t="s">
        <v>546</v>
      </c>
      <c r="E156" s="36">
        <v>1</v>
      </c>
      <c r="F156" s="36" t="s">
        <v>916</v>
      </c>
      <c r="G156" s="29">
        <v>0</v>
      </c>
      <c r="H156" s="11">
        <v>111.9</v>
      </c>
      <c r="I156" s="11">
        <v>111.9</v>
      </c>
    </row>
    <row r="157" spans="1:9" x14ac:dyDescent="0.25">
      <c r="A157" s="114"/>
      <c r="B157" s="6" t="s">
        <v>138</v>
      </c>
      <c r="C157" s="4" t="s">
        <v>584</v>
      </c>
      <c r="D157" s="4" t="s">
        <v>562</v>
      </c>
      <c r="E157" s="41">
        <v>1</v>
      </c>
      <c r="F157" s="41" t="s">
        <v>916</v>
      </c>
      <c r="G157" s="30">
        <v>0</v>
      </c>
      <c r="H157" s="12">
        <v>111.9</v>
      </c>
      <c r="I157" s="12">
        <v>111.9</v>
      </c>
    </row>
    <row r="158" spans="1:9" x14ac:dyDescent="0.25">
      <c r="A158" s="113" t="s">
        <v>35</v>
      </c>
      <c r="B158" s="85" t="s">
        <v>186</v>
      </c>
      <c r="C158" s="82"/>
      <c r="D158" s="82"/>
      <c r="E158" s="82"/>
      <c r="F158" s="82"/>
      <c r="G158" s="82"/>
      <c r="H158" s="82"/>
      <c r="I158" s="82"/>
    </row>
    <row r="159" spans="1:9" x14ac:dyDescent="0.25">
      <c r="A159" s="114"/>
      <c r="B159" s="5" t="s">
        <v>35</v>
      </c>
      <c r="C159" s="3" t="s">
        <v>350</v>
      </c>
      <c r="D159" s="3" t="s">
        <v>572</v>
      </c>
      <c r="E159" s="36">
        <v>1</v>
      </c>
      <c r="F159" s="36" t="s">
        <v>916</v>
      </c>
      <c r="G159" s="29">
        <v>0</v>
      </c>
      <c r="H159" s="11">
        <v>126.9</v>
      </c>
      <c r="I159" s="11">
        <v>126.9</v>
      </c>
    </row>
    <row r="160" spans="1:9" x14ac:dyDescent="0.25">
      <c r="A160" s="114"/>
      <c r="B160" s="6" t="s">
        <v>139</v>
      </c>
      <c r="C160" s="4" t="s">
        <v>351</v>
      </c>
      <c r="D160" s="4" t="s">
        <v>571</v>
      </c>
      <c r="E160" s="41">
        <v>1</v>
      </c>
      <c r="F160" s="41" t="s">
        <v>916</v>
      </c>
      <c r="G160" s="30">
        <v>0</v>
      </c>
      <c r="H160" s="12">
        <v>126.9</v>
      </c>
      <c r="I160" s="12">
        <v>126.9</v>
      </c>
    </row>
    <row r="161" spans="1:9" x14ac:dyDescent="0.25">
      <c r="A161" s="114"/>
      <c r="B161" s="6" t="s">
        <v>137</v>
      </c>
      <c r="C161" s="4" t="s">
        <v>583</v>
      </c>
      <c r="D161" s="4" t="s">
        <v>562</v>
      </c>
      <c r="E161" s="41">
        <v>1</v>
      </c>
      <c r="F161" s="41" t="s">
        <v>916</v>
      </c>
      <c r="G161" s="30">
        <v>0</v>
      </c>
      <c r="H161" s="12">
        <v>126.9</v>
      </c>
      <c r="I161" s="12">
        <v>126.9</v>
      </c>
    </row>
    <row r="162" spans="1:9" x14ac:dyDescent="0.25">
      <c r="A162" s="114"/>
      <c r="B162" s="6" t="s">
        <v>581</v>
      </c>
      <c r="C162" s="4" t="s">
        <v>582</v>
      </c>
      <c r="D162" s="4" t="s">
        <v>575</v>
      </c>
      <c r="E162" s="41" t="s">
        <v>546</v>
      </c>
      <c r="F162" s="41" t="s">
        <v>916</v>
      </c>
      <c r="G162" s="30">
        <v>0</v>
      </c>
      <c r="H162" s="12">
        <v>126.9</v>
      </c>
      <c r="I162" s="12">
        <v>126.9</v>
      </c>
    </row>
    <row r="163" spans="1:9" x14ac:dyDescent="0.25">
      <c r="A163" s="114"/>
      <c r="B163" s="6" t="s">
        <v>1093</v>
      </c>
      <c r="C163" s="4" t="s">
        <v>352</v>
      </c>
      <c r="D163" s="4" t="s">
        <v>1091</v>
      </c>
      <c r="E163" s="41">
        <v>1</v>
      </c>
      <c r="F163" s="41" t="s">
        <v>916</v>
      </c>
      <c r="G163" s="30">
        <v>0</v>
      </c>
      <c r="H163" s="12">
        <v>126.9</v>
      </c>
      <c r="I163" s="12">
        <v>126.9</v>
      </c>
    </row>
    <row r="164" spans="1:9" x14ac:dyDescent="0.25">
      <c r="A164" s="113" t="s">
        <v>31</v>
      </c>
      <c r="B164" s="85" t="s">
        <v>185</v>
      </c>
      <c r="C164" s="82"/>
      <c r="D164" s="82"/>
      <c r="E164" s="82"/>
      <c r="F164" s="82"/>
      <c r="G164" s="82"/>
      <c r="H164" s="82"/>
      <c r="I164" s="82"/>
    </row>
    <row r="165" spans="1:9" x14ac:dyDescent="0.25">
      <c r="A165" s="114"/>
      <c r="B165" s="5" t="s">
        <v>31</v>
      </c>
      <c r="C165" s="3" t="s">
        <v>347</v>
      </c>
      <c r="D165" s="3" t="s">
        <v>572</v>
      </c>
      <c r="E165" s="36">
        <v>1</v>
      </c>
      <c r="F165" s="36" t="s">
        <v>916</v>
      </c>
      <c r="G165" s="29">
        <v>0</v>
      </c>
      <c r="H165" s="11">
        <v>210.9</v>
      </c>
      <c r="I165" s="11">
        <v>210.9</v>
      </c>
    </row>
    <row r="166" spans="1:9" x14ac:dyDescent="0.25">
      <c r="A166" s="114"/>
      <c r="B166" s="6" t="s">
        <v>160</v>
      </c>
      <c r="C166" s="4" t="s">
        <v>348</v>
      </c>
      <c r="D166" s="4" t="s">
        <v>571</v>
      </c>
      <c r="E166" s="41">
        <v>1</v>
      </c>
      <c r="F166" s="41" t="s">
        <v>916</v>
      </c>
      <c r="G166" s="30">
        <v>0</v>
      </c>
      <c r="H166" s="12">
        <v>210.9</v>
      </c>
      <c r="I166" s="12">
        <v>210.9</v>
      </c>
    </row>
    <row r="167" spans="1:9" x14ac:dyDescent="0.25">
      <c r="A167" s="114"/>
      <c r="B167" s="6" t="s">
        <v>136</v>
      </c>
      <c r="C167" s="4" t="s">
        <v>580</v>
      </c>
      <c r="D167" s="4" t="s">
        <v>562</v>
      </c>
      <c r="E167" s="41">
        <v>1</v>
      </c>
      <c r="F167" s="41" t="s">
        <v>916</v>
      </c>
      <c r="G167" s="30">
        <v>0</v>
      </c>
      <c r="H167" s="12">
        <v>210.9</v>
      </c>
      <c r="I167" s="12">
        <v>210.9</v>
      </c>
    </row>
    <row r="168" spans="1:9" x14ac:dyDescent="0.25">
      <c r="A168" s="114"/>
      <c r="B168" s="6" t="s">
        <v>578</v>
      </c>
      <c r="C168" s="4" t="s">
        <v>579</v>
      </c>
      <c r="D168" s="4" t="s">
        <v>575</v>
      </c>
      <c r="E168" s="41" t="s">
        <v>546</v>
      </c>
      <c r="F168" s="41" t="s">
        <v>916</v>
      </c>
      <c r="G168" s="30">
        <v>0</v>
      </c>
      <c r="H168" s="12">
        <v>210.9</v>
      </c>
      <c r="I168" s="12">
        <v>210.9</v>
      </c>
    </row>
    <row r="169" spans="1:9" x14ac:dyDescent="0.25">
      <c r="A169" s="114"/>
      <c r="B169" s="6" t="s">
        <v>1092</v>
      </c>
      <c r="C169" s="4" t="s">
        <v>349</v>
      </c>
      <c r="D169" s="4" t="s">
        <v>1091</v>
      </c>
      <c r="E169" s="41">
        <v>1</v>
      </c>
      <c r="F169" s="41" t="s">
        <v>916</v>
      </c>
      <c r="G169" s="30">
        <v>0</v>
      </c>
      <c r="H169" s="12">
        <v>210.9</v>
      </c>
      <c r="I169" s="12">
        <v>210.9</v>
      </c>
    </row>
    <row r="170" spans="1:9" x14ac:dyDescent="0.25">
      <c r="A170" s="113" t="s">
        <v>20</v>
      </c>
      <c r="B170" s="85" t="s">
        <v>183</v>
      </c>
      <c r="C170" s="82"/>
      <c r="D170" s="82"/>
      <c r="E170" s="82"/>
      <c r="F170" s="82"/>
      <c r="G170" s="82"/>
      <c r="H170" s="82"/>
      <c r="I170" s="82"/>
    </row>
    <row r="171" spans="1:9" x14ac:dyDescent="0.25">
      <c r="A171" s="114"/>
      <c r="B171" s="5" t="s">
        <v>20</v>
      </c>
      <c r="C171" s="3" t="s">
        <v>343</v>
      </c>
      <c r="D171" s="3" t="s">
        <v>572</v>
      </c>
      <c r="E171" s="36">
        <v>1</v>
      </c>
      <c r="F171" s="36" t="s">
        <v>916</v>
      </c>
      <c r="G171" s="29">
        <v>0</v>
      </c>
      <c r="H171" s="11">
        <v>495.9</v>
      </c>
      <c r="I171" s="11">
        <v>495.9</v>
      </c>
    </row>
    <row r="172" spans="1:9" x14ac:dyDescent="0.25">
      <c r="A172" s="114"/>
      <c r="B172" s="6" t="s">
        <v>135</v>
      </c>
      <c r="C172" s="4" t="s">
        <v>345</v>
      </c>
      <c r="D172" s="4" t="s">
        <v>562</v>
      </c>
      <c r="E172" s="41">
        <v>1</v>
      </c>
      <c r="F172" s="41" t="s">
        <v>916</v>
      </c>
      <c r="G172" s="30">
        <v>0</v>
      </c>
      <c r="H172" s="12">
        <v>495.9</v>
      </c>
      <c r="I172" s="12">
        <v>495.9</v>
      </c>
    </row>
    <row r="173" spans="1:9" x14ac:dyDescent="0.25">
      <c r="A173" s="114"/>
      <c r="B173" s="6" t="s">
        <v>1086</v>
      </c>
      <c r="C173" s="4" t="s">
        <v>344</v>
      </c>
      <c r="D173" s="4" t="s">
        <v>1091</v>
      </c>
      <c r="E173" s="41" t="s">
        <v>546</v>
      </c>
      <c r="F173" s="41" t="s">
        <v>916</v>
      </c>
      <c r="G173" s="30">
        <v>0</v>
      </c>
      <c r="H173" s="12">
        <v>495.9</v>
      </c>
      <c r="I173" s="12">
        <v>495.9</v>
      </c>
    </row>
    <row r="174" spans="1:9" x14ac:dyDescent="0.25">
      <c r="A174" s="113" t="s">
        <v>10</v>
      </c>
      <c r="B174" s="85" t="s">
        <v>174</v>
      </c>
      <c r="C174" s="82"/>
      <c r="D174" s="82"/>
      <c r="E174" s="82"/>
      <c r="F174" s="82"/>
      <c r="G174" s="82"/>
      <c r="H174" s="82"/>
      <c r="I174" s="82"/>
    </row>
    <row r="175" spans="1:9" x14ac:dyDescent="0.25">
      <c r="A175" s="114"/>
      <c r="B175" s="5" t="s">
        <v>10</v>
      </c>
      <c r="C175" s="3" t="s">
        <v>331</v>
      </c>
      <c r="D175" s="3" t="s">
        <v>572</v>
      </c>
      <c r="E175" s="36">
        <v>1</v>
      </c>
      <c r="F175" s="36" t="s">
        <v>916</v>
      </c>
      <c r="G175" s="29">
        <v>0</v>
      </c>
      <c r="H175" s="11">
        <v>296.89999999999998</v>
      </c>
      <c r="I175" s="11">
        <v>296.89999999999998</v>
      </c>
    </row>
    <row r="176" spans="1:9" x14ac:dyDescent="0.25">
      <c r="A176" s="114"/>
      <c r="B176" s="6" t="s">
        <v>134</v>
      </c>
      <c r="C176" s="4" t="s">
        <v>333</v>
      </c>
      <c r="D176" s="4" t="s">
        <v>562</v>
      </c>
      <c r="E176" s="41">
        <v>1</v>
      </c>
      <c r="F176" s="41" t="s">
        <v>916</v>
      </c>
      <c r="G176" s="30">
        <v>0</v>
      </c>
      <c r="H176" s="12">
        <v>296.89999999999998</v>
      </c>
      <c r="I176" s="12">
        <v>296.89999999999998</v>
      </c>
    </row>
    <row r="177" spans="1:9" x14ac:dyDescent="0.25">
      <c r="A177" s="114"/>
      <c r="B177" s="6" t="s">
        <v>1087</v>
      </c>
      <c r="C177" s="4" t="s">
        <v>332</v>
      </c>
      <c r="D177" s="4" t="s">
        <v>1091</v>
      </c>
      <c r="E177" s="41" t="s">
        <v>546</v>
      </c>
      <c r="F177" s="41" t="s">
        <v>916</v>
      </c>
      <c r="G177" s="30">
        <v>0</v>
      </c>
      <c r="H177" s="12">
        <v>296.89999999999998</v>
      </c>
      <c r="I177" s="12">
        <v>296.89999999999998</v>
      </c>
    </row>
    <row r="178" spans="1:9" x14ac:dyDescent="0.25">
      <c r="A178" s="113" t="s">
        <v>9</v>
      </c>
      <c r="B178" s="85" t="s">
        <v>173</v>
      </c>
      <c r="C178" s="82"/>
      <c r="D178" s="82"/>
      <c r="E178" s="82"/>
      <c r="F178" s="82"/>
      <c r="G178" s="82"/>
      <c r="H178" s="82"/>
      <c r="I178" s="82"/>
    </row>
    <row r="179" spans="1:9" x14ac:dyDescent="0.25">
      <c r="A179" s="114"/>
      <c r="B179" s="5" t="s">
        <v>9</v>
      </c>
      <c r="C179" s="3" t="s">
        <v>328</v>
      </c>
      <c r="D179" s="3" t="s">
        <v>572</v>
      </c>
      <c r="E179" s="36">
        <v>1</v>
      </c>
      <c r="F179" s="36" t="s">
        <v>916</v>
      </c>
      <c r="G179" s="29">
        <v>0</v>
      </c>
      <c r="H179" s="11">
        <v>482.9</v>
      </c>
      <c r="I179" s="11">
        <v>482.9</v>
      </c>
    </row>
    <row r="180" spans="1:9" x14ac:dyDescent="0.25">
      <c r="A180" s="114"/>
      <c r="B180" s="6" t="s">
        <v>133</v>
      </c>
      <c r="C180" s="4" t="s">
        <v>330</v>
      </c>
      <c r="D180" s="4" t="s">
        <v>562</v>
      </c>
      <c r="E180" s="41">
        <v>1</v>
      </c>
      <c r="F180" s="41" t="s">
        <v>916</v>
      </c>
      <c r="G180" s="30">
        <v>0</v>
      </c>
      <c r="H180" s="12">
        <v>482.9</v>
      </c>
      <c r="I180" s="12">
        <v>482.9</v>
      </c>
    </row>
    <row r="181" spans="1:9" x14ac:dyDescent="0.25">
      <c r="A181" s="114"/>
      <c r="B181" s="6" t="s">
        <v>1088</v>
      </c>
      <c r="C181" s="4" t="s">
        <v>329</v>
      </c>
      <c r="D181" s="4" t="s">
        <v>1091</v>
      </c>
      <c r="E181" s="41">
        <v>1</v>
      </c>
      <c r="F181" s="41" t="s">
        <v>916</v>
      </c>
      <c r="G181" s="30">
        <v>0</v>
      </c>
      <c r="H181" s="12">
        <v>482.9</v>
      </c>
      <c r="I181" s="12">
        <v>482.9</v>
      </c>
    </row>
    <row r="182" spans="1:9" x14ac:dyDescent="0.25">
      <c r="A182" s="113" t="s">
        <v>8</v>
      </c>
      <c r="B182" s="85" t="s">
        <v>172</v>
      </c>
      <c r="C182" s="82"/>
      <c r="D182" s="82"/>
      <c r="E182" s="82"/>
      <c r="F182" s="82"/>
      <c r="G182" s="82"/>
      <c r="H182" s="82"/>
      <c r="I182" s="82"/>
    </row>
    <row r="183" spans="1:9" x14ac:dyDescent="0.25">
      <c r="A183" s="114"/>
      <c r="B183" s="5" t="s">
        <v>8</v>
      </c>
      <c r="C183" s="3" t="s">
        <v>325</v>
      </c>
      <c r="D183" s="3" t="s">
        <v>572</v>
      </c>
      <c r="E183" s="36">
        <v>1</v>
      </c>
      <c r="F183" s="36" t="s">
        <v>916</v>
      </c>
      <c r="G183" s="29">
        <v>0</v>
      </c>
      <c r="H183" s="11">
        <v>1239.9000000000001</v>
      </c>
      <c r="I183" s="11">
        <v>1239.9000000000001</v>
      </c>
    </row>
    <row r="184" spans="1:9" x14ac:dyDescent="0.25">
      <c r="A184" s="114"/>
      <c r="B184" s="6" t="s">
        <v>132</v>
      </c>
      <c r="C184" s="4" t="s">
        <v>327</v>
      </c>
      <c r="D184" s="4" t="s">
        <v>562</v>
      </c>
      <c r="E184" s="41">
        <v>1</v>
      </c>
      <c r="F184" s="41" t="s">
        <v>916</v>
      </c>
      <c r="G184" s="30">
        <v>0</v>
      </c>
      <c r="H184" s="12">
        <v>1239.9000000000001</v>
      </c>
      <c r="I184" s="12">
        <v>1239.9000000000001</v>
      </c>
    </row>
    <row r="185" spans="1:9" x14ac:dyDescent="0.25">
      <c r="A185" s="114"/>
      <c r="B185" s="6" t="s">
        <v>576</v>
      </c>
      <c r="C185" s="4" t="s">
        <v>577</v>
      </c>
      <c r="D185" s="4" t="s">
        <v>575</v>
      </c>
      <c r="E185" s="41" t="s">
        <v>546</v>
      </c>
      <c r="F185" s="41" t="s">
        <v>916</v>
      </c>
      <c r="G185" s="30">
        <v>0</v>
      </c>
      <c r="H185" s="12">
        <v>1239.9000000000001</v>
      </c>
      <c r="I185" s="12">
        <v>1239.9000000000001</v>
      </c>
    </row>
    <row r="186" spans="1:9" x14ac:dyDescent="0.25">
      <c r="A186" s="114"/>
      <c r="B186" s="6" t="s">
        <v>1089</v>
      </c>
      <c r="C186" s="4" t="s">
        <v>326</v>
      </c>
      <c r="D186" s="4" t="s">
        <v>1091</v>
      </c>
      <c r="E186" s="41">
        <v>1</v>
      </c>
      <c r="F186" s="41" t="s">
        <v>916</v>
      </c>
      <c r="G186" s="30">
        <v>0</v>
      </c>
      <c r="H186" s="12">
        <v>1239.9000000000001</v>
      </c>
      <c r="I186" s="12">
        <v>1239.9000000000001</v>
      </c>
    </row>
    <row r="187" spans="1:9" x14ac:dyDescent="0.25">
      <c r="A187" s="113" t="s">
        <v>7</v>
      </c>
      <c r="B187" s="85" t="s">
        <v>171</v>
      </c>
      <c r="C187" s="82"/>
      <c r="D187" s="82"/>
      <c r="E187" s="82"/>
      <c r="F187" s="82"/>
      <c r="G187" s="82"/>
      <c r="H187" s="82"/>
      <c r="I187" s="82"/>
    </row>
    <row r="188" spans="1:9" x14ac:dyDescent="0.25">
      <c r="A188" s="114"/>
      <c r="B188" s="5" t="s">
        <v>7</v>
      </c>
      <c r="C188" s="3" t="s">
        <v>322</v>
      </c>
      <c r="D188" s="3" t="s">
        <v>572</v>
      </c>
      <c r="E188" s="36">
        <v>1</v>
      </c>
      <c r="F188" s="36" t="s">
        <v>916</v>
      </c>
      <c r="G188" s="29">
        <v>0</v>
      </c>
      <c r="H188" s="11">
        <v>1859.9</v>
      </c>
      <c r="I188" s="11">
        <v>1859.9</v>
      </c>
    </row>
    <row r="189" spans="1:9" x14ac:dyDescent="0.25">
      <c r="A189" s="114"/>
      <c r="B189" s="6" t="s">
        <v>131</v>
      </c>
      <c r="C189" s="4" t="s">
        <v>324</v>
      </c>
      <c r="D189" s="4" t="s">
        <v>562</v>
      </c>
      <c r="E189" s="41">
        <v>1</v>
      </c>
      <c r="F189" s="41" t="s">
        <v>916</v>
      </c>
      <c r="G189" s="30">
        <v>0</v>
      </c>
      <c r="H189" s="12">
        <v>1859.9</v>
      </c>
      <c r="I189" s="12">
        <v>1859.9</v>
      </c>
    </row>
    <row r="190" spans="1:9" x14ac:dyDescent="0.25">
      <c r="A190" s="114"/>
      <c r="B190" s="6" t="s">
        <v>573</v>
      </c>
      <c r="C190" s="4" t="s">
        <v>574</v>
      </c>
      <c r="D190" s="4" t="s">
        <v>575</v>
      </c>
      <c r="E190" s="41" t="s">
        <v>546</v>
      </c>
      <c r="F190" s="41" t="s">
        <v>916</v>
      </c>
      <c r="G190" s="30">
        <v>0</v>
      </c>
      <c r="H190" s="12">
        <v>1859.9</v>
      </c>
      <c r="I190" s="12">
        <v>1859.9</v>
      </c>
    </row>
    <row r="191" spans="1:9" x14ac:dyDescent="0.25">
      <c r="A191" s="114"/>
      <c r="B191" s="6" t="s">
        <v>1090</v>
      </c>
      <c r="C191" s="4" t="s">
        <v>323</v>
      </c>
      <c r="D191" s="4" t="s">
        <v>1091</v>
      </c>
      <c r="E191" s="41">
        <v>1</v>
      </c>
      <c r="F191" s="41" t="s">
        <v>916</v>
      </c>
      <c r="G191" s="30">
        <v>0</v>
      </c>
      <c r="H191" s="12">
        <v>1859.9</v>
      </c>
      <c r="I191" s="12">
        <v>1859.9</v>
      </c>
    </row>
    <row r="192" spans="1:9" x14ac:dyDescent="0.25">
      <c r="A192" s="113" t="s">
        <v>16</v>
      </c>
      <c r="B192" s="85" t="s">
        <v>179</v>
      </c>
      <c r="C192" s="82"/>
      <c r="D192" s="82"/>
      <c r="E192" s="82"/>
      <c r="F192" s="82"/>
      <c r="G192" s="82"/>
      <c r="H192" s="82"/>
      <c r="I192" s="82"/>
    </row>
    <row r="193" spans="1:9" x14ac:dyDescent="0.25">
      <c r="A193" s="114"/>
      <c r="B193" s="5" t="s">
        <v>16</v>
      </c>
      <c r="C193" s="3" t="s">
        <v>339</v>
      </c>
      <c r="D193" s="3" t="s">
        <v>546</v>
      </c>
      <c r="E193" s="36">
        <v>1</v>
      </c>
      <c r="F193" s="36" t="s">
        <v>916</v>
      </c>
      <c r="G193" s="29">
        <v>0</v>
      </c>
      <c r="H193" s="11">
        <v>148.9</v>
      </c>
      <c r="I193" s="11">
        <v>148.9</v>
      </c>
    </row>
    <row r="194" spans="1:9" x14ac:dyDescent="0.25">
      <c r="A194" s="113" t="s">
        <v>17</v>
      </c>
      <c r="B194" s="85" t="s">
        <v>180</v>
      </c>
      <c r="C194" s="82"/>
      <c r="D194" s="82"/>
      <c r="E194" s="82"/>
      <c r="F194" s="82"/>
      <c r="G194" s="82"/>
      <c r="H194" s="82"/>
      <c r="I194" s="82"/>
    </row>
    <row r="195" spans="1:9" x14ac:dyDescent="0.25">
      <c r="A195" s="114"/>
      <c r="B195" s="5" t="s">
        <v>17</v>
      </c>
      <c r="C195" s="3" t="s">
        <v>340</v>
      </c>
      <c r="D195" s="3" t="s">
        <v>546</v>
      </c>
      <c r="E195" s="36">
        <v>1</v>
      </c>
      <c r="F195" s="36" t="s">
        <v>916</v>
      </c>
      <c r="G195" s="29">
        <v>0</v>
      </c>
      <c r="H195" s="11">
        <v>247.9</v>
      </c>
      <c r="I195" s="11">
        <v>247.9</v>
      </c>
    </row>
    <row r="196" spans="1:9" x14ac:dyDescent="0.25">
      <c r="A196" s="113" t="s">
        <v>18</v>
      </c>
      <c r="B196" s="85" t="s">
        <v>181</v>
      </c>
      <c r="C196" s="82"/>
      <c r="D196" s="82"/>
      <c r="E196" s="82"/>
      <c r="F196" s="82"/>
      <c r="G196" s="82"/>
      <c r="H196" s="82"/>
      <c r="I196" s="82"/>
    </row>
    <row r="197" spans="1:9" x14ac:dyDescent="0.25">
      <c r="A197" s="114"/>
      <c r="B197" s="5" t="s">
        <v>18</v>
      </c>
      <c r="C197" s="3" t="s">
        <v>341</v>
      </c>
      <c r="D197" s="3" t="s">
        <v>546</v>
      </c>
      <c r="E197" s="36">
        <v>1</v>
      </c>
      <c r="F197" s="36" t="s">
        <v>916</v>
      </c>
      <c r="G197" s="29">
        <v>0</v>
      </c>
      <c r="H197" s="11">
        <v>284.89999999999998</v>
      </c>
      <c r="I197" s="11">
        <v>284.89999999999998</v>
      </c>
    </row>
    <row r="198" spans="1:9" x14ac:dyDescent="0.25">
      <c r="A198" s="113" t="s">
        <v>19</v>
      </c>
      <c r="B198" s="85" t="s">
        <v>182</v>
      </c>
      <c r="C198" s="82"/>
      <c r="D198" s="82"/>
      <c r="E198" s="82"/>
      <c r="F198" s="82"/>
      <c r="G198" s="82"/>
      <c r="H198" s="82"/>
      <c r="I198" s="82"/>
    </row>
    <row r="199" spans="1:9" x14ac:dyDescent="0.25">
      <c r="A199" s="114"/>
      <c r="B199" s="5" t="s">
        <v>19</v>
      </c>
      <c r="C199" s="3" t="s">
        <v>342</v>
      </c>
      <c r="D199" s="3" t="s">
        <v>546</v>
      </c>
      <c r="E199" s="36">
        <v>1</v>
      </c>
      <c r="F199" s="36" t="s">
        <v>916</v>
      </c>
      <c r="G199" s="29">
        <v>0</v>
      </c>
      <c r="H199" s="11">
        <v>334.9</v>
      </c>
      <c r="I199" s="11">
        <v>334.9</v>
      </c>
    </row>
    <row r="200" spans="1:9" x14ac:dyDescent="0.25">
      <c r="A200" s="113" t="s">
        <v>34</v>
      </c>
      <c r="B200" s="85" t="s">
        <v>184</v>
      </c>
      <c r="C200" s="82"/>
      <c r="D200" s="82"/>
      <c r="E200" s="82"/>
      <c r="F200" s="82"/>
      <c r="G200" s="82"/>
      <c r="H200" s="82"/>
      <c r="I200" s="82"/>
    </row>
    <row r="201" spans="1:9" x14ac:dyDescent="0.25">
      <c r="A201" s="114"/>
      <c r="B201" s="5" t="s">
        <v>34</v>
      </c>
      <c r="C201" s="3" t="s">
        <v>346</v>
      </c>
      <c r="D201" s="3" t="s">
        <v>572</v>
      </c>
      <c r="E201" s="36">
        <v>1</v>
      </c>
      <c r="F201" s="36" t="s">
        <v>916</v>
      </c>
      <c r="G201" s="29">
        <v>0</v>
      </c>
      <c r="H201" s="11">
        <v>38.9</v>
      </c>
      <c r="I201" s="11">
        <v>38.9</v>
      </c>
    </row>
    <row r="202" spans="1:9" x14ac:dyDescent="0.25">
      <c r="A202" s="113" t="s">
        <v>50</v>
      </c>
      <c r="B202" s="85" t="s">
        <v>189</v>
      </c>
      <c r="C202" s="82"/>
      <c r="D202" s="82"/>
      <c r="E202" s="82"/>
      <c r="F202" s="82"/>
      <c r="G202" s="82"/>
      <c r="H202" s="82"/>
      <c r="I202" s="82"/>
    </row>
    <row r="203" spans="1:9" x14ac:dyDescent="0.25">
      <c r="A203" s="114"/>
      <c r="B203" s="5" t="s">
        <v>50</v>
      </c>
      <c r="C203" s="3" t="s">
        <v>355</v>
      </c>
      <c r="D203" s="3" t="s">
        <v>546</v>
      </c>
      <c r="E203" s="36">
        <v>1</v>
      </c>
      <c r="F203" s="36" t="s">
        <v>916</v>
      </c>
      <c r="G203" s="29">
        <v>0</v>
      </c>
      <c r="H203" s="11">
        <v>86.9</v>
      </c>
      <c r="I203" s="11">
        <v>86.9</v>
      </c>
    </row>
    <row r="204" spans="1:9" x14ac:dyDescent="0.25">
      <c r="A204" s="113" t="s">
        <v>1244</v>
      </c>
      <c r="B204" s="1" t="s">
        <v>1342</v>
      </c>
      <c r="H204"/>
      <c r="I204"/>
    </row>
    <row r="205" spans="1:9" x14ac:dyDescent="0.25">
      <c r="A205" s="114"/>
      <c r="B205" s="5" t="s">
        <v>1244</v>
      </c>
      <c r="C205" s="3" t="s">
        <v>1270</v>
      </c>
      <c r="D205" s="3" t="s">
        <v>546</v>
      </c>
      <c r="E205" s="36">
        <v>1</v>
      </c>
      <c r="F205" s="36" t="s">
        <v>916</v>
      </c>
      <c r="G205" s="29">
        <v>0</v>
      </c>
      <c r="H205" s="11">
        <v>79.900000000000006</v>
      </c>
      <c r="I205" s="11">
        <v>79.900000000000006</v>
      </c>
    </row>
    <row r="206" spans="1:9" x14ac:dyDescent="0.25">
      <c r="A206" s="113" t="s">
        <v>1426</v>
      </c>
      <c r="B206" s="1" t="s">
        <v>1427</v>
      </c>
      <c r="H206"/>
      <c r="I206"/>
    </row>
    <row r="207" spans="1:9" x14ac:dyDescent="0.25">
      <c r="A207" s="114"/>
      <c r="B207" s="5" t="s">
        <v>1426</v>
      </c>
      <c r="C207" s="3" t="s">
        <v>1428</v>
      </c>
      <c r="D207" s="3" t="s">
        <v>546</v>
      </c>
      <c r="E207" s="36" t="s">
        <v>546</v>
      </c>
      <c r="F207" s="36" t="s">
        <v>916</v>
      </c>
      <c r="G207" s="29">
        <v>0</v>
      </c>
      <c r="H207" s="11">
        <v>63.9</v>
      </c>
      <c r="I207" s="11">
        <v>63.9</v>
      </c>
    </row>
    <row r="208" spans="1:9" x14ac:dyDescent="0.25">
      <c r="A208" s="113" t="s">
        <v>1651</v>
      </c>
      <c r="B208" s="1" t="s">
        <v>1652</v>
      </c>
      <c r="H208"/>
      <c r="I208"/>
    </row>
    <row r="209" spans="1:9" x14ac:dyDescent="0.25">
      <c r="A209" s="114"/>
      <c r="B209" s="5" t="s">
        <v>1651</v>
      </c>
      <c r="C209" s="3" t="s">
        <v>1653</v>
      </c>
      <c r="D209" s="3" t="s">
        <v>546</v>
      </c>
      <c r="E209" s="36" t="s">
        <v>546</v>
      </c>
      <c r="F209" s="36" t="s">
        <v>916</v>
      </c>
      <c r="G209" s="29">
        <v>0</v>
      </c>
      <c r="H209" s="11">
        <v>39.9</v>
      </c>
      <c r="I209" s="11">
        <v>39.9</v>
      </c>
    </row>
    <row r="210" spans="1:9" x14ac:dyDescent="0.25">
      <c r="A210" s="84" t="s">
        <v>505</v>
      </c>
      <c r="B210" s="83"/>
      <c r="C210" s="83"/>
      <c r="D210" s="83"/>
      <c r="E210" s="83"/>
      <c r="F210" s="83"/>
      <c r="G210" s="83"/>
      <c r="H210" s="83"/>
      <c r="I210" s="83"/>
    </row>
    <row r="211" spans="1:9" x14ac:dyDescent="0.25">
      <c r="A211" s="113" t="s">
        <v>504</v>
      </c>
      <c r="B211" s="85" t="s">
        <v>911</v>
      </c>
      <c r="C211" s="82"/>
      <c r="D211" s="82"/>
      <c r="E211" s="82"/>
      <c r="F211" s="82"/>
      <c r="G211" s="82"/>
      <c r="H211" s="82"/>
      <c r="I211" s="82"/>
    </row>
    <row r="212" spans="1:9" x14ac:dyDescent="0.25">
      <c r="A212" s="114"/>
      <c r="B212" s="5" t="s">
        <v>504</v>
      </c>
      <c r="C212" s="3" t="s">
        <v>507</v>
      </c>
      <c r="D212" s="3" t="s">
        <v>572</v>
      </c>
      <c r="E212" s="36">
        <v>1</v>
      </c>
      <c r="F212" s="36" t="s">
        <v>924</v>
      </c>
      <c r="G212" s="29">
        <v>0</v>
      </c>
      <c r="H212" s="11">
        <v>729.9</v>
      </c>
      <c r="I212" s="11">
        <v>729.9</v>
      </c>
    </row>
    <row r="213" spans="1:9" x14ac:dyDescent="0.25">
      <c r="A213" s="114"/>
      <c r="B213" s="6" t="s">
        <v>925</v>
      </c>
      <c r="C213" s="4" t="s">
        <v>926</v>
      </c>
      <c r="D213" s="4" t="s">
        <v>903</v>
      </c>
      <c r="E213" s="41">
        <v>1</v>
      </c>
      <c r="F213" s="41" t="s">
        <v>924</v>
      </c>
      <c r="G213" s="30">
        <v>0</v>
      </c>
      <c r="H213" s="12">
        <v>729.9</v>
      </c>
      <c r="I213" s="12">
        <v>729.9</v>
      </c>
    </row>
    <row r="214" spans="1:9" x14ac:dyDescent="0.25">
      <c r="A214" s="113" t="s">
        <v>506</v>
      </c>
      <c r="B214" s="85" t="s">
        <v>912</v>
      </c>
      <c r="C214" s="82"/>
      <c r="D214" s="82"/>
      <c r="E214" s="82"/>
      <c r="F214" s="82"/>
      <c r="G214" s="82"/>
      <c r="H214" s="82"/>
      <c r="I214" s="82"/>
    </row>
    <row r="215" spans="1:9" x14ac:dyDescent="0.25">
      <c r="A215" s="114"/>
      <c r="B215" s="5" t="s">
        <v>506</v>
      </c>
      <c r="C215" s="3" t="s">
        <v>508</v>
      </c>
      <c r="D215" s="3" t="s">
        <v>572</v>
      </c>
      <c r="E215" s="36">
        <v>1</v>
      </c>
      <c r="F215" s="36" t="s">
        <v>924</v>
      </c>
      <c r="G215" s="29">
        <v>0</v>
      </c>
      <c r="H215" s="11">
        <v>1179.9000000000001</v>
      </c>
      <c r="I215" s="11">
        <v>1179.9000000000001</v>
      </c>
    </row>
    <row r="216" spans="1:9" x14ac:dyDescent="0.25">
      <c r="A216" s="114"/>
      <c r="B216" s="6" t="s">
        <v>927</v>
      </c>
      <c r="C216" s="4" t="s">
        <v>928</v>
      </c>
      <c r="D216" s="4" t="s">
        <v>903</v>
      </c>
      <c r="E216" s="41">
        <v>1</v>
      </c>
      <c r="F216" s="41" t="s">
        <v>924</v>
      </c>
      <c r="G216" s="30">
        <v>0</v>
      </c>
      <c r="H216" s="12">
        <v>1179.9000000000001</v>
      </c>
      <c r="I216" s="12">
        <v>1179.9000000000001</v>
      </c>
    </row>
    <row r="217" spans="1:9" x14ac:dyDescent="0.25">
      <c r="A217" s="113" t="s">
        <v>1236</v>
      </c>
      <c r="B217" s="85" t="s">
        <v>1237</v>
      </c>
      <c r="C217" s="82"/>
      <c r="D217" s="82"/>
      <c r="E217" s="82"/>
      <c r="F217" s="82"/>
      <c r="G217" s="82"/>
      <c r="H217" s="82"/>
      <c r="I217" s="82"/>
    </row>
    <row r="218" spans="1:9" x14ac:dyDescent="0.25">
      <c r="A218" s="114"/>
      <c r="B218" s="5" t="s">
        <v>1236</v>
      </c>
      <c r="C218" s="3" t="s">
        <v>1268</v>
      </c>
      <c r="D218" s="3" t="s">
        <v>546</v>
      </c>
      <c r="E218" s="36">
        <v>1</v>
      </c>
      <c r="F218" s="36" t="s">
        <v>924</v>
      </c>
      <c r="G218" s="29">
        <v>0</v>
      </c>
      <c r="H218" s="11">
        <v>802.9</v>
      </c>
      <c r="I218" s="11">
        <v>802.9</v>
      </c>
    </row>
    <row r="219" spans="1:9" x14ac:dyDescent="0.25">
      <c r="A219" s="113" t="s">
        <v>1238</v>
      </c>
      <c r="B219" s="85" t="s">
        <v>1239</v>
      </c>
      <c r="C219" s="82"/>
      <c r="D219" s="82"/>
      <c r="E219" s="82"/>
      <c r="F219" s="82"/>
      <c r="G219" s="82"/>
      <c r="H219" s="82"/>
      <c r="I219" s="82"/>
    </row>
    <row r="220" spans="1:9" x14ac:dyDescent="0.25">
      <c r="A220" s="114"/>
      <c r="B220" s="5" t="s">
        <v>1238</v>
      </c>
      <c r="C220" s="3" t="s">
        <v>1269</v>
      </c>
      <c r="D220" s="3" t="s">
        <v>546</v>
      </c>
      <c r="E220" s="36">
        <v>1</v>
      </c>
      <c r="F220" s="36" t="s">
        <v>924</v>
      </c>
      <c r="G220" s="29">
        <v>0</v>
      </c>
      <c r="H220" s="11">
        <v>1281.9000000000001</v>
      </c>
      <c r="I220" s="11">
        <v>1281.9000000000001</v>
      </c>
    </row>
    <row r="221" spans="1:9" x14ac:dyDescent="0.25">
      <c r="A221" s="10" t="s">
        <v>734</v>
      </c>
      <c r="B221" s="7"/>
      <c r="C221" s="7"/>
      <c r="D221" s="7"/>
      <c r="E221" s="7"/>
      <c r="F221" s="7"/>
      <c r="G221" s="7"/>
      <c r="H221" s="7"/>
      <c r="I221" s="7"/>
    </row>
    <row r="222" spans="1:9" x14ac:dyDescent="0.25">
      <c r="A222" s="113" t="s">
        <v>44</v>
      </c>
      <c r="B222" s="1" t="s">
        <v>233</v>
      </c>
      <c r="H222"/>
      <c r="I222"/>
    </row>
    <row r="223" spans="1:9" x14ac:dyDescent="0.25">
      <c r="A223" s="114"/>
      <c r="B223" s="5" t="s">
        <v>44</v>
      </c>
      <c r="C223" s="3" t="s">
        <v>369</v>
      </c>
      <c r="D223" s="3" t="s">
        <v>572</v>
      </c>
      <c r="E223" s="36">
        <v>4</v>
      </c>
      <c r="F223" s="36" t="s">
        <v>918</v>
      </c>
      <c r="G223" s="29">
        <v>0</v>
      </c>
      <c r="H223" s="11">
        <v>183.9</v>
      </c>
      <c r="I223" s="11">
        <v>183.9</v>
      </c>
    </row>
    <row r="224" spans="1:9" x14ac:dyDescent="0.25">
      <c r="A224" s="114"/>
      <c r="B224" s="6" t="s">
        <v>1751</v>
      </c>
      <c r="C224" s="4" t="s">
        <v>735</v>
      </c>
      <c r="D224" s="4" t="s">
        <v>903</v>
      </c>
      <c r="E224" s="41">
        <v>4</v>
      </c>
      <c r="F224" s="41" t="s">
        <v>918</v>
      </c>
      <c r="G224" s="30">
        <v>0</v>
      </c>
      <c r="H224" s="12">
        <v>183.9</v>
      </c>
      <c r="I224" s="12">
        <v>183.9</v>
      </c>
    </row>
    <row r="225" spans="1:9" x14ac:dyDescent="0.25">
      <c r="A225" s="84" t="s">
        <v>546</v>
      </c>
      <c r="B225" s="83"/>
      <c r="C225" s="83"/>
      <c r="D225" s="83"/>
      <c r="E225" s="83"/>
      <c r="F225" s="83"/>
      <c r="G225" s="83"/>
      <c r="H225" s="83"/>
      <c r="I225" s="83"/>
    </row>
    <row r="226" spans="1:9" x14ac:dyDescent="0.25">
      <c r="A226" s="113" t="s">
        <v>1838</v>
      </c>
      <c r="B226" s="1" t="s">
        <v>1208</v>
      </c>
      <c r="H226"/>
      <c r="I226"/>
    </row>
    <row r="227" spans="1:9" x14ac:dyDescent="0.25">
      <c r="A227" s="114"/>
      <c r="B227" s="5" t="s">
        <v>1838</v>
      </c>
      <c r="C227" s="3" t="s">
        <v>1839</v>
      </c>
      <c r="D227" s="3" t="s">
        <v>546</v>
      </c>
      <c r="E227" s="36" t="s">
        <v>546</v>
      </c>
      <c r="F227" s="36" t="s">
        <v>916</v>
      </c>
      <c r="G227" s="29">
        <v>0</v>
      </c>
      <c r="H227" s="11">
        <v>94.9</v>
      </c>
      <c r="I227" s="11">
        <v>94.9</v>
      </c>
    </row>
    <row r="228" spans="1:9" x14ac:dyDescent="0.25">
      <c r="A228" s="10" t="s">
        <v>1205</v>
      </c>
      <c r="B228" s="7"/>
      <c r="C228" s="7"/>
      <c r="D228" s="7"/>
      <c r="E228" s="7"/>
      <c r="F228" s="7"/>
      <c r="G228" s="7"/>
      <c r="H228" s="7"/>
      <c r="I228" s="7"/>
    </row>
    <row r="229" spans="1:9" x14ac:dyDescent="0.25">
      <c r="A229" s="113" t="s">
        <v>1677</v>
      </c>
      <c r="B229" s="1" t="s">
        <v>1678</v>
      </c>
      <c r="H229"/>
      <c r="I229"/>
    </row>
    <row r="230" spans="1:9" x14ac:dyDescent="0.25">
      <c r="A230" s="114"/>
      <c r="B230" s="5" t="s">
        <v>1677</v>
      </c>
      <c r="C230" s="3" t="s">
        <v>1679</v>
      </c>
      <c r="D230" s="3" t="s">
        <v>1382</v>
      </c>
      <c r="E230" s="36" t="s">
        <v>546</v>
      </c>
      <c r="F230" s="36" t="s">
        <v>924</v>
      </c>
      <c r="G230" s="29">
        <v>0</v>
      </c>
      <c r="H230" s="11">
        <v>459.9</v>
      </c>
      <c r="I230" s="11">
        <v>459.9</v>
      </c>
    </row>
    <row r="231" spans="1:9" x14ac:dyDescent="0.25">
      <c r="A231" s="114"/>
      <c r="B231" s="6" t="s">
        <v>1745</v>
      </c>
      <c r="C231" s="4" t="s">
        <v>1746</v>
      </c>
      <c r="D231" s="4" t="s">
        <v>903</v>
      </c>
      <c r="E231" s="41" t="s">
        <v>546</v>
      </c>
      <c r="F231" s="41" t="s">
        <v>924</v>
      </c>
      <c r="G231" s="30">
        <v>0</v>
      </c>
      <c r="H231" s="12">
        <v>459.9</v>
      </c>
      <c r="I231" s="12">
        <v>459.9</v>
      </c>
    </row>
    <row r="232" spans="1:9" x14ac:dyDescent="0.25">
      <c r="A232" s="114"/>
      <c r="B232" s="6" t="s">
        <v>1747</v>
      </c>
      <c r="C232" s="4" t="s">
        <v>1748</v>
      </c>
      <c r="D232" s="4" t="s">
        <v>570</v>
      </c>
      <c r="E232" s="41" t="s">
        <v>546</v>
      </c>
      <c r="F232" s="41" t="s">
        <v>924</v>
      </c>
      <c r="G232" s="30">
        <v>0</v>
      </c>
      <c r="H232" s="12">
        <v>459.9</v>
      </c>
      <c r="I232" s="12">
        <v>459.9</v>
      </c>
    </row>
    <row r="233" spans="1:9" x14ac:dyDescent="0.25">
      <c r="A233" s="113" t="s">
        <v>1683</v>
      </c>
      <c r="B233" s="1" t="s">
        <v>1686</v>
      </c>
      <c r="H233"/>
      <c r="I233"/>
    </row>
    <row r="234" spans="1:9" x14ac:dyDescent="0.25">
      <c r="A234" s="114"/>
      <c r="B234" s="5" t="s">
        <v>1683</v>
      </c>
      <c r="C234" s="3" t="s">
        <v>1690</v>
      </c>
      <c r="D234" s="3" t="s">
        <v>1382</v>
      </c>
      <c r="E234" s="36" t="s">
        <v>546</v>
      </c>
      <c r="F234" s="36" t="s">
        <v>1689</v>
      </c>
      <c r="G234" s="29" t="s">
        <v>546</v>
      </c>
      <c r="H234" s="11" t="s">
        <v>1693</v>
      </c>
      <c r="I234" s="11" t="s">
        <v>1693</v>
      </c>
    </row>
    <row r="235" spans="1:9" x14ac:dyDescent="0.25">
      <c r="A235" s="114"/>
      <c r="B235" s="6" t="s">
        <v>1739</v>
      </c>
      <c r="C235" s="4" t="s">
        <v>1742</v>
      </c>
      <c r="D235" s="4" t="s">
        <v>903</v>
      </c>
      <c r="E235" s="41" t="s">
        <v>546</v>
      </c>
      <c r="F235" s="41" t="s">
        <v>1689</v>
      </c>
      <c r="G235" s="30" t="s">
        <v>546</v>
      </c>
      <c r="H235" s="12" t="s">
        <v>1693</v>
      </c>
      <c r="I235" s="12" t="s">
        <v>1693</v>
      </c>
    </row>
    <row r="236" spans="1:9" x14ac:dyDescent="0.25">
      <c r="A236" s="113" t="s">
        <v>1684</v>
      </c>
      <c r="B236" s="1" t="s">
        <v>1687</v>
      </c>
      <c r="H236"/>
      <c r="I236"/>
    </row>
    <row r="237" spans="1:9" x14ac:dyDescent="0.25">
      <c r="A237" s="114"/>
      <c r="B237" s="5" t="s">
        <v>1684</v>
      </c>
      <c r="C237" s="3" t="s">
        <v>1691</v>
      </c>
      <c r="D237" s="3" t="s">
        <v>1382</v>
      </c>
      <c r="E237" s="36" t="s">
        <v>546</v>
      </c>
      <c r="F237" s="36" t="s">
        <v>1689</v>
      </c>
      <c r="G237" s="29" t="s">
        <v>546</v>
      </c>
      <c r="H237" s="11" t="s">
        <v>1693</v>
      </c>
      <c r="I237" s="11" t="s">
        <v>1693</v>
      </c>
    </row>
    <row r="238" spans="1:9" x14ac:dyDescent="0.25">
      <c r="A238" s="114"/>
      <c r="B238" s="6" t="s">
        <v>1740</v>
      </c>
      <c r="C238" s="4" t="s">
        <v>1743</v>
      </c>
      <c r="D238" s="4" t="s">
        <v>903</v>
      </c>
      <c r="E238" s="41" t="s">
        <v>546</v>
      </c>
      <c r="F238" s="41" t="s">
        <v>1689</v>
      </c>
      <c r="G238" s="30" t="s">
        <v>546</v>
      </c>
      <c r="H238" s="12" t="s">
        <v>1693</v>
      </c>
      <c r="I238" s="12" t="s">
        <v>1693</v>
      </c>
    </row>
    <row r="239" spans="1:9" x14ac:dyDescent="0.25">
      <c r="A239" s="113" t="s">
        <v>1685</v>
      </c>
      <c r="B239" s="1" t="s">
        <v>1688</v>
      </c>
      <c r="H239"/>
      <c r="I239"/>
    </row>
    <row r="240" spans="1:9" x14ac:dyDescent="0.25">
      <c r="A240" s="114"/>
      <c r="B240" s="5" t="s">
        <v>1685</v>
      </c>
      <c r="C240" s="3" t="s">
        <v>1692</v>
      </c>
      <c r="D240" s="3" t="s">
        <v>1382</v>
      </c>
      <c r="E240" s="36" t="s">
        <v>546</v>
      </c>
      <c r="F240" s="36" t="s">
        <v>1689</v>
      </c>
      <c r="G240" s="29" t="s">
        <v>546</v>
      </c>
      <c r="H240" s="11" t="s">
        <v>1693</v>
      </c>
      <c r="I240" s="11" t="s">
        <v>1693</v>
      </c>
    </row>
    <row r="241" spans="1:9" x14ac:dyDescent="0.25">
      <c r="A241" s="114"/>
      <c r="B241" s="6" t="s">
        <v>1741</v>
      </c>
      <c r="C241" s="4" t="s">
        <v>1744</v>
      </c>
      <c r="D241" s="4" t="s">
        <v>903</v>
      </c>
      <c r="E241" s="41" t="s">
        <v>546</v>
      </c>
      <c r="F241" s="41" t="s">
        <v>1689</v>
      </c>
      <c r="G241" s="30" t="s">
        <v>546</v>
      </c>
      <c r="H241" s="12" t="s">
        <v>1693</v>
      </c>
      <c r="I241" s="12" t="s">
        <v>1693</v>
      </c>
    </row>
    <row r="242" spans="1:9" x14ac:dyDescent="0.25">
      <c r="A242" s="118" t="s">
        <v>1011</v>
      </c>
      <c r="B242" s="119"/>
      <c r="C242" s="119"/>
      <c r="D242" s="119"/>
      <c r="E242" s="119"/>
      <c r="F242" s="119"/>
      <c r="G242" s="119"/>
      <c r="H242" s="119"/>
      <c r="I242" s="119"/>
    </row>
    <row r="243" spans="1:9" x14ac:dyDescent="0.25">
      <c r="A243" s="84" t="s">
        <v>482</v>
      </c>
      <c r="B243" s="83"/>
      <c r="C243" s="83"/>
      <c r="D243" s="83"/>
      <c r="E243" s="83"/>
      <c r="F243" s="83"/>
      <c r="G243" s="83"/>
      <c r="H243" s="83"/>
      <c r="I243" s="83"/>
    </row>
    <row r="244" spans="1:9" x14ac:dyDescent="0.25">
      <c r="A244" s="113" t="s">
        <v>986</v>
      </c>
      <c r="B244" s="85" t="s">
        <v>1016</v>
      </c>
      <c r="C244" s="82"/>
      <c r="D244" s="82"/>
      <c r="E244" s="82"/>
      <c r="F244" s="82"/>
      <c r="G244" s="82"/>
      <c r="H244" s="82"/>
      <c r="I244" s="82"/>
    </row>
    <row r="245" spans="1:9" x14ac:dyDescent="0.25">
      <c r="A245" s="114"/>
      <c r="B245" s="5" t="s">
        <v>986</v>
      </c>
      <c r="C245" s="3" t="s">
        <v>1017</v>
      </c>
      <c r="D245" s="3" t="s">
        <v>546</v>
      </c>
      <c r="E245" s="36">
        <v>6</v>
      </c>
      <c r="F245" s="36" t="s">
        <v>919</v>
      </c>
      <c r="G245" s="29">
        <v>0</v>
      </c>
      <c r="H245" s="11">
        <v>108.9</v>
      </c>
      <c r="I245" s="11">
        <v>108.9</v>
      </c>
    </row>
    <row r="246" spans="1:9" x14ac:dyDescent="0.25">
      <c r="A246" s="113" t="s">
        <v>987</v>
      </c>
      <c r="B246" s="85" t="s">
        <v>1018</v>
      </c>
      <c r="C246" s="82"/>
      <c r="D246" s="82"/>
      <c r="E246" s="82"/>
      <c r="F246" s="82"/>
      <c r="G246" s="82"/>
      <c r="H246" s="82"/>
      <c r="I246" s="82"/>
    </row>
    <row r="247" spans="1:9" x14ac:dyDescent="0.25">
      <c r="A247" s="114"/>
      <c r="B247" s="5" t="s">
        <v>987</v>
      </c>
      <c r="C247" s="3" t="s">
        <v>1019</v>
      </c>
      <c r="D247" s="3" t="s">
        <v>546</v>
      </c>
      <c r="E247" s="36">
        <v>4</v>
      </c>
      <c r="F247" s="36" t="s">
        <v>919</v>
      </c>
      <c r="G247" s="29">
        <v>0</v>
      </c>
      <c r="H247" s="11">
        <v>205.9</v>
      </c>
      <c r="I247" s="11">
        <v>205.9</v>
      </c>
    </row>
    <row r="248" spans="1:9" x14ac:dyDescent="0.25">
      <c r="A248" s="113" t="s">
        <v>988</v>
      </c>
      <c r="B248" s="85" t="s">
        <v>1020</v>
      </c>
      <c r="C248" s="82"/>
      <c r="D248" s="82"/>
      <c r="E248" s="82"/>
      <c r="F248" s="82"/>
      <c r="G248" s="82"/>
      <c r="H248" s="82"/>
      <c r="I248" s="82"/>
    </row>
    <row r="249" spans="1:9" x14ac:dyDescent="0.25">
      <c r="A249" s="114"/>
      <c r="B249" s="5" t="s">
        <v>988</v>
      </c>
      <c r="C249" s="3" t="s">
        <v>1021</v>
      </c>
      <c r="D249" s="3" t="s">
        <v>546</v>
      </c>
      <c r="E249" s="36">
        <v>3</v>
      </c>
      <c r="F249" s="36" t="s">
        <v>919</v>
      </c>
      <c r="G249" s="29">
        <v>0</v>
      </c>
      <c r="H249" s="11">
        <v>325.89999999999998</v>
      </c>
      <c r="I249" s="11">
        <v>325.89999999999998</v>
      </c>
    </row>
    <row r="250" spans="1:9" x14ac:dyDescent="0.25">
      <c r="A250" s="84" t="s">
        <v>899</v>
      </c>
      <c r="B250" s="83"/>
      <c r="C250" s="83"/>
      <c r="D250" s="83"/>
      <c r="E250" s="83"/>
      <c r="F250" s="83"/>
      <c r="G250" s="83"/>
      <c r="H250" s="83"/>
      <c r="I250" s="83"/>
    </row>
    <row r="251" spans="1:9" x14ac:dyDescent="0.25">
      <c r="A251" s="113" t="s">
        <v>989</v>
      </c>
      <c r="B251" s="85" t="s">
        <v>1022</v>
      </c>
      <c r="C251" s="82"/>
      <c r="D251" s="82"/>
      <c r="E251" s="82"/>
      <c r="F251" s="82"/>
      <c r="G251" s="82"/>
      <c r="H251" s="82"/>
      <c r="I251" s="82"/>
    </row>
    <row r="252" spans="1:9" x14ac:dyDescent="0.25">
      <c r="A252" s="114"/>
      <c r="B252" s="5" t="s">
        <v>989</v>
      </c>
      <c r="C252" s="3" t="s">
        <v>1023</v>
      </c>
      <c r="D252" s="3" t="s">
        <v>546</v>
      </c>
      <c r="E252" s="36">
        <v>4</v>
      </c>
      <c r="F252" s="36" t="s">
        <v>919</v>
      </c>
      <c r="G252" s="29">
        <v>0</v>
      </c>
      <c r="H252" s="11">
        <v>199.9</v>
      </c>
      <c r="I252" s="11">
        <v>199.9</v>
      </c>
    </row>
    <row r="253" spans="1:9" x14ac:dyDescent="0.25">
      <c r="A253" s="113" t="s">
        <v>990</v>
      </c>
      <c r="B253" s="85" t="s">
        <v>1024</v>
      </c>
      <c r="C253" s="82"/>
      <c r="D253" s="82"/>
      <c r="E253" s="82"/>
      <c r="F253" s="82"/>
      <c r="G253" s="82"/>
      <c r="H253" s="82"/>
      <c r="I253" s="82"/>
    </row>
    <row r="254" spans="1:9" x14ac:dyDescent="0.25">
      <c r="A254" s="114"/>
      <c r="B254" s="5" t="s">
        <v>990</v>
      </c>
      <c r="C254" s="3" t="s">
        <v>1025</v>
      </c>
      <c r="D254" s="3" t="s">
        <v>546</v>
      </c>
      <c r="E254" s="36">
        <v>3</v>
      </c>
      <c r="F254" s="36" t="s">
        <v>919</v>
      </c>
      <c r="G254" s="29">
        <v>0</v>
      </c>
      <c r="H254" s="11">
        <v>338.9</v>
      </c>
      <c r="I254" s="11">
        <v>338.9</v>
      </c>
    </row>
    <row r="255" spans="1:9" x14ac:dyDescent="0.25">
      <c r="A255" s="84" t="s">
        <v>1013</v>
      </c>
      <c r="B255" s="83"/>
      <c r="C255" s="83"/>
      <c r="D255" s="83"/>
      <c r="E255" s="83"/>
      <c r="F255" s="83"/>
      <c r="G255" s="83"/>
      <c r="H255" s="83"/>
      <c r="I255" s="83"/>
    </row>
    <row r="256" spans="1:9" x14ac:dyDescent="0.25">
      <c r="A256" s="113" t="s">
        <v>991</v>
      </c>
      <c r="B256" s="85" t="s">
        <v>1026</v>
      </c>
      <c r="C256" s="82"/>
      <c r="D256" s="82"/>
      <c r="E256" s="82"/>
      <c r="F256" s="82"/>
      <c r="G256" s="82"/>
      <c r="H256" s="82"/>
      <c r="I256" s="82"/>
    </row>
    <row r="257" spans="1:9" x14ac:dyDescent="0.25">
      <c r="A257" s="114"/>
      <c r="B257" s="5" t="s">
        <v>991</v>
      </c>
      <c r="C257" s="3" t="s">
        <v>1027</v>
      </c>
      <c r="D257" s="3" t="s">
        <v>546</v>
      </c>
      <c r="E257" s="36">
        <v>4</v>
      </c>
      <c r="F257" s="36" t="s">
        <v>919</v>
      </c>
      <c r="G257" s="29">
        <v>0</v>
      </c>
      <c r="H257" s="11">
        <v>145.9</v>
      </c>
      <c r="I257" s="11">
        <v>145.9</v>
      </c>
    </row>
    <row r="258" spans="1:9" x14ac:dyDescent="0.25">
      <c r="A258" s="113" t="s">
        <v>992</v>
      </c>
      <c r="B258" s="85" t="s">
        <v>1028</v>
      </c>
      <c r="C258" s="82"/>
      <c r="D258" s="82"/>
      <c r="E258" s="82"/>
      <c r="F258" s="82"/>
      <c r="G258" s="82"/>
      <c r="H258" s="82"/>
      <c r="I258" s="82"/>
    </row>
    <row r="259" spans="1:9" x14ac:dyDescent="0.25">
      <c r="A259" s="114"/>
      <c r="B259" s="5" t="s">
        <v>992</v>
      </c>
      <c r="C259" s="3" t="s">
        <v>1029</v>
      </c>
      <c r="D259" s="3" t="s">
        <v>546</v>
      </c>
      <c r="E259" s="36">
        <v>12</v>
      </c>
      <c r="F259" s="36" t="s">
        <v>919</v>
      </c>
      <c r="G259" s="29">
        <v>0</v>
      </c>
      <c r="H259" s="11">
        <v>91.9</v>
      </c>
      <c r="I259" s="11">
        <v>91.9</v>
      </c>
    </row>
    <row r="260" spans="1:9" x14ac:dyDescent="0.25">
      <c r="A260" s="84" t="s">
        <v>1014</v>
      </c>
      <c r="B260" s="83"/>
      <c r="C260" s="83"/>
      <c r="D260" s="83"/>
      <c r="E260" s="83"/>
      <c r="F260" s="83"/>
      <c r="G260" s="83"/>
      <c r="H260" s="83"/>
      <c r="I260" s="83"/>
    </row>
    <row r="261" spans="1:9" x14ac:dyDescent="0.25">
      <c r="A261" s="113" t="s">
        <v>1694</v>
      </c>
      <c r="B261" s="1" t="s">
        <v>1695</v>
      </c>
      <c r="H261"/>
      <c r="I261"/>
    </row>
    <row r="262" spans="1:9" x14ac:dyDescent="0.25">
      <c r="A262" s="114"/>
      <c r="B262" s="5" t="s">
        <v>1694</v>
      </c>
      <c r="C262" s="3" t="s">
        <v>1696</v>
      </c>
      <c r="D262" s="3" t="s">
        <v>546</v>
      </c>
      <c r="E262" s="36" t="s">
        <v>546</v>
      </c>
      <c r="F262" s="36" t="s">
        <v>919</v>
      </c>
      <c r="G262" s="29">
        <v>0</v>
      </c>
      <c r="H262" s="11">
        <v>289.89999999999998</v>
      </c>
      <c r="I262" s="11">
        <v>289.89999999999998</v>
      </c>
    </row>
    <row r="263" spans="1:9" x14ac:dyDescent="0.25">
      <c r="A263" s="84" t="s">
        <v>1012</v>
      </c>
      <c r="B263" s="83"/>
      <c r="C263" s="83"/>
      <c r="D263" s="83"/>
      <c r="E263" s="83"/>
      <c r="F263" s="83"/>
      <c r="G263" s="83"/>
      <c r="H263" s="83"/>
      <c r="I263" s="83"/>
    </row>
    <row r="264" spans="1:9" x14ac:dyDescent="0.25">
      <c r="A264" s="113" t="s">
        <v>995</v>
      </c>
      <c r="B264" s="85" t="s">
        <v>1034</v>
      </c>
      <c r="C264" s="82"/>
      <c r="D264" s="82"/>
      <c r="E264" s="82"/>
      <c r="F264" s="82"/>
      <c r="G264" s="82"/>
      <c r="H264" s="82"/>
      <c r="I264" s="82"/>
    </row>
    <row r="265" spans="1:9" x14ac:dyDescent="0.25">
      <c r="A265" s="114"/>
      <c r="B265" s="5" t="s">
        <v>995</v>
      </c>
      <c r="C265" s="3" t="s">
        <v>1035</v>
      </c>
      <c r="D265" s="3" t="s">
        <v>546</v>
      </c>
      <c r="E265" s="36">
        <v>48</v>
      </c>
      <c r="F265" s="36" t="s">
        <v>919</v>
      </c>
      <c r="G265" s="29">
        <v>0</v>
      </c>
      <c r="H265" s="11">
        <v>11.9</v>
      </c>
      <c r="I265" s="11">
        <v>11.9</v>
      </c>
    </row>
    <row r="266" spans="1:9" x14ac:dyDescent="0.25">
      <c r="A266" s="113" t="s">
        <v>996</v>
      </c>
      <c r="B266" s="85" t="s">
        <v>1036</v>
      </c>
      <c r="C266" s="82"/>
      <c r="D266" s="82"/>
      <c r="E266" s="82"/>
      <c r="F266" s="82"/>
      <c r="G266" s="82"/>
      <c r="H266" s="82"/>
      <c r="I266" s="82"/>
    </row>
    <row r="267" spans="1:9" x14ac:dyDescent="0.25">
      <c r="A267" s="114"/>
      <c r="B267" s="5" t="s">
        <v>996</v>
      </c>
      <c r="C267" s="3" t="s">
        <v>1037</v>
      </c>
      <c r="D267" s="3" t="s">
        <v>546</v>
      </c>
      <c r="E267" s="36">
        <v>48</v>
      </c>
      <c r="F267" s="36" t="s">
        <v>919</v>
      </c>
      <c r="G267" s="29">
        <v>0</v>
      </c>
      <c r="H267" s="11">
        <v>11.9</v>
      </c>
      <c r="I267" s="11">
        <v>11.9</v>
      </c>
    </row>
    <row r="268" spans="1:9" x14ac:dyDescent="0.25">
      <c r="A268" s="113" t="s">
        <v>997</v>
      </c>
      <c r="B268" s="85" t="s">
        <v>1038</v>
      </c>
      <c r="C268" s="82"/>
      <c r="D268" s="82"/>
      <c r="E268" s="82"/>
      <c r="F268" s="82"/>
      <c r="G268" s="82"/>
      <c r="H268" s="82"/>
      <c r="I268" s="82"/>
    </row>
    <row r="269" spans="1:9" x14ac:dyDescent="0.25">
      <c r="A269" s="114"/>
      <c r="B269" s="5" t="s">
        <v>997</v>
      </c>
      <c r="C269" s="3" t="s">
        <v>1039</v>
      </c>
      <c r="D269" s="3" t="s">
        <v>546</v>
      </c>
      <c r="E269" s="36">
        <v>48</v>
      </c>
      <c r="F269" s="36" t="s">
        <v>919</v>
      </c>
      <c r="G269" s="29">
        <v>0</v>
      </c>
      <c r="H269" s="11">
        <v>11.9</v>
      </c>
      <c r="I269" s="11">
        <v>11.9</v>
      </c>
    </row>
    <row r="270" spans="1:9" x14ac:dyDescent="0.25">
      <c r="A270" s="113" t="s">
        <v>998</v>
      </c>
      <c r="B270" s="85" t="s">
        <v>1040</v>
      </c>
      <c r="C270" s="82"/>
      <c r="D270" s="82"/>
      <c r="E270" s="82"/>
      <c r="F270" s="82"/>
      <c r="G270" s="82"/>
      <c r="H270" s="82"/>
      <c r="I270" s="82"/>
    </row>
    <row r="271" spans="1:9" x14ac:dyDescent="0.25">
      <c r="A271" s="114"/>
      <c r="B271" s="5" t="s">
        <v>998</v>
      </c>
      <c r="C271" s="3" t="s">
        <v>1041</v>
      </c>
      <c r="D271" s="3" t="s">
        <v>546</v>
      </c>
      <c r="E271" s="36">
        <v>48</v>
      </c>
      <c r="F271" s="36" t="s">
        <v>919</v>
      </c>
      <c r="G271" s="29">
        <v>0</v>
      </c>
      <c r="H271" s="11">
        <v>11.9</v>
      </c>
      <c r="I271" s="11">
        <v>11.9</v>
      </c>
    </row>
    <row r="272" spans="1:9" x14ac:dyDescent="0.25">
      <c r="A272" s="113" t="s">
        <v>999</v>
      </c>
      <c r="B272" s="85" t="s">
        <v>1042</v>
      </c>
      <c r="C272" s="82"/>
      <c r="D272" s="82"/>
      <c r="E272" s="82"/>
      <c r="F272" s="82"/>
      <c r="G272" s="82"/>
      <c r="H272" s="82"/>
      <c r="I272" s="82"/>
    </row>
    <row r="273" spans="1:9" x14ac:dyDescent="0.25">
      <c r="A273" s="114"/>
      <c r="B273" s="5" t="s">
        <v>999</v>
      </c>
      <c r="C273" s="3" t="s">
        <v>1043</v>
      </c>
      <c r="D273" s="3" t="s">
        <v>546</v>
      </c>
      <c r="E273" s="36">
        <v>48</v>
      </c>
      <c r="F273" s="36" t="s">
        <v>919</v>
      </c>
      <c r="G273" s="29">
        <v>0</v>
      </c>
      <c r="H273" s="11">
        <v>11.9</v>
      </c>
      <c r="I273" s="11">
        <v>11.9</v>
      </c>
    </row>
    <row r="274" spans="1:9" x14ac:dyDescent="0.25">
      <c r="A274" s="113" t="s">
        <v>1000</v>
      </c>
      <c r="B274" s="85" t="s">
        <v>1044</v>
      </c>
      <c r="C274" s="82"/>
      <c r="D274" s="82"/>
      <c r="E274" s="82"/>
      <c r="F274" s="82"/>
      <c r="G274" s="82"/>
      <c r="H274" s="82"/>
      <c r="I274" s="82"/>
    </row>
    <row r="275" spans="1:9" x14ac:dyDescent="0.25">
      <c r="A275" s="114"/>
      <c r="B275" s="5" t="s">
        <v>1000</v>
      </c>
      <c r="C275" s="3" t="s">
        <v>1045</v>
      </c>
      <c r="D275" s="3" t="s">
        <v>546</v>
      </c>
      <c r="E275" s="36">
        <v>48</v>
      </c>
      <c r="F275" s="36" t="s">
        <v>919</v>
      </c>
      <c r="G275" s="29">
        <v>0</v>
      </c>
      <c r="H275" s="11">
        <v>11.9</v>
      </c>
      <c r="I275" s="11">
        <v>11.9</v>
      </c>
    </row>
    <row r="276" spans="1:9" x14ac:dyDescent="0.25">
      <c r="A276" s="113" t="s">
        <v>1001</v>
      </c>
      <c r="B276" s="85" t="s">
        <v>1046</v>
      </c>
      <c r="C276" s="82"/>
      <c r="D276" s="82"/>
      <c r="E276" s="82"/>
      <c r="F276" s="82"/>
      <c r="G276" s="82"/>
      <c r="H276" s="82"/>
      <c r="I276" s="82"/>
    </row>
    <row r="277" spans="1:9" x14ac:dyDescent="0.25">
      <c r="A277" s="114"/>
      <c r="B277" s="5" t="s">
        <v>1001</v>
      </c>
      <c r="C277" s="3" t="s">
        <v>1047</v>
      </c>
      <c r="D277" s="3" t="s">
        <v>546</v>
      </c>
      <c r="E277" s="36">
        <v>48</v>
      </c>
      <c r="F277" s="36" t="s">
        <v>919</v>
      </c>
      <c r="G277" s="29">
        <v>0</v>
      </c>
      <c r="H277" s="11">
        <v>11.9</v>
      </c>
      <c r="I277" s="11">
        <v>11.9</v>
      </c>
    </row>
    <row r="278" spans="1:9" x14ac:dyDescent="0.25">
      <c r="A278" s="113" t="s">
        <v>1002</v>
      </c>
      <c r="B278" s="85" t="s">
        <v>1048</v>
      </c>
      <c r="C278" s="82"/>
      <c r="D278" s="82"/>
      <c r="E278" s="82"/>
      <c r="F278" s="82"/>
      <c r="G278" s="82"/>
      <c r="H278" s="82"/>
      <c r="I278" s="82"/>
    </row>
    <row r="279" spans="1:9" x14ac:dyDescent="0.25">
      <c r="A279" s="114"/>
      <c r="B279" s="5" t="s">
        <v>1002</v>
      </c>
      <c r="C279" s="3" t="s">
        <v>1049</v>
      </c>
      <c r="D279" s="3" t="s">
        <v>546</v>
      </c>
      <c r="E279" s="36">
        <v>48</v>
      </c>
      <c r="F279" s="36" t="s">
        <v>919</v>
      </c>
      <c r="G279" s="29">
        <v>0</v>
      </c>
      <c r="H279" s="11">
        <v>11.9</v>
      </c>
      <c r="I279" s="11">
        <v>11.9</v>
      </c>
    </row>
    <row r="280" spans="1:9" x14ac:dyDescent="0.25">
      <c r="A280" s="113" t="s">
        <v>1003</v>
      </c>
      <c r="B280" s="85" t="s">
        <v>1050</v>
      </c>
      <c r="C280" s="82"/>
      <c r="D280" s="82"/>
      <c r="E280" s="82"/>
      <c r="F280" s="82"/>
      <c r="G280" s="82"/>
      <c r="H280" s="82"/>
      <c r="I280" s="82"/>
    </row>
    <row r="281" spans="1:9" x14ac:dyDescent="0.25">
      <c r="A281" s="114"/>
      <c r="B281" s="5" t="s">
        <v>1003</v>
      </c>
      <c r="C281" s="3" t="s">
        <v>1051</v>
      </c>
      <c r="D281" s="3" t="s">
        <v>546</v>
      </c>
      <c r="E281" s="36">
        <v>48</v>
      </c>
      <c r="F281" s="36" t="s">
        <v>919</v>
      </c>
      <c r="G281" s="29">
        <v>0</v>
      </c>
      <c r="H281" s="11">
        <v>11.9</v>
      </c>
      <c r="I281" s="11">
        <v>11.9</v>
      </c>
    </row>
    <row r="282" spans="1:9" x14ac:dyDescent="0.25">
      <c r="A282" s="113" t="s">
        <v>1004</v>
      </c>
      <c r="B282" s="85" t="s">
        <v>1052</v>
      </c>
      <c r="C282" s="82"/>
      <c r="D282" s="82"/>
      <c r="E282" s="82"/>
      <c r="F282" s="82"/>
      <c r="G282" s="82"/>
      <c r="H282" s="82"/>
      <c r="I282" s="82"/>
    </row>
    <row r="283" spans="1:9" x14ac:dyDescent="0.25">
      <c r="A283" s="114"/>
      <c r="B283" s="5" t="s">
        <v>1004</v>
      </c>
      <c r="C283" s="3" t="s">
        <v>1053</v>
      </c>
      <c r="D283" s="3" t="s">
        <v>546</v>
      </c>
      <c r="E283" s="36">
        <v>48</v>
      </c>
      <c r="F283" s="36" t="s">
        <v>919</v>
      </c>
      <c r="G283" s="29">
        <v>0</v>
      </c>
      <c r="H283" s="11">
        <v>11.9</v>
      </c>
      <c r="I283" s="11">
        <v>11.9</v>
      </c>
    </row>
    <row r="284" spans="1:9" x14ac:dyDescent="0.25">
      <c r="A284" s="113" t="s">
        <v>1005</v>
      </c>
      <c r="B284" s="85" t="s">
        <v>1054</v>
      </c>
      <c r="C284" s="82"/>
      <c r="D284" s="82"/>
      <c r="E284" s="82"/>
      <c r="F284" s="82"/>
      <c r="G284" s="82"/>
      <c r="H284" s="82"/>
      <c r="I284" s="82"/>
    </row>
    <row r="285" spans="1:9" x14ac:dyDescent="0.25">
      <c r="A285" s="114"/>
      <c r="B285" s="5" t="s">
        <v>1005</v>
      </c>
      <c r="C285" s="3" t="s">
        <v>1055</v>
      </c>
      <c r="D285" s="3" t="s">
        <v>546</v>
      </c>
      <c r="E285" s="36">
        <v>48</v>
      </c>
      <c r="F285" s="36" t="s">
        <v>919</v>
      </c>
      <c r="G285" s="29">
        <v>0</v>
      </c>
      <c r="H285" s="11">
        <v>11.9</v>
      </c>
      <c r="I285" s="11">
        <v>11.9</v>
      </c>
    </row>
    <row r="286" spans="1:9" x14ac:dyDescent="0.25">
      <c r="A286" s="113" t="s">
        <v>1006</v>
      </c>
      <c r="B286" s="85" t="s">
        <v>1056</v>
      </c>
      <c r="C286" s="82"/>
      <c r="D286" s="82"/>
      <c r="E286" s="82"/>
      <c r="F286" s="82"/>
      <c r="G286" s="82"/>
      <c r="H286" s="82"/>
      <c r="I286" s="82"/>
    </row>
    <row r="287" spans="1:9" x14ac:dyDescent="0.25">
      <c r="A287" s="114"/>
      <c r="B287" s="5" t="s">
        <v>1006</v>
      </c>
      <c r="C287" s="3" t="s">
        <v>1057</v>
      </c>
      <c r="D287" s="3" t="s">
        <v>546</v>
      </c>
      <c r="E287" s="36">
        <v>48</v>
      </c>
      <c r="F287" s="36" t="s">
        <v>919</v>
      </c>
      <c r="G287" s="29">
        <v>0</v>
      </c>
      <c r="H287" s="11">
        <v>11.9</v>
      </c>
      <c r="I287" s="11">
        <v>11.9</v>
      </c>
    </row>
    <row r="288" spans="1:9" x14ac:dyDescent="0.25">
      <c r="A288" s="113" t="s">
        <v>1007</v>
      </c>
      <c r="B288" s="85" t="s">
        <v>1058</v>
      </c>
      <c r="C288" s="82"/>
      <c r="D288" s="82"/>
      <c r="E288" s="82"/>
      <c r="F288" s="82"/>
      <c r="G288" s="82"/>
      <c r="H288" s="82"/>
      <c r="I288" s="82"/>
    </row>
    <row r="289" spans="1:9" x14ac:dyDescent="0.25">
      <c r="A289" s="114"/>
      <c r="B289" s="5" t="s">
        <v>1007</v>
      </c>
      <c r="C289" s="3" t="s">
        <v>1059</v>
      </c>
      <c r="D289" s="3" t="s">
        <v>546</v>
      </c>
      <c r="E289" s="36">
        <v>48</v>
      </c>
      <c r="F289" s="36" t="s">
        <v>919</v>
      </c>
      <c r="G289" s="29">
        <v>0</v>
      </c>
      <c r="H289" s="11">
        <v>11.9</v>
      </c>
      <c r="I289" s="11">
        <v>11.9</v>
      </c>
    </row>
    <row r="290" spans="1:9" x14ac:dyDescent="0.25">
      <c r="A290" s="113" t="s">
        <v>1008</v>
      </c>
      <c r="B290" s="85" t="s">
        <v>1060</v>
      </c>
      <c r="C290" s="82"/>
      <c r="D290" s="82"/>
      <c r="E290" s="82"/>
      <c r="F290" s="82"/>
      <c r="G290" s="82"/>
      <c r="H290" s="82"/>
      <c r="I290" s="82"/>
    </row>
    <row r="291" spans="1:9" x14ac:dyDescent="0.25">
      <c r="A291" s="114"/>
      <c r="B291" s="5" t="s">
        <v>1008</v>
      </c>
      <c r="C291" s="3" t="s">
        <v>1061</v>
      </c>
      <c r="D291" s="3" t="s">
        <v>546</v>
      </c>
      <c r="E291" s="36">
        <v>48</v>
      </c>
      <c r="F291" s="36" t="s">
        <v>919</v>
      </c>
      <c r="G291" s="29">
        <v>0</v>
      </c>
      <c r="H291" s="11">
        <v>11.9</v>
      </c>
      <c r="I291" s="11">
        <v>11.9</v>
      </c>
    </row>
    <row r="292" spans="1:9" x14ac:dyDescent="0.25">
      <c r="A292" s="113" t="s">
        <v>1009</v>
      </c>
      <c r="B292" s="85" t="s">
        <v>1062</v>
      </c>
      <c r="C292" s="82"/>
      <c r="D292" s="82"/>
      <c r="E292" s="82"/>
      <c r="F292" s="82"/>
      <c r="G292" s="82"/>
      <c r="H292" s="82"/>
      <c r="I292" s="82"/>
    </row>
    <row r="293" spans="1:9" x14ac:dyDescent="0.25">
      <c r="A293" s="114"/>
      <c r="B293" s="5" t="s">
        <v>1009</v>
      </c>
      <c r="C293" s="3" t="s">
        <v>1063</v>
      </c>
      <c r="D293" s="3" t="s">
        <v>546</v>
      </c>
      <c r="E293" s="36">
        <v>48</v>
      </c>
      <c r="F293" s="36" t="s">
        <v>919</v>
      </c>
      <c r="G293" s="29">
        <v>0</v>
      </c>
      <c r="H293" s="11">
        <v>11.9</v>
      </c>
      <c r="I293" s="11">
        <v>11.9</v>
      </c>
    </row>
    <row r="294" spans="1:9" x14ac:dyDescent="0.25">
      <c r="A294" s="113" t="s">
        <v>1010</v>
      </c>
      <c r="B294" s="85" t="s">
        <v>1064</v>
      </c>
      <c r="C294" s="82"/>
      <c r="D294" s="82"/>
      <c r="E294" s="82"/>
      <c r="F294" s="82"/>
      <c r="G294" s="82"/>
      <c r="H294" s="82"/>
      <c r="I294" s="82"/>
    </row>
    <row r="295" spans="1:9" x14ac:dyDescent="0.25">
      <c r="A295" s="114"/>
      <c r="B295" s="5" t="s">
        <v>1010</v>
      </c>
      <c r="C295" s="3" t="s">
        <v>1065</v>
      </c>
      <c r="D295" s="3" t="s">
        <v>546</v>
      </c>
      <c r="E295" s="36">
        <v>48</v>
      </c>
      <c r="F295" s="36" t="s">
        <v>919</v>
      </c>
      <c r="G295" s="29">
        <v>0</v>
      </c>
      <c r="H295" s="11">
        <v>11.9</v>
      </c>
      <c r="I295" s="11">
        <v>11.9</v>
      </c>
    </row>
    <row r="296" spans="1:9" x14ac:dyDescent="0.25">
      <c r="A296" s="113" t="s">
        <v>1172</v>
      </c>
      <c r="B296" s="85" t="s">
        <v>1173</v>
      </c>
      <c r="C296" s="82"/>
      <c r="D296" s="82"/>
      <c r="E296" s="82"/>
      <c r="F296" s="82"/>
      <c r="G296" s="82"/>
      <c r="H296" s="82"/>
      <c r="I296" s="82"/>
    </row>
    <row r="297" spans="1:9" x14ac:dyDescent="0.25">
      <c r="A297" s="114"/>
      <c r="B297" s="5" t="s">
        <v>1172</v>
      </c>
      <c r="C297" s="3" t="s">
        <v>1174</v>
      </c>
      <c r="D297" s="3" t="s">
        <v>546</v>
      </c>
      <c r="E297" s="36">
        <v>48</v>
      </c>
      <c r="F297" s="36" t="s">
        <v>919</v>
      </c>
      <c r="G297" s="29">
        <v>0</v>
      </c>
      <c r="H297" s="11">
        <v>11.9</v>
      </c>
      <c r="I297" s="11">
        <v>11.9</v>
      </c>
    </row>
    <row r="298" spans="1:9" x14ac:dyDescent="0.25">
      <c r="A298" s="113" t="s">
        <v>1212</v>
      </c>
      <c r="B298" s="85" t="s">
        <v>1214</v>
      </c>
      <c r="C298" s="82"/>
      <c r="D298" s="82"/>
      <c r="E298" s="82"/>
      <c r="F298" s="82"/>
      <c r="G298" s="82"/>
      <c r="H298" s="82"/>
      <c r="I298" s="82"/>
    </row>
    <row r="299" spans="1:9" x14ac:dyDescent="0.25">
      <c r="A299" s="114"/>
      <c r="B299" s="5" t="s">
        <v>1212</v>
      </c>
      <c r="C299" s="3" t="s">
        <v>1213</v>
      </c>
      <c r="D299" s="3" t="s">
        <v>546</v>
      </c>
      <c r="E299" s="36" t="s">
        <v>546</v>
      </c>
      <c r="F299" s="36" t="s">
        <v>919</v>
      </c>
      <c r="G299" s="29">
        <v>0</v>
      </c>
      <c r="H299" s="11">
        <v>26.9</v>
      </c>
      <c r="I299" s="11">
        <v>26.9</v>
      </c>
    </row>
    <row r="300" spans="1:9" x14ac:dyDescent="0.25">
      <c r="A300" s="113" t="s">
        <v>1217</v>
      </c>
      <c r="B300" s="85" t="s">
        <v>1216</v>
      </c>
      <c r="C300" s="82"/>
      <c r="D300" s="82"/>
      <c r="E300" s="82"/>
      <c r="F300" s="82"/>
      <c r="G300" s="82"/>
      <c r="H300" s="82"/>
      <c r="I300" s="82"/>
    </row>
    <row r="301" spans="1:9" x14ac:dyDescent="0.25">
      <c r="A301" s="114"/>
      <c r="B301" s="5" t="s">
        <v>1217</v>
      </c>
      <c r="C301" s="3" t="s">
        <v>1215</v>
      </c>
      <c r="D301" s="3" t="s">
        <v>546</v>
      </c>
      <c r="E301" s="36">
        <v>48</v>
      </c>
      <c r="F301" s="36" t="s">
        <v>919</v>
      </c>
      <c r="G301" s="29">
        <v>0</v>
      </c>
      <c r="H301" s="11">
        <v>11.9</v>
      </c>
      <c r="I301" s="11">
        <v>11.9</v>
      </c>
    </row>
    <row r="302" spans="1:9" x14ac:dyDescent="0.25">
      <c r="A302" s="113" t="s">
        <v>1411</v>
      </c>
      <c r="B302" s="85" t="s">
        <v>1412</v>
      </c>
      <c r="C302" s="82"/>
      <c r="D302" s="82"/>
      <c r="E302" s="82"/>
      <c r="F302" s="82"/>
      <c r="G302" s="82"/>
      <c r="H302" s="82"/>
      <c r="I302" s="82"/>
    </row>
    <row r="303" spans="1:9" x14ac:dyDescent="0.25">
      <c r="A303" s="114"/>
      <c r="B303" s="5" t="s">
        <v>1411</v>
      </c>
      <c r="C303" s="3" t="s">
        <v>1413</v>
      </c>
      <c r="D303" s="3" t="s">
        <v>546</v>
      </c>
      <c r="E303" s="36">
        <v>48</v>
      </c>
      <c r="F303" s="36" t="s">
        <v>919</v>
      </c>
      <c r="G303" s="29">
        <v>0</v>
      </c>
      <c r="H303" s="11">
        <v>11.9</v>
      </c>
      <c r="I303" s="11">
        <v>11.9</v>
      </c>
    </row>
    <row r="304" spans="1:9" x14ac:dyDescent="0.25">
      <c r="A304" s="10" t="s">
        <v>1418</v>
      </c>
      <c r="B304" s="7"/>
      <c r="C304" s="7"/>
      <c r="D304" s="7"/>
      <c r="E304" s="7"/>
      <c r="F304" s="7"/>
      <c r="G304" s="7"/>
      <c r="H304" s="7"/>
      <c r="I304" s="7"/>
    </row>
    <row r="305" spans="1:9" x14ac:dyDescent="0.25">
      <c r="A305" s="113" t="s">
        <v>993</v>
      </c>
      <c r="B305" s="1" t="s">
        <v>1030</v>
      </c>
      <c r="H305"/>
      <c r="I305"/>
    </row>
    <row r="306" spans="1:9" x14ac:dyDescent="0.25">
      <c r="A306" s="114"/>
      <c r="B306" s="5" t="s">
        <v>993</v>
      </c>
      <c r="C306" s="3" t="s">
        <v>1031</v>
      </c>
      <c r="D306" s="3" t="s">
        <v>572</v>
      </c>
      <c r="E306" s="36">
        <v>10</v>
      </c>
      <c r="F306" s="36" t="s">
        <v>919</v>
      </c>
      <c r="G306" s="29">
        <v>0</v>
      </c>
      <c r="H306" s="11">
        <v>94.9</v>
      </c>
      <c r="I306" s="11">
        <v>94.9</v>
      </c>
    </row>
    <row r="307" spans="1:9" x14ac:dyDescent="0.25">
      <c r="A307" s="114"/>
      <c r="B307" s="6" t="s">
        <v>994</v>
      </c>
      <c r="C307" s="4" t="s">
        <v>1032</v>
      </c>
      <c r="D307" s="4" t="s">
        <v>570</v>
      </c>
      <c r="E307" s="41">
        <v>10</v>
      </c>
      <c r="F307" s="41" t="s">
        <v>919</v>
      </c>
      <c r="G307" s="30">
        <v>0</v>
      </c>
      <c r="H307" s="12">
        <v>94.9</v>
      </c>
      <c r="I307" s="12">
        <v>94.9</v>
      </c>
    </row>
    <row r="308" spans="1:9" x14ac:dyDescent="0.25">
      <c r="A308" s="114"/>
      <c r="B308" s="6" t="s">
        <v>1015</v>
      </c>
      <c r="C308" s="4" t="s">
        <v>1033</v>
      </c>
      <c r="D308" s="4" t="s">
        <v>903</v>
      </c>
      <c r="E308" s="41">
        <v>10</v>
      </c>
      <c r="F308" s="41" t="s">
        <v>919</v>
      </c>
      <c r="G308" s="30">
        <v>0</v>
      </c>
      <c r="H308" s="12">
        <v>94.9</v>
      </c>
      <c r="I308" s="12">
        <v>94.9</v>
      </c>
    </row>
    <row r="309" spans="1:9" x14ac:dyDescent="0.25">
      <c r="A309" s="114"/>
      <c r="B309" s="6" t="s">
        <v>1179</v>
      </c>
      <c r="C309" s="4" t="s">
        <v>1182</v>
      </c>
      <c r="D309" s="4" t="s">
        <v>571</v>
      </c>
      <c r="E309" s="41">
        <v>10</v>
      </c>
      <c r="F309" s="41" t="s">
        <v>919</v>
      </c>
      <c r="G309" s="30">
        <v>0</v>
      </c>
      <c r="H309" s="12">
        <v>94.9</v>
      </c>
      <c r="I309" s="12">
        <v>94.9</v>
      </c>
    </row>
    <row r="310" spans="1:9" x14ac:dyDescent="0.25">
      <c r="A310" s="114"/>
      <c r="B310" s="6" t="s">
        <v>1180</v>
      </c>
      <c r="C310" s="4" t="s">
        <v>1183</v>
      </c>
      <c r="D310" s="4" t="s">
        <v>1184</v>
      </c>
      <c r="E310" s="41">
        <v>10</v>
      </c>
      <c r="F310" s="41" t="s">
        <v>919</v>
      </c>
      <c r="G310" s="30">
        <v>0</v>
      </c>
      <c r="H310" s="12">
        <v>94.9</v>
      </c>
      <c r="I310" s="12">
        <v>94.9</v>
      </c>
    </row>
    <row r="311" spans="1:9" x14ac:dyDescent="0.25">
      <c r="A311" s="114"/>
      <c r="B311" s="6" t="s">
        <v>1178</v>
      </c>
      <c r="C311" s="4" t="s">
        <v>1181</v>
      </c>
      <c r="D311" s="4" t="s">
        <v>562</v>
      </c>
      <c r="E311" s="41">
        <v>10</v>
      </c>
      <c r="F311" s="41" t="s">
        <v>919</v>
      </c>
      <c r="G311" s="30">
        <v>0</v>
      </c>
      <c r="H311" s="12">
        <v>94.9</v>
      </c>
      <c r="I311" s="12">
        <v>94.9</v>
      </c>
    </row>
    <row r="312" spans="1:9" x14ac:dyDescent="0.25">
      <c r="A312" s="113" t="s">
        <v>1105</v>
      </c>
      <c r="B312" s="1" t="s">
        <v>1106</v>
      </c>
      <c r="H312"/>
      <c r="I312"/>
    </row>
    <row r="313" spans="1:9" x14ac:dyDescent="0.25">
      <c r="A313" s="114"/>
      <c r="B313" s="5" t="s">
        <v>1105</v>
      </c>
      <c r="C313" s="3" t="s">
        <v>1107</v>
      </c>
      <c r="D313" s="3" t="s">
        <v>546</v>
      </c>
      <c r="E313" s="36">
        <v>20</v>
      </c>
      <c r="F313" s="36" t="s">
        <v>919</v>
      </c>
      <c r="G313" s="29">
        <v>0</v>
      </c>
      <c r="H313" s="11">
        <v>64.900000000000006</v>
      </c>
      <c r="I313" s="11">
        <v>64.900000000000006</v>
      </c>
    </row>
    <row r="314" spans="1:9" x14ac:dyDescent="0.25">
      <c r="A314" s="113" t="s">
        <v>1108</v>
      </c>
      <c r="B314" s="1" t="s">
        <v>1109</v>
      </c>
      <c r="H314"/>
      <c r="I314"/>
    </row>
    <row r="315" spans="1:9" x14ac:dyDescent="0.25">
      <c r="A315" s="114"/>
      <c r="B315" s="5" t="s">
        <v>1108</v>
      </c>
      <c r="C315" s="3" t="s">
        <v>1110</v>
      </c>
      <c r="D315" s="3" t="s">
        <v>546</v>
      </c>
      <c r="E315" s="36">
        <v>10</v>
      </c>
      <c r="F315" s="36" t="s">
        <v>919</v>
      </c>
      <c r="G315" s="29">
        <v>0</v>
      </c>
      <c r="H315" s="11">
        <v>89.9</v>
      </c>
      <c r="I315" s="11">
        <v>89.9</v>
      </c>
    </row>
    <row r="316" spans="1:9" x14ac:dyDescent="0.25">
      <c r="A316" s="113" t="s">
        <v>1111</v>
      </c>
      <c r="B316" s="1" t="s">
        <v>1112</v>
      </c>
      <c r="H316"/>
      <c r="I316"/>
    </row>
    <row r="317" spans="1:9" x14ac:dyDescent="0.25">
      <c r="A317" s="114"/>
      <c r="B317" s="5" t="s">
        <v>1111</v>
      </c>
      <c r="C317" s="3" t="s">
        <v>1113</v>
      </c>
      <c r="D317" s="3" t="s">
        <v>546</v>
      </c>
      <c r="E317" s="36">
        <v>6</v>
      </c>
      <c r="F317" s="36" t="s">
        <v>919</v>
      </c>
      <c r="G317" s="29">
        <v>0</v>
      </c>
      <c r="H317" s="11">
        <v>189.9</v>
      </c>
      <c r="I317" s="11">
        <v>189.9</v>
      </c>
    </row>
    <row r="318" spans="1:9" x14ac:dyDescent="0.25">
      <c r="A318" s="113" t="s">
        <v>1114</v>
      </c>
      <c r="B318" s="1" t="s">
        <v>1115</v>
      </c>
      <c r="H318"/>
      <c r="I318"/>
    </row>
    <row r="319" spans="1:9" x14ac:dyDescent="0.25">
      <c r="A319" s="114"/>
      <c r="B319" s="5" t="s">
        <v>1114</v>
      </c>
      <c r="C319" s="3" t="s">
        <v>1116</v>
      </c>
      <c r="D319" s="3" t="s">
        <v>546</v>
      </c>
      <c r="E319" s="36">
        <v>6</v>
      </c>
      <c r="F319" s="36" t="s">
        <v>919</v>
      </c>
      <c r="G319" s="29">
        <v>0</v>
      </c>
      <c r="H319" s="11">
        <v>99.9</v>
      </c>
      <c r="I319" s="11">
        <v>99.9</v>
      </c>
    </row>
    <row r="320" spans="1:9" x14ac:dyDescent="0.25">
      <c r="A320" s="113" t="s">
        <v>1117</v>
      </c>
      <c r="B320" s="1" t="s">
        <v>1118</v>
      </c>
      <c r="H320"/>
      <c r="I320"/>
    </row>
    <row r="321" spans="1:9" x14ac:dyDescent="0.25">
      <c r="A321" s="114"/>
      <c r="B321" s="5" t="s">
        <v>1117</v>
      </c>
      <c r="C321" s="3" t="s">
        <v>1119</v>
      </c>
      <c r="D321" s="3" t="s">
        <v>546</v>
      </c>
      <c r="E321" s="36">
        <v>6</v>
      </c>
      <c r="F321" s="36" t="s">
        <v>919</v>
      </c>
      <c r="G321" s="29">
        <v>0</v>
      </c>
      <c r="H321" s="11">
        <v>99.9</v>
      </c>
      <c r="I321" s="11">
        <v>99.9</v>
      </c>
    </row>
    <row r="322" spans="1:9" x14ac:dyDescent="0.25">
      <c r="A322" s="113" t="s">
        <v>1120</v>
      </c>
      <c r="B322" s="1" t="s">
        <v>1121</v>
      </c>
      <c r="H322"/>
      <c r="I322"/>
    </row>
    <row r="323" spans="1:9" x14ac:dyDescent="0.25">
      <c r="A323" s="114"/>
      <c r="B323" s="5" t="s">
        <v>1120</v>
      </c>
      <c r="C323" s="3" t="s">
        <v>1122</v>
      </c>
      <c r="D323" s="3" t="s">
        <v>546</v>
      </c>
      <c r="E323" s="36">
        <v>6</v>
      </c>
      <c r="F323" s="36" t="s">
        <v>919</v>
      </c>
      <c r="G323" s="29">
        <v>0</v>
      </c>
      <c r="H323" s="11">
        <v>107.9</v>
      </c>
      <c r="I323" s="11">
        <v>107.9</v>
      </c>
    </row>
    <row r="324" spans="1:9" x14ac:dyDescent="0.25">
      <c r="A324" s="113" t="s">
        <v>1123</v>
      </c>
      <c r="B324" s="1" t="s">
        <v>1124</v>
      </c>
      <c r="H324"/>
      <c r="I324"/>
    </row>
    <row r="325" spans="1:9" x14ac:dyDescent="0.25">
      <c r="A325" s="114"/>
      <c r="B325" s="5" t="s">
        <v>1123</v>
      </c>
      <c r="C325" s="3" t="s">
        <v>1125</v>
      </c>
      <c r="D325" s="3" t="s">
        <v>546</v>
      </c>
      <c r="E325" s="36">
        <v>12</v>
      </c>
      <c r="F325" s="36" t="s">
        <v>919</v>
      </c>
      <c r="G325" s="29">
        <v>0</v>
      </c>
      <c r="H325" s="11">
        <v>62.9</v>
      </c>
      <c r="I325" s="11">
        <v>62.9</v>
      </c>
    </row>
    <row r="326" spans="1:9" x14ac:dyDescent="0.25">
      <c r="A326" s="113" t="s">
        <v>1126</v>
      </c>
      <c r="B326" s="1" t="s">
        <v>1127</v>
      </c>
      <c r="H326"/>
      <c r="I326"/>
    </row>
    <row r="327" spans="1:9" x14ac:dyDescent="0.25">
      <c r="A327" s="114"/>
      <c r="B327" s="5" t="s">
        <v>1126</v>
      </c>
      <c r="C327" s="3" t="s">
        <v>1128</v>
      </c>
      <c r="D327" s="3" t="s">
        <v>546</v>
      </c>
      <c r="E327" s="36">
        <v>48</v>
      </c>
      <c r="F327" s="36" t="s">
        <v>919</v>
      </c>
      <c r="G327" s="29">
        <v>0</v>
      </c>
      <c r="H327" s="11">
        <v>49.9</v>
      </c>
      <c r="I327" s="11">
        <v>49.9</v>
      </c>
    </row>
    <row r="328" spans="1:9" x14ac:dyDescent="0.25">
      <c r="A328" s="113" t="s">
        <v>1129</v>
      </c>
      <c r="B328" s="1" t="s">
        <v>1130</v>
      </c>
      <c r="H328"/>
      <c r="I328"/>
    </row>
    <row r="329" spans="1:9" x14ac:dyDescent="0.25">
      <c r="A329" s="114"/>
      <c r="B329" s="5" t="s">
        <v>1129</v>
      </c>
      <c r="C329" s="3" t="s">
        <v>1131</v>
      </c>
      <c r="D329" s="3" t="s">
        <v>546</v>
      </c>
      <c r="E329" s="36">
        <v>24</v>
      </c>
      <c r="F329" s="36" t="s">
        <v>919</v>
      </c>
      <c r="G329" s="29">
        <v>0</v>
      </c>
      <c r="H329" s="11">
        <v>49.9</v>
      </c>
      <c r="I329" s="11">
        <v>49.9</v>
      </c>
    </row>
    <row r="330" spans="1:9" x14ac:dyDescent="0.25">
      <c r="A330" s="113" t="s">
        <v>1132</v>
      </c>
      <c r="B330" s="1" t="s">
        <v>1133</v>
      </c>
      <c r="H330"/>
      <c r="I330"/>
    </row>
    <row r="331" spans="1:9" x14ac:dyDescent="0.25">
      <c r="A331" s="114"/>
      <c r="B331" s="5" t="s">
        <v>1132</v>
      </c>
      <c r="C331" s="3" t="s">
        <v>1134</v>
      </c>
      <c r="D331" s="3" t="s">
        <v>546</v>
      </c>
      <c r="E331" s="36">
        <v>24</v>
      </c>
      <c r="F331" s="36" t="s">
        <v>919</v>
      </c>
      <c r="G331" s="29">
        <v>0</v>
      </c>
      <c r="H331" s="11">
        <v>55.9</v>
      </c>
      <c r="I331" s="11">
        <v>55.9</v>
      </c>
    </row>
    <row r="332" spans="1:9" x14ac:dyDescent="0.25">
      <c r="A332" s="113" t="s">
        <v>1201</v>
      </c>
      <c r="B332" s="1" t="s">
        <v>1191</v>
      </c>
      <c r="H332"/>
      <c r="I332"/>
    </row>
    <row r="333" spans="1:9" x14ac:dyDescent="0.25">
      <c r="A333" s="114"/>
      <c r="B333" s="5" t="s">
        <v>1201</v>
      </c>
      <c r="C333" s="3" t="s">
        <v>1192</v>
      </c>
      <c r="D333" s="3" t="s">
        <v>546</v>
      </c>
      <c r="E333" s="36" t="s">
        <v>546</v>
      </c>
      <c r="F333" s="36" t="s">
        <v>919</v>
      </c>
      <c r="G333" s="29">
        <v>0</v>
      </c>
      <c r="H333" s="11">
        <v>84.9</v>
      </c>
      <c r="I333" s="11">
        <v>84.9</v>
      </c>
    </row>
    <row r="334" spans="1:9" x14ac:dyDescent="0.25">
      <c r="A334" s="113" t="s">
        <v>1209</v>
      </c>
      <c r="B334" s="1" t="s">
        <v>1211</v>
      </c>
      <c r="H334"/>
      <c r="I334"/>
    </row>
    <row r="335" spans="1:9" x14ac:dyDescent="0.25">
      <c r="A335" s="114"/>
      <c r="B335" s="5" t="s">
        <v>1209</v>
      </c>
      <c r="C335" s="3" t="s">
        <v>1210</v>
      </c>
      <c r="D335" s="3" t="s">
        <v>546</v>
      </c>
      <c r="E335" s="36">
        <v>1</v>
      </c>
      <c r="F335" s="36" t="s">
        <v>1196</v>
      </c>
      <c r="G335" s="29" t="s">
        <v>1197</v>
      </c>
      <c r="H335" s="11">
        <v>199.9</v>
      </c>
      <c r="I335" s="11">
        <v>199.9</v>
      </c>
    </row>
    <row r="336" spans="1:9" x14ac:dyDescent="0.25">
      <c r="A336" s="113" t="s">
        <v>1218</v>
      </c>
      <c r="B336" s="1" t="s">
        <v>1226</v>
      </c>
      <c r="H336"/>
      <c r="I336"/>
    </row>
    <row r="337" spans="1:9" x14ac:dyDescent="0.25">
      <c r="A337" s="114"/>
      <c r="B337" s="5" t="s">
        <v>1218</v>
      </c>
      <c r="C337" s="3" t="s">
        <v>1221</v>
      </c>
      <c r="D337" s="3" t="s">
        <v>546</v>
      </c>
      <c r="E337" s="36" t="s">
        <v>546</v>
      </c>
      <c r="F337" s="36" t="s">
        <v>918</v>
      </c>
      <c r="G337" s="29">
        <v>0</v>
      </c>
      <c r="H337" s="11">
        <v>26.9</v>
      </c>
      <c r="I337" s="11">
        <v>26.9</v>
      </c>
    </row>
    <row r="338" spans="1:9" x14ac:dyDescent="0.25">
      <c r="A338" s="113" t="s">
        <v>1219</v>
      </c>
      <c r="B338" s="1" t="s">
        <v>1220</v>
      </c>
      <c r="H338"/>
      <c r="I338"/>
    </row>
    <row r="339" spans="1:9" x14ac:dyDescent="0.25">
      <c r="A339" s="114"/>
      <c r="B339" s="5" t="s">
        <v>1219</v>
      </c>
      <c r="C339" s="3" t="s">
        <v>1222</v>
      </c>
      <c r="D339" s="3" t="s">
        <v>546</v>
      </c>
      <c r="E339" s="36" t="s">
        <v>546</v>
      </c>
      <c r="F339" s="36" t="s">
        <v>918</v>
      </c>
      <c r="G339" s="29">
        <v>0</v>
      </c>
      <c r="H339" s="11">
        <v>26.9</v>
      </c>
      <c r="I339" s="11">
        <v>26.9</v>
      </c>
    </row>
    <row r="340" spans="1:9" x14ac:dyDescent="0.25">
      <c r="A340" s="113" t="s">
        <v>1649</v>
      </c>
      <c r="B340" s="1" t="s">
        <v>1831</v>
      </c>
      <c r="H340"/>
      <c r="I340"/>
    </row>
    <row r="341" spans="1:9" x14ac:dyDescent="0.25">
      <c r="A341" s="114"/>
      <c r="B341" s="5" t="s">
        <v>1649</v>
      </c>
      <c r="C341" s="3" t="s">
        <v>1650</v>
      </c>
      <c r="D341" s="3" t="s">
        <v>546</v>
      </c>
      <c r="E341" s="36" t="s">
        <v>546</v>
      </c>
      <c r="F341" s="36" t="s">
        <v>919</v>
      </c>
      <c r="G341" s="29">
        <v>0</v>
      </c>
      <c r="H341" s="11">
        <v>174.9</v>
      </c>
      <c r="I341" s="11">
        <v>174.9</v>
      </c>
    </row>
    <row r="342" spans="1:9" x14ac:dyDescent="0.25">
      <c r="A342" s="118" t="s">
        <v>309</v>
      </c>
      <c r="B342" s="119"/>
      <c r="C342" s="119"/>
      <c r="D342" s="119"/>
      <c r="E342" s="119"/>
      <c r="F342" s="119"/>
      <c r="G342" s="119"/>
      <c r="H342" s="119"/>
      <c r="I342" s="119"/>
    </row>
    <row r="343" spans="1:9" x14ac:dyDescent="0.25">
      <c r="A343" s="10" t="s">
        <v>1418</v>
      </c>
      <c r="B343" s="7"/>
      <c r="C343" s="7"/>
      <c r="D343" s="7"/>
      <c r="E343" s="7"/>
      <c r="F343" s="7"/>
      <c r="G343" s="7"/>
      <c r="H343" s="7"/>
      <c r="I343" s="7"/>
    </row>
    <row r="344" spans="1:9" x14ac:dyDescent="0.25">
      <c r="A344" s="113" t="s">
        <v>30</v>
      </c>
      <c r="B344" s="1" t="s">
        <v>216</v>
      </c>
      <c r="H344"/>
      <c r="I344"/>
    </row>
    <row r="345" spans="1:9" x14ac:dyDescent="0.25">
      <c r="A345" s="114"/>
      <c r="B345" s="5" t="s">
        <v>30</v>
      </c>
      <c r="C345" s="3" t="s">
        <v>370</v>
      </c>
      <c r="D345" s="3" t="s">
        <v>546</v>
      </c>
      <c r="E345" s="36">
        <v>50</v>
      </c>
      <c r="F345" s="36" t="s">
        <v>920</v>
      </c>
      <c r="G345" s="29">
        <v>0</v>
      </c>
      <c r="H345" s="11">
        <v>48.9</v>
      </c>
      <c r="I345" s="11">
        <v>48.9</v>
      </c>
    </row>
    <row r="346" spans="1:9" x14ac:dyDescent="0.25">
      <c r="A346" s="113" t="s">
        <v>120</v>
      </c>
      <c r="B346" s="1" t="s">
        <v>217</v>
      </c>
      <c r="H346"/>
      <c r="I346"/>
    </row>
    <row r="347" spans="1:9" x14ac:dyDescent="0.25">
      <c r="A347" s="114"/>
      <c r="B347" s="5" t="s">
        <v>120</v>
      </c>
      <c r="C347" s="3" t="s">
        <v>371</v>
      </c>
      <c r="D347" s="3" t="s">
        <v>546</v>
      </c>
      <c r="E347" s="36">
        <v>50</v>
      </c>
      <c r="F347" s="36" t="s">
        <v>920</v>
      </c>
      <c r="G347" s="29">
        <v>0</v>
      </c>
      <c r="H347" s="11">
        <v>59.9</v>
      </c>
      <c r="I347" s="11">
        <v>59.9</v>
      </c>
    </row>
    <row r="348" spans="1:9" x14ac:dyDescent="0.25">
      <c r="A348" s="113" t="s">
        <v>121</v>
      </c>
      <c r="B348" s="1" t="s">
        <v>218</v>
      </c>
      <c r="H348"/>
      <c r="I348"/>
    </row>
    <row r="349" spans="1:9" x14ac:dyDescent="0.25">
      <c r="A349" s="114"/>
      <c r="B349" s="5" t="s">
        <v>121</v>
      </c>
      <c r="C349" s="3" t="s">
        <v>372</v>
      </c>
      <c r="D349" s="3" t="s">
        <v>546</v>
      </c>
      <c r="E349" s="36">
        <v>24</v>
      </c>
      <c r="F349" s="36" t="s">
        <v>920</v>
      </c>
      <c r="G349" s="29">
        <v>0</v>
      </c>
      <c r="H349" s="11">
        <v>108.9</v>
      </c>
      <c r="I349" s="11">
        <v>108.9</v>
      </c>
    </row>
    <row r="350" spans="1:9" x14ac:dyDescent="0.25">
      <c r="A350" s="113" t="s">
        <v>122</v>
      </c>
      <c r="B350" s="1" t="s">
        <v>220</v>
      </c>
      <c r="H350"/>
      <c r="I350"/>
    </row>
    <row r="351" spans="1:9" x14ac:dyDescent="0.25">
      <c r="A351" s="114"/>
      <c r="B351" s="5" t="s">
        <v>122</v>
      </c>
      <c r="C351" s="3" t="s">
        <v>373</v>
      </c>
      <c r="D351" s="3" t="s">
        <v>546</v>
      </c>
      <c r="E351" s="36">
        <v>1</v>
      </c>
      <c r="F351" s="36" t="s">
        <v>920</v>
      </c>
      <c r="G351" s="29">
        <v>0</v>
      </c>
      <c r="H351" s="11">
        <v>371.9</v>
      </c>
      <c r="I351" s="11">
        <v>371.9</v>
      </c>
    </row>
    <row r="352" spans="1:9" x14ac:dyDescent="0.25">
      <c r="A352" s="113" t="s">
        <v>1081</v>
      </c>
      <c r="B352" s="1" t="s">
        <v>1082</v>
      </c>
      <c r="H352"/>
      <c r="I352"/>
    </row>
    <row r="353" spans="1:9" x14ac:dyDescent="0.25">
      <c r="A353" s="114"/>
      <c r="B353" s="5" t="s">
        <v>1081</v>
      </c>
      <c r="C353" s="3" t="s">
        <v>1083</v>
      </c>
      <c r="D353" s="3" t="s">
        <v>546</v>
      </c>
      <c r="E353" s="36">
        <v>24</v>
      </c>
      <c r="F353" s="36" t="s">
        <v>920</v>
      </c>
      <c r="G353" s="29">
        <v>0</v>
      </c>
      <c r="H353" s="11">
        <v>156.9</v>
      </c>
      <c r="I353" s="11">
        <v>156.9</v>
      </c>
    </row>
    <row r="354" spans="1:9" x14ac:dyDescent="0.25">
      <c r="A354" s="113" t="s">
        <v>1084</v>
      </c>
      <c r="B354" s="1" t="s">
        <v>219</v>
      </c>
      <c r="H354"/>
      <c r="I354"/>
    </row>
    <row r="355" spans="1:9" x14ac:dyDescent="0.25">
      <c r="A355" s="114"/>
      <c r="B355" s="5" t="s">
        <v>1084</v>
      </c>
      <c r="C355" s="3" t="s">
        <v>1085</v>
      </c>
      <c r="D355" s="3" t="s">
        <v>546</v>
      </c>
      <c r="E355" s="36">
        <v>6</v>
      </c>
      <c r="F355" s="36" t="s">
        <v>920</v>
      </c>
      <c r="G355" s="29">
        <v>0</v>
      </c>
      <c r="H355" s="11">
        <v>150.9</v>
      </c>
      <c r="I355" s="11">
        <v>150.9</v>
      </c>
    </row>
    <row r="356" spans="1:9" x14ac:dyDescent="0.25">
      <c r="A356" s="113" t="s">
        <v>1223</v>
      </c>
      <c r="B356" s="1" t="s">
        <v>1225</v>
      </c>
      <c r="H356"/>
      <c r="I356"/>
    </row>
    <row r="357" spans="1:9" x14ac:dyDescent="0.25">
      <c r="A357" s="114"/>
      <c r="B357" s="5" t="s">
        <v>1223</v>
      </c>
      <c r="C357" s="3" t="s">
        <v>1224</v>
      </c>
      <c r="D357" s="3" t="s">
        <v>546</v>
      </c>
      <c r="E357" s="36" t="s">
        <v>546</v>
      </c>
      <c r="F357" s="36" t="s">
        <v>920</v>
      </c>
      <c r="G357" s="29">
        <v>0</v>
      </c>
      <c r="H357" s="11">
        <v>74.900000000000006</v>
      </c>
      <c r="I357" s="11">
        <v>74.900000000000006</v>
      </c>
    </row>
    <row r="358" spans="1:9" x14ac:dyDescent="0.25">
      <c r="A358" s="113" t="s">
        <v>1232</v>
      </c>
      <c r="B358" s="1" t="s">
        <v>1234</v>
      </c>
      <c r="H358"/>
      <c r="I358"/>
    </row>
    <row r="359" spans="1:9" x14ac:dyDescent="0.25">
      <c r="A359" s="114"/>
      <c r="B359" s="5" t="s">
        <v>1232</v>
      </c>
      <c r="C359" s="3" t="s">
        <v>1271</v>
      </c>
      <c r="D359" s="3" t="s">
        <v>546</v>
      </c>
      <c r="E359" s="36" t="s">
        <v>546</v>
      </c>
      <c r="F359" s="36" t="s">
        <v>920</v>
      </c>
      <c r="G359" s="29">
        <v>0</v>
      </c>
      <c r="H359" s="11">
        <v>239.9</v>
      </c>
      <c r="I359" s="11">
        <v>239.9</v>
      </c>
    </row>
    <row r="360" spans="1:9" x14ac:dyDescent="0.25">
      <c r="A360" s="113" t="s">
        <v>1233</v>
      </c>
      <c r="B360" s="1" t="s">
        <v>1235</v>
      </c>
      <c r="H360"/>
      <c r="I360"/>
    </row>
    <row r="361" spans="1:9" x14ac:dyDescent="0.25">
      <c r="A361" s="114"/>
      <c r="B361" s="5" t="s">
        <v>1233</v>
      </c>
      <c r="C361" s="3" t="s">
        <v>1272</v>
      </c>
      <c r="D361" s="3" t="s">
        <v>546</v>
      </c>
      <c r="E361" s="36" t="s">
        <v>546</v>
      </c>
      <c r="F361" s="36" t="s">
        <v>920</v>
      </c>
      <c r="G361" s="29">
        <v>0</v>
      </c>
      <c r="H361" s="11">
        <v>359.9</v>
      </c>
      <c r="I361" s="11">
        <v>359.9</v>
      </c>
    </row>
    <row r="362" spans="1:9" x14ac:dyDescent="0.25">
      <c r="A362" s="113" t="s">
        <v>1430</v>
      </c>
      <c r="B362" s="1" t="s">
        <v>1432</v>
      </c>
      <c r="H362"/>
      <c r="I362"/>
    </row>
    <row r="363" spans="1:9" x14ac:dyDescent="0.25">
      <c r="A363" s="114"/>
      <c r="B363" s="5" t="s">
        <v>1430</v>
      </c>
      <c r="C363" s="3" t="s">
        <v>1434</v>
      </c>
      <c r="D363" s="3" t="s">
        <v>572</v>
      </c>
      <c r="E363" s="36" t="s">
        <v>546</v>
      </c>
      <c r="F363" s="36" t="s">
        <v>920</v>
      </c>
      <c r="G363" s="29">
        <v>0</v>
      </c>
      <c r="H363" s="11">
        <v>299.89999999999998</v>
      </c>
      <c r="I363" s="11">
        <v>299.89999999999998</v>
      </c>
    </row>
    <row r="364" spans="1:9" x14ac:dyDescent="0.25">
      <c r="A364" s="114"/>
      <c r="B364" s="6" t="s">
        <v>1752</v>
      </c>
      <c r="C364" s="4" t="s">
        <v>1757</v>
      </c>
      <c r="D364" s="4" t="s">
        <v>571</v>
      </c>
      <c r="E364" s="41" t="s">
        <v>546</v>
      </c>
      <c r="F364" s="41" t="s">
        <v>920</v>
      </c>
      <c r="G364" s="30">
        <v>0</v>
      </c>
      <c r="H364" s="12">
        <v>299.89999999999998</v>
      </c>
      <c r="I364" s="12">
        <v>299.89999999999998</v>
      </c>
    </row>
    <row r="365" spans="1:9" x14ac:dyDescent="0.25">
      <c r="A365" s="114"/>
      <c r="B365" s="6" t="s">
        <v>1753</v>
      </c>
      <c r="C365" s="4" t="s">
        <v>1758</v>
      </c>
      <c r="D365" s="4" t="s">
        <v>903</v>
      </c>
      <c r="E365" s="41" t="s">
        <v>546</v>
      </c>
      <c r="F365" s="41" t="s">
        <v>920</v>
      </c>
      <c r="G365" s="30">
        <v>0</v>
      </c>
      <c r="H365" s="12">
        <v>299.89999999999998</v>
      </c>
      <c r="I365" s="12">
        <v>299.89999999999998</v>
      </c>
    </row>
    <row r="366" spans="1:9" x14ac:dyDescent="0.25">
      <c r="A366" s="114"/>
      <c r="B366" s="6" t="s">
        <v>1754</v>
      </c>
      <c r="C366" s="4" t="s">
        <v>1759</v>
      </c>
      <c r="D366" s="4" t="s">
        <v>1184</v>
      </c>
      <c r="E366" s="41" t="s">
        <v>546</v>
      </c>
      <c r="F366" s="41" t="s">
        <v>920</v>
      </c>
      <c r="G366" s="30">
        <v>0</v>
      </c>
      <c r="H366" s="12">
        <v>299.89999999999998</v>
      </c>
      <c r="I366" s="12">
        <v>299.89999999999998</v>
      </c>
    </row>
    <row r="367" spans="1:9" x14ac:dyDescent="0.25">
      <c r="A367" s="114"/>
      <c r="B367" s="6" t="s">
        <v>1755</v>
      </c>
      <c r="C367" s="4" t="s">
        <v>1760</v>
      </c>
      <c r="D367" s="4" t="s">
        <v>570</v>
      </c>
      <c r="E367" s="41" t="s">
        <v>546</v>
      </c>
      <c r="F367" s="41" t="s">
        <v>920</v>
      </c>
      <c r="G367" s="30">
        <v>0</v>
      </c>
      <c r="H367" s="12">
        <v>299.89999999999998</v>
      </c>
      <c r="I367" s="12">
        <v>299.89999999999998</v>
      </c>
    </row>
    <row r="368" spans="1:9" x14ac:dyDescent="0.25">
      <c r="A368" s="114"/>
      <c r="B368" s="6" t="s">
        <v>1756</v>
      </c>
      <c r="C368" s="4" t="s">
        <v>1761</v>
      </c>
      <c r="D368" s="4" t="s">
        <v>562</v>
      </c>
      <c r="E368" s="41" t="s">
        <v>546</v>
      </c>
      <c r="F368" s="41" t="s">
        <v>920</v>
      </c>
      <c r="G368" s="30">
        <v>0</v>
      </c>
      <c r="H368" s="12">
        <v>299.89999999999998</v>
      </c>
      <c r="I368" s="12">
        <v>299.89999999999998</v>
      </c>
    </row>
    <row r="369" spans="1:9" x14ac:dyDescent="0.25">
      <c r="A369" s="113" t="s">
        <v>1431</v>
      </c>
      <c r="B369" s="1" t="s">
        <v>1433</v>
      </c>
      <c r="H369"/>
      <c r="I369"/>
    </row>
    <row r="370" spans="1:9" x14ac:dyDescent="0.25">
      <c r="A370" s="114"/>
      <c r="B370" s="5" t="s">
        <v>1431</v>
      </c>
      <c r="C370" s="3" t="s">
        <v>1435</v>
      </c>
      <c r="D370" s="3" t="s">
        <v>572</v>
      </c>
      <c r="E370" s="36" t="s">
        <v>546</v>
      </c>
      <c r="F370" s="36" t="s">
        <v>920</v>
      </c>
      <c r="G370" s="29">
        <v>0</v>
      </c>
      <c r="H370" s="11">
        <v>414.9</v>
      </c>
      <c r="I370" s="11">
        <v>414.9</v>
      </c>
    </row>
    <row r="371" spans="1:9" x14ac:dyDescent="0.25">
      <c r="A371" s="114"/>
      <c r="B371" s="6" t="s">
        <v>1762</v>
      </c>
      <c r="C371" s="4" t="s">
        <v>1767</v>
      </c>
      <c r="D371" s="4" t="s">
        <v>571</v>
      </c>
      <c r="E371" s="41" t="s">
        <v>546</v>
      </c>
      <c r="F371" s="41" t="s">
        <v>920</v>
      </c>
      <c r="G371" s="30">
        <v>0</v>
      </c>
      <c r="H371" s="12">
        <v>414.9</v>
      </c>
      <c r="I371" s="12">
        <v>414.9</v>
      </c>
    </row>
    <row r="372" spans="1:9" x14ac:dyDescent="0.25">
      <c r="A372" s="114"/>
      <c r="B372" s="6" t="s">
        <v>1763</v>
      </c>
      <c r="C372" s="4" t="s">
        <v>1768</v>
      </c>
      <c r="D372" s="4" t="s">
        <v>903</v>
      </c>
      <c r="E372" s="41" t="s">
        <v>546</v>
      </c>
      <c r="F372" s="41" t="s">
        <v>920</v>
      </c>
      <c r="G372" s="30">
        <v>0</v>
      </c>
      <c r="H372" s="12">
        <v>414.9</v>
      </c>
      <c r="I372" s="12">
        <v>414.9</v>
      </c>
    </row>
    <row r="373" spans="1:9" x14ac:dyDescent="0.25">
      <c r="A373" s="114"/>
      <c r="B373" s="6" t="s">
        <v>1764</v>
      </c>
      <c r="C373" s="4" t="s">
        <v>1770</v>
      </c>
      <c r="D373" s="4" t="s">
        <v>1184</v>
      </c>
      <c r="E373" s="41" t="s">
        <v>546</v>
      </c>
      <c r="F373" s="41" t="s">
        <v>920</v>
      </c>
      <c r="G373" s="30">
        <v>0</v>
      </c>
      <c r="H373" s="12">
        <v>414.9</v>
      </c>
      <c r="I373" s="12">
        <v>414.9</v>
      </c>
    </row>
    <row r="374" spans="1:9" x14ac:dyDescent="0.25">
      <c r="A374" s="114"/>
      <c r="B374" s="6" t="s">
        <v>1765</v>
      </c>
      <c r="C374" s="4" t="s">
        <v>1769</v>
      </c>
      <c r="D374" s="4" t="s">
        <v>570</v>
      </c>
      <c r="E374" s="41" t="s">
        <v>546</v>
      </c>
      <c r="F374" s="41" t="s">
        <v>920</v>
      </c>
      <c r="G374" s="30">
        <v>0</v>
      </c>
      <c r="H374" s="12">
        <v>414.9</v>
      </c>
      <c r="I374" s="12">
        <v>414.9</v>
      </c>
    </row>
    <row r="375" spans="1:9" x14ac:dyDescent="0.25">
      <c r="A375" s="114"/>
      <c r="B375" s="6" t="s">
        <v>1766</v>
      </c>
      <c r="C375" s="4" t="s">
        <v>1771</v>
      </c>
      <c r="D375" s="4" t="s">
        <v>562</v>
      </c>
      <c r="E375" s="41" t="s">
        <v>546</v>
      </c>
      <c r="F375" s="41" t="s">
        <v>920</v>
      </c>
      <c r="G375" s="30">
        <v>0</v>
      </c>
      <c r="H375" s="12">
        <v>414.9</v>
      </c>
      <c r="I375" s="12">
        <v>414.9</v>
      </c>
    </row>
    <row r="376" spans="1:9" x14ac:dyDescent="0.25">
      <c r="A376" s="113" t="s">
        <v>1654</v>
      </c>
      <c r="B376" s="1" t="s">
        <v>1656</v>
      </c>
      <c r="H376"/>
      <c r="I376"/>
    </row>
    <row r="377" spans="1:9" x14ac:dyDescent="0.25">
      <c r="A377" s="114"/>
      <c r="B377" s="5" t="s">
        <v>1654</v>
      </c>
      <c r="C377" s="3" t="s">
        <v>1655</v>
      </c>
      <c r="D377" s="3" t="s">
        <v>546</v>
      </c>
      <c r="E377" s="36" t="s">
        <v>546</v>
      </c>
      <c r="F377" s="36" t="s">
        <v>920</v>
      </c>
      <c r="G377" s="29">
        <v>0</v>
      </c>
      <c r="H377" s="11">
        <v>159.9</v>
      </c>
      <c r="I377" s="11">
        <v>159.9</v>
      </c>
    </row>
    <row r="378" spans="1:9" x14ac:dyDescent="0.25">
      <c r="A378" s="113" t="s">
        <v>1697</v>
      </c>
      <c r="B378" s="1" t="s">
        <v>1699</v>
      </c>
      <c r="H378"/>
      <c r="I378"/>
    </row>
    <row r="379" spans="1:9" x14ac:dyDescent="0.25">
      <c r="A379" s="114"/>
      <c r="B379" s="5" t="s">
        <v>1697</v>
      </c>
      <c r="C379" s="3" t="s">
        <v>1698</v>
      </c>
      <c r="D379" s="3" t="s">
        <v>546</v>
      </c>
      <c r="E379" s="36">
        <v>24</v>
      </c>
      <c r="F379" s="36" t="s">
        <v>920</v>
      </c>
      <c r="G379" s="29">
        <v>0</v>
      </c>
      <c r="H379" s="11">
        <v>89.9</v>
      </c>
      <c r="I379" s="11">
        <v>89.9</v>
      </c>
    </row>
    <row r="380" spans="1:9" x14ac:dyDescent="0.25">
      <c r="A380" s="113" t="s">
        <v>1824</v>
      </c>
      <c r="B380" s="1" t="s">
        <v>1825</v>
      </c>
      <c r="H380"/>
      <c r="I380"/>
    </row>
    <row r="381" spans="1:9" x14ac:dyDescent="0.25">
      <c r="A381" s="114"/>
      <c r="B381" s="5" t="s">
        <v>1824</v>
      </c>
      <c r="C381" s="3" t="s">
        <v>1826</v>
      </c>
      <c r="D381" s="3" t="s">
        <v>546</v>
      </c>
      <c r="E381" s="36" t="s">
        <v>546</v>
      </c>
      <c r="F381" s="36" t="s">
        <v>920</v>
      </c>
      <c r="G381" s="29">
        <v>0</v>
      </c>
      <c r="H381" s="11">
        <v>269.89999999999998</v>
      </c>
      <c r="I381" s="11">
        <v>269.89999999999998</v>
      </c>
    </row>
    <row r="382" spans="1:9" x14ac:dyDescent="0.25">
      <c r="A382" s="118" t="s">
        <v>791</v>
      </c>
      <c r="B382" s="119"/>
      <c r="C382" s="119"/>
      <c r="D382" s="119"/>
      <c r="E382" s="119"/>
      <c r="F382" s="119"/>
      <c r="G382" s="119"/>
      <c r="H382" s="119"/>
      <c r="I382" s="119"/>
    </row>
    <row r="383" spans="1:9" x14ac:dyDescent="0.25">
      <c r="A383" s="10" t="s">
        <v>1418</v>
      </c>
      <c r="B383" s="7"/>
      <c r="C383" s="7"/>
      <c r="D383" s="7"/>
      <c r="E383" s="7"/>
      <c r="F383" s="7"/>
      <c r="G383" s="7"/>
      <c r="H383" s="7"/>
      <c r="I383" s="7"/>
    </row>
    <row r="384" spans="1:9" x14ac:dyDescent="0.25">
      <c r="A384" s="113" t="s">
        <v>118</v>
      </c>
      <c r="B384" s="1" t="s">
        <v>221</v>
      </c>
      <c r="H384"/>
      <c r="I384"/>
    </row>
    <row r="385" spans="1:9" x14ac:dyDescent="0.25">
      <c r="A385" s="114"/>
      <c r="B385" s="5" t="s">
        <v>118</v>
      </c>
      <c r="C385" s="3" t="s">
        <v>376</v>
      </c>
      <c r="D385" s="3" t="s">
        <v>546</v>
      </c>
      <c r="E385" s="36">
        <v>24</v>
      </c>
      <c r="F385" s="36" t="s">
        <v>921</v>
      </c>
      <c r="G385" s="29">
        <v>0</v>
      </c>
      <c r="H385" s="11">
        <v>205.9</v>
      </c>
      <c r="I385" s="11">
        <v>205.9</v>
      </c>
    </row>
    <row r="386" spans="1:9" x14ac:dyDescent="0.25">
      <c r="A386" s="113" t="s">
        <v>119</v>
      </c>
      <c r="B386" s="1" t="s">
        <v>222</v>
      </c>
      <c r="H386"/>
      <c r="I386"/>
    </row>
    <row r="387" spans="1:9" x14ac:dyDescent="0.25">
      <c r="A387" s="114"/>
      <c r="B387" s="5" t="s">
        <v>119</v>
      </c>
      <c r="C387" s="3" t="s">
        <v>377</v>
      </c>
      <c r="D387" s="3" t="s">
        <v>546</v>
      </c>
      <c r="E387" s="36">
        <v>6</v>
      </c>
      <c r="F387" s="36" t="s">
        <v>921</v>
      </c>
      <c r="G387" s="29">
        <v>0</v>
      </c>
      <c r="H387" s="11">
        <v>502.9</v>
      </c>
      <c r="I387" s="11">
        <v>502.9</v>
      </c>
    </row>
    <row r="388" spans="1:9" x14ac:dyDescent="0.25">
      <c r="A388" s="113" t="s">
        <v>522</v>
      </c>
      <c r="B388" s="1" t="s">
        <v>803</v>
      </c>
      <c r="H388"/>
      <c r="I388"/>
    </row>
    <row r="389" spans="1:9" x14ac:dyDescent="0.25">
      <c r="A389" s="114"/>
      <c r="B389" s="5" t="s">
        <v>522</v>
      </c>
      <c r="C389" s="3" t="s">
        <v>523</v>
      </c>
      <c r="D389" s="3" t="s">
        <v>572</v>
      </c>
      <c r="E389" s="36">
        <v>3</v>
      </c>
      <c r="F389" s="36" t="s">
        <v>921</v>
      </c>
      <c r="G389" s="29">
        <v>0</v>
      </c>
      <c r="H389" s="11">
        <v>1525.9</v>
      </c>
      <c r="I389" s="11">
        <v>1525.9</v>
      </c>
    </row>
    <row r="390" spans="1:9" x14ac:dyDescent="0.25">
      <c r="A390" s="114"/>
      <c r="B390" s="6" t="s">
        <v>524</v>
      </c>
      <c r="C390" s="4" t="s">
        <v>527</v>
      </c>
      <c r="D390" s="4" t="s">
        <v>570</v>
      </c>
      <c r="E390" s="41">
        <v>3</v>
      </c>
      <c r="F390" s="41" t="s">
        <v>921</v>
      </c>
      <c r="G390" s="30">
        <v>0</v>
      </c>
      <c r="H390" s="12">
        <v>1525.9</v>
      </c>
      <c r="I390" s="12">
        <v>1525.9</v>
      </c>
    </row>
    <row r="391" spans="1:9" x14ac:dyDescent="0.25">
      <c r="A391" s="114"/>
      <c r="B391" s="6" t="s">
        <v>525</v>
      </c>
      <c r="C391" s="4" t="s">
        <v>526</v>
      </c>
      <c r="D391" s="4" t="s">
        <v>571</v>
      </c>
      <c r="E391" s="41">
        <v>3</v>
      </c>
      <c r="F391" s="41" t="s">
        <v>921</v>
      </c>
      <c r="G391" s="30">
        <v>0</v>
      </c>
      <c r="H391" s="12">
        <v>1525.9</v>
      </c>
      <c r="I391" s="12">
        <v>1525.9</v>
      </c>
    </row>
    <row r="392" spans="1:9" x14ac:dyDescent="0.25">
      <c r="A392" s="114"/>
      <c r="B392" s="6" t="s">
        <v>804</v>
      </c>
      <c r="C392" s="4" t="s">
        <v>805</v>
      </c>
      <c r="D392" s="4" t="s">
        <v>562</v>
      </c>
      <c r="E392" s="41">
        <v>3</v>
      </c>
      <c r="F392" s="41" t="s">
        <v>921</v>
      </c>
      <c r="G392" s="30">
        <v>0</v>
      </c>
      <c r="H392" s="12">
        <v>1525.9</v>
      </c>
      <c r="I392" s="12">
        <v>1525.9</v>
      </c>
    </row>
    <row r="393" spans="1:9" x14ac:dyDescent="0.25">
      <c r="A393" s="114"/>
      <c r="B393" s="6" t="s">
        <v>1292</v>
      </c>
      <c r="C393" s="4" t="s">
        <v>1293</v>
      </c>
      <c r="D393" s="4" t="s">
        <v>1184</v>
      </c>
      <c r="E393" s="41">
        <v>3</v>
      </c>
      <c r="F393" s="41" t="s">
        <v>921</v>
      </c>
      <c r="G393" s="30">
        <v>0</v>
      </c>
      <c r="H393" s="12">
        <v>1525.9</v>
      </c>
      <c r="I393" s="12">
        <v>1525.9</v>
      </c>
    </row>
    <row r="394" spans="1:9" x14ac:dyDescent="0.25">
      <c r="A394" s="114"/>
      <c r="B394" s="6" t="s">
        <v>1772</v>
      </c>
      <c r="C394" s="4" t="s">
        <v>1773</v>
      </c>
      <c r="D394" s="4" t="s">
        <v>575</v>
      </c>
      <c r="E394" s="41" t="s">
        <v>546</v>
      </c>
      <c r="F394" s="41" t="s">
        <v>921</v>
      </c>
      <c r="G394" s="30">
        <v>0</v>
      </c>
      <c r="H394" s="12">
        <v>1525.9</v>
      </c>
      <c r="I394" s="12">
        <v>1525.9</v>
      </c>
    </row>
    <row r="395" spans="1:9" x14ac:dyDescent="0.25">
      <c r="A395" s="113" t="s">
        <v>790</v>
      </c>
      <c r="B395" s="1" t="s">
        <v>887</v>
      </c>
      <c r="H395"/>
      <c r="I395"/>
    </row>
    <row r="396" spans="1:9" x14ac:dyDescent="0.25">
      <c r="A396" s="114"/>
      <c r="B396" s="5" t="s">
        <v>790</v>
      </c>
      <c r="C396" s="3" t="s">
        <v>792</v>
      </c>
      <c r="D396" s="3" t="s">
        <v>546</v>
      </c>
      <c r="E396" s="36" t="s">
        <v>546</v>
      </c>
      <c r="F396" s="36" t="s">
        <v>921</v>
      </c>
      <c r="G396" s="29">
        <v>0</v>
      </c>
      <c r="H396" s="11">
        <v>25.9</v>
      </c>
      <c r="I396" s="11">
        <v>25.9</v>
      </c>
    </row>
    <row r="397" spans="1:9" x14ac:dyDescent="0.25">
      <c r="A397" s="113" t="s">
        <v>1150</v>
      </c>
      <c r="B397" s="1" t="s">
        <v>1151</v>
      </c>
      <c r="H397"/>
      <c r="I397"/>
    </row>
    <row r="398" spans="1:9" x14ac:dyDescent="0.25">
      <c r="A398" s="114"/>
      <c r="B398" s="5" t="s">
        <v>1150</v>
      </c>
      <c r="C398" s="3" t="s">
        <v>1152</v>
      </c>
      <c r="D398" s="3" t="s">
        <v>572</v>
      </c>
      <c r="E398" s="36" t="s">
        <v>546</v>
      </c>
      <c r="F398" s="36" t="s">
        <v>921</v>
      </c>
      <c r="G398" s="29">
        <v>0</v>
      </c>
      <c r="H398" s="11">
        <v>2424.9</v>
      </c>
      <c r="I398" s="11">
        <v>2424.9</v>
      </c>
    </row>
    <row r="399" spans="1:9" x14ac:dyDescent="0.25">
      <c r="A399" s="113" t="s">
        <v>1153</v>
      </c>
      <c r="B399" s="1" t="s">
        <v>1154</v>
      </c>
      <c r="H399"/>
      <c r="I399"/>
    </row>
    <row r="400" spans="1:9" x14ac:dyDescent="0.25">
      <c r="A400" s="114"/>
      <c r="B400" s="5" t="s">
        <v>1153</v>
      </c>
      <c r="C400" s="3" t="s">
        <v>1155</v>
      </c>
      <c r="D400" s="3" t="s">
        <v>572</v>
      </c>
      <c r="E400" s="36" t="s">
        <v>546</v>
      </c>
      <c r="F400" s="36" t="s">
        <v>921</v>
      </c>
      <c r="G400" s="29">
        <v>0</v>
      </c>
      <c r="H400" s="11">
        <v>3636.9</v>
      </c>
      <c r="I400" s="11">
        <v>3636.9</v>
      </c>
    </row>
    <row r="401" spans="1:9" x14ac:dyDescent="0.25">
      <c r="A401" s="113" t="s">
        <v>1175</v>
      </c>
      <c r="B401" s="1" t="s">
        <v>1176</v>
      </c>
      <c r="H401"/>
      <c r="I401"/>
    </row>
    <row r="402" spans="1:9" x14ac:dyDescent="0.25">
      <c r="A402" s="114"/>
      <c r="B402" s="5" t="s">
        <v>1175</v>
      </c>
      <c r="C402" s="3" t="s">
        <v>1177</v>
      </c>
      <c r="D402" s="3" t="s">
        <v>546</v>
      </c>
      <c r="E402" s="36" t="s">
        <v>546</v>
      </c>
      <c r="F402" s="36" t="s">
        <v>921</v>
      </c>
      <c r="G402" s="29">
        <v>0</v>
      </c>
      <c r="H402" s="11">
        <v>65.900000000000006</v>
      </c>
      <c r="I402" s="11">
        <v>65.900000000000006</v>
      </c>
    </row>
    <row r="403" spans="1:9" x14ac:dyDescent="0.25">
      <c r="A403" s="113" t="s">
        <v>1202</v>
      </c>
      <c r="B403" s="1" t="s">
        <v>1204</v>
      </c>
      <c r="H403"/>
      <c r="I403"/>
    </row>
    <row r="404" spans="1:9" x14ac:dyDescent="0.25">
      <c r="A404" s="114"/>
      <c r="B404" s="5" t="s">
        <v>1202</v>
      </c>
      <c r="C404" s="3" t="s">
        <v>1203</v>
      </c>
      <c r="D404" s="3" t="s">
        <v>546</v>
      </c>
      <c r="E404" s="36">
        <v>6</v>
      </c>
      <c r="F404" s="36" t="s">
        <v>921</v>
      </c>
      <c r="G404" s="29">
        <v>0</v>
      </c>
      <c r="H404" s="11">
        <v>84.9</v>
      </c>
      <c r="I404" s="11">
        <v>84.9</v>
      </c>
    </row>
    <row r="405" spans="1:9" x14ac:dyDescent="0.25">
      <c r="A405" s="118" t="s">
        <v>306</v>
      </c>
      <c r="B405" s="119"/>
      <c r="C405" s="119"/>
      <c r="D405" s="119"/>
      <c r="E405" s="119"/>
      <c r="F405" s="119"/>
      <c r="G405" s="119"/>
      <c r="H405" s="119"/>
      <c r="I405" s="119"/>
    </row>
    <row r="406" spans="1:9" x14ac:dyDescent="0.25">
      <c r="A406" s="10" t="s">
        <v>1418</v>
      </c>
      <c r="B406" s="7"/>
      <c r="C406" s="7"/>
      <c r="D406" s="7"/>
      <c r="E406" s="7"/>
      <c r="F406" s="7"/>
      <c r="G406" s="7"/>
      <c r="H406" s="7"/>
      <c r="I406" s="7"/>
    </row>
    <row r="407" spans="1:9" x14ac:dyDescent="0.25">
      <c r="A407" s="113" t="s">
        <v>117</v>
      </c>
      <c r="B407" s="1" t="s">
        <v>228</v>
      </c>
      <c r="H407"/>
      <c r="I407"/>
    </row>
    <row r="408" spans="1:9" x14ac:dyDescent="0.25">
      <c r="A408" s="114"/>
      <c r="B408" s="5" t="s">
        <v>117</v>
      </c>
      <c r="C408" s="3" t="s">
        <v>381</v>
      </c>
      <c r="D408" s="3" t="s">
        <v>545</v>
      </c>
      <c r="E408" s="36">
        <v>24</v>
      </c>
      <c r="F408" s="36" t="s">
        <v>922</v>
      </c>
      <c r="G408" s="29">
        <v>0</v>
      </c>
      <c r="H408" s="11">
        <v>123.9</v>
      </c>
      <c r="I408" s="11">
        <v>123.9</v>
      </c>
    </row>
    <row r="409" spans="1:9" x14ac:dyDescent="0.25">
      <c r="A409" s="113" t="s">
        <v>116</v>
      </c>
      <c r="B409" s="1" t="s">
        <v>226</v>
      </c>
      <c r="H409"/>
      <c r="I409"/>
    </row>
    <row r="410" spans="1:9" x14ac:dyDescent="0.25">
      <c r="A410" s="114"/>
      <c r="B410" s="5" t="s">
        <v>116</v>
      </c>
      <c r="C410" s="3" t="s">
        <v>378</v>
      </c>
      <c r="D410" s="3" t="s">
        <v>545</v>
      </c>
      <c r="E410" s="36">
        <v>24</v>
      </c>
      <c r="F410" s="36" t="s">
        <v>922</v>
      </c>
      <c r="G410" s="29">
        <v>0</v>
      </c>
      <c r="H410" s="11">
        <v>123.9</v>
      </c>
      <c r="I410" s="11">
        <v>123.9</v>
      </c>
    </row>
    <row r="411" spans="1:9" x14ac:dyDescent="0.25">
      <c r="A411" s="113" t="s">
        <v>42</v>
      </c>
      <c r="B411" s="1" t="s">
        <v>227</v>
      </c>
      <c r="H411"/>
      <c r="I411"/>
    </row>
    <row r="412" spans="1:9" x14ac:dyDescent="0.25">
      <c r="A412" s="114"/>
      <c r="B412" s="5" t="s">
        <v>42</v>
      </c>
      <c r="C412" s="3" t="s">
        <v>379</v>
      </c>
      <c r="D412" s="3" t="s">
        <v>546</v>
      </c>
      <c r="E412" s="36">
        <v>1</v>
      </c>
      <c r="F412" s="36" t="s">
        <v>922</v>
      </c>
      <c r="G412" s="29">
        <v>0</v>
      </c>
      <c r="H412" s="11">
        <v>155.9</v>
      </c>
      <c r="I412" s="11">
        <v>155.9</v>
      </c>
    </row>
    <row r="413" spans="1:9" x14ac:dyDescent="0.25">
      <c r="A413" s="113" t="s">
        <v>43</v>
      </c>
      <c r="B413" s="1" t="s">
        <v>237</v>
      </c>
      <c r="H413"/>
      <c r="I413"/>
    </row>
    <row r="414" spans="1:9" x14ac:dyDescent="0.25">
      <c r="A414" s="114"/>
      <c r="B414" s="5" t="s">
        <v>43</v>
      </c>
      <c r="C414" s="3" t="s">
        <v>380</v>
      </c>
      <c r="D414" s="3" t="s">
        <v>546</v>
      </c>
      <c r="E414" s="36">
        <v>1</v>
      </c>
      <c r="F414" s="36" t="s">
        <v>922</v>
      </c>
      <c r="G414" s="29">
        <v>0</v>
      </c>
      <c r="H414" s="11">
        <v>46.9</v>
      </c>
      <c r="I414" s="11">
        <v>46.9</v>
      </c>
    </row>
    <row r="415" spans="1:9" x14ac:dyDescent="0.25">
      <c r="A415" s="113" t="s">
        <v>157</v>
      </c>
      <c r="B415" s="1" t="s">
        <v>229</v>
      </c>
      <c r="H415"/>
      <c r="I415"/>
    </row>
    <row r="416" spans="1:9" x14ac:dyDescent="0.25">
      <c r="A416" s="114"/>
      <c r="B416" s="5" t="s">
        <v>157</v>
      </c>
      <c r="C416" s="3" t="s">
        <v>382</v>
      </c>
      <c r="D416" s="3" t="s">
        <v>546</v>
      </c>
      <c r="E416" s="36" t="s">
        <v>546</v>
      </c>
      <c r="F416" s="36" t="s">
        <v>922</v>
      </c>
      <c r="G416" s="29">
        <v>0</v>
      </c>
      <c r="H416" s="11">
        <v>70.900000000000006</v>
      </c>
      <c r="I416" s="11">
        <v>70.900000000000006</v>
      </c>
    </row>
    <row r="417" spans="1:9" x14ac:dyDescent="0.25">
      <c r="A417" s="113" t="s">
        <v>929</v>
      </c>
      <c r="B417" s="1" t="s">
        <v>223</v>
      </c>
      <c r="H417"/>
      <c r="I417"/>
    </row>
    <row r="418" spans="1:9" x14ac:dyDescent="0.25">
      <c r="A418" s="114"/>
      <c r="B418" s="5" t="s">
        <v>929</v>
      </c>
      <c r="C418" s="3" t="s">
        <v>941</v>
      </c>
      <c r="D418" s="3" t="s">
        <v>545</v>
      </c>
      <c r="E418" s="36">
        <v>12</v>
      </c>
      <c r="F418" s="36" t="s">
        <v>922</v>
      </c>
      <c r="G418" s="29">
        <v>0</v>
      </c>
      <c r="H418" s="11">
        <v>313.89999999999998</v>
      </c>
      <c r="I418" s="11">
        <v>313.89999999999998</v>
      </c>
    </row>
    <row r="419" spans="1:9" x14ac:dyDescent="0.25">
      <c r="A419" s="114"/>
      <c r="B419" s="6" t="s">
        <v>1366</v>
      </c>
      <c r="C419" s="4" t="s">
        <v>1385</v>
      </c>
      <c r="D419" s="4" t="s">
        <v>1380</v>
      </c>
      <c r="E419" s="41">
        <v>12</v>
      </c>
      <c r="F419" s="41" t="s">
        <v>922</v>
      </c>
      <c r="G419" s="30">
        <v>0</v>
      </c>
      <c r="H419" s="12">
        <v>313.89999999999998</v>
      </c>
      <c r="I419" s="12">
        <v>313.89999999999998</v>
      </c>
    </row>
    <row r="420" spans="1:9" x14ac:dyDescent="0.25">
      <c r="A420" s="114"/>
      <c r="B420" s="6" t="s">
        <v>1647</v>
      </c>
      <c r="C420" s="4" t="s">
        <v>1648</v>
      </c>
      <c r="D420" s="4" t="s">
        <v>571</v>
      </c>
      <c r="E420" s="41">
        <v>12</v>
      </c>
      <c r="F420" s="41" t="s">
        <v>922</v>
      </c>
      <c r="G420" s="30">
        <v>0</v>
      </c>
      <c r="H420" s="12">
        <v>313.89999999999998</v>
      </c>
      <c r="I420" s="12">
        <v>313.89999999999998</v>
      </c>
    </row>
    <row r="421" spans="1:9" x14ac:dyDescent="0.25">
      <c r="A421" s="113" t="s">
        <v>732</v>
      </c>
      <c r="B421" s="1" t="s">
        <v>224</v>
      </c>
      <c r="H421"/>
      <c r="I421"/>
    </row>
    <row r="422" spans="1:9" x14ac:dyDescent="0.25">
      <c r="A422" s="114"/>
      <c r="B422" s="5" t="s">
        <v>732</v>
      </c>
      <c r="C422" s="3" t="s">
        <v>733</v>
      </c>
      <c r="D422" s="3" t="s">
        <v>572</v>
      </c>
      <c r="E422" s="36">
        <v>3</v>
      </c>
      <c r="F422" s="36" t="s">
        <v>922</v>
      </c>
      <c r="G422" s="29">
        <v>0</v>
      </c>
      <c r="H422" s="11">
        <v>847.9</v>
      </c>
      <c r="I422" s="11">
        <v>847.9</v>
      </c>
    </row>
    <row r="423" spans="1:9" x14ac:dyDescent="0.25">
      <c r="A423" s="114"/>
      <c r="B423" s="6" t="s">
        <v>1425</v>
      </c>
      <c r="C423" s="4" t="s">
        <v>580</v>
      </c>
      <c r="D423" s="4" t="s">
        <v>575</v>
      </c>
      <c r="E423" s="41" t="s">
        <v>546</v>
      </c>
      <c r="F423" s="41" t="s">
        <v>922</v>
      </c>
      <c r="G423" s="30">
        <v>0</v>
      </c>
      <c r="H423" s="12">
        <v>847.9</v>
      </c>
      <c r="I423" s="12">
        <v>847.9</v>
      </c>
    </row>
    <row r="424" spans="1:9" x14ac:dyDescent="0.25">
      <c r="A424" s="114"/>
      <c r="B424" s="6" t="s">
        <v>1774</v>
      </c>
      <c r="C424" s="4" t="s">
        <v>1775</v>
      </c>
      <c r="D424" s="4" t="s">
        <v>570</v>
      </c>
      <c r="E424" s="41" t="s">
        <v>546</v>
      </c>
      <c r="F424" s="41" t="s">
        <v>922</v>
      </c>
      <c r="G424" s="30">
        <v>0</v>
      </c>
      <c r="H424" s="12">
        <v>847.9</v>
      </c>
      <c r="I424" s="12">
        <v>847.9</v>
      </c>
    </row>
    <row r="425" spans="1:9" x14ac:dyDescent="0.25">
      <c r="A425" s="113" t="s">
        <v>895</v>
      </c>
      <c r="B425" s="1" t="s">
        <v>225</v>
      </c>
      <c r="H425"/>
      <c r="I425"/>
    </row>
    <row r="426" spans="1:9" x14ac:dyDescent="0.25">
      <c r="A426" s="114"/>
      <c r="B426" s="5" t="s">
        <v>895</v>
      </c>
      <c r="C426" s="3" t="s">
        <v>896</v>
      </c>
      <c r="D426" s="3" t="s">
        <v>572</v>
      </c>
      <c r="E426" s="36">
        <v>3</v>
      </c>
      <c r="F426" s="36" t="s">
        <v>922</v>
      </c>
      <c r="G426" s="29">
        <v>0</v>
      </c>
      <c r="H426" s="11">
        <v>519.89599999999996</v>
      </c>
      <c r="I426" s="11">
        <v>519.89599999999996</v>
      </c>
    </row>
    <row r="427" spans="1:9" x14ac:dyDescent="0.25">
      <c r="A427" s="114"/>
      <c r="B427" s="6" t="s">
        <v>1414</v>
      </c>
      <c r="C427" s="4" t="s">
        <v>1417</v>
      </c>
      <c r="D427" s="4" t="s">
        <v>570</v>
      </c>
      <c r="E427" s="41">
        <v>3</v>
      </c>
      <c r="F427" s="41" t="s">
        <v>922</v>
      </c>
      <c r="G427" s="30">
        <v>0</v>
      </c>
      <c r="H427" s="12">
        <v>519.89599999999996</v>
      </c>
      <c r="I427" s="12">
        <v>519.89599999999996</v>
      </c>
    </row>
    <row r="428" spans="1:9" x14ac:dyDescent="0.25">
      <c r="A428" s="114"/>
      <c r="B428" s="6" t="s">
        <v>1415</v>
      </c>
      <c r="C428" s="4" t="s">
        <v>1416</v>
      </c>
      <c r="D428" s="4" t="s">
        <v>575</v>
      </c>
      <c r="E428" s="41">
        <v>3</v>
      </c>
      <c r="F428" s="41" t="s">
        <v>922</v>
      </c>
      <c r="G428" s="30">
        <v>0</v>
      </c>
      <c r="H428" s="12">
        <v>519.89599999999996</v>
      </c>
      <c r="I428" s="12">
        <v>519.89599999999996</v>
      </c>
    </row>
    <row r="429" spans="1:9" x14ac:dyDescent="0.25">
      <c r="A429" s="118" t="s">
        <v>310</v>
      </c>
      <c r="B429" s="119"/>
      <c r="C429" s="119"/>
      <c r="D429" s="119"/>
      <c r="E429" s="119"/>
      <c r="F429" s="119"/>
      <c r="G429" s="119"/>
      <c r="H429" s="119"/>
      <c r="I429" s="119"/>
    </row>
    <row r="430" spans="1:9" x14ac:dyDescent="0.25">
      <c r="A430" s="84" t="s">
        <v>546</v>
      </c>
      <c r="B430" s="83"/>
      <c r="C430" s="83"/>
      <c r="D430" s="83"/>
      <c r="E430" s="83"/>
      <c r="F430" s="83"/>
      <c r="G430" s="83"/>
      <c r="H430" s="83"/>
      <c r="I430" s="83"/>
    </row>
    <row r="431" spans="1:9" x14ac:dyDescent="0.25">
      <c r="A431" s="113" t="s">
        <v>3</v>
      </c>
      <c r="B431" s="85" t="s">
        <v>167</v>
      </c>
      <c r="C431" s="82"/>
      <c r="D431" s="82"/>
      <c r="E431" s="82"/>
      <c r="F431" s="82"/>
      <c r="G431" s="82"/>
      <c r="H431" s="82"/>
      <c r="I431" s="82"/>
    </row>
    <row r="432" spans="1:9" x14ac:dyDescent="0.25">
      <c r="A432" s="114"/>
      <c r="B432" s="5" t="s">
        <v>3</v>
      </c>
      <c r="C432" s="3" t="s">
        <v>383</v>
      </c>
      <c r="D432" s="3" t="s">
        <v>570</v>
      </c>
      <c r="E432" s="36">
        <v>1</v>
      </c>
      <c r="F432" s="36" t="s">
        <v>918</v>
      </c>
      <c r="G432" s="29">
        <v>0</v>
      </c>
      <c r="H432" s="11">
        <v>6.9</v>
      </c>
      <c r="I432" s="11">
        <v>6.9</v>
      </c>
    </row>
    <row r="433" spans="1:9" x14ac:dyDescent="0.25">
      <c r="A433" s="113" t="s">
        <v>5</v>
      </c>
      <c r="B433" s="85" t="s">
        <v>168</v>
      </c>
      <c r="C433" s="82"/>
      <c r="D433" s="82"/>
      <c r="E433" s="82"/>
      <c r="F433" s="82"/>
      <c r="G433" s="82"/>
      <c r="H433" s="82"/>
      <c r="I433" s="82"/>
    </row>
    <row r="434" spans="1:9" x14ac:dyDescent="0.25">
      <c r="A434" s="114"/>
      <c r="B434" s="5" t="s">
        <v>5</v>
      </c>
      <c r="C434" s="3" t="s">
        <v>384</v>
      </c>
      <c r="D434" s="3" t="s">
        <v>562</v>
      </c>
      <c r="E434" s="36">
        <v>1</v>
      </c>
      <c r="F434" s="36" t="s">
        <v>918</v>
      </c>
      <c r="G434" s="29">
        <v>0</v>
      </c>
      <c r="H434" s="11">
        <v>6.9</v>
      </c>
      <c r="I434" s="11">
        <v>6.9</v>
      </c>
    </row>
    <row r="435" spans="1:9" x14ac:dyDescent="0.25">
      <c r="A435" s="113" t="s">
        <v>130</v>
      </c>
      <c r="B435" s="85" t="s">
        <v>169</v>
      </c>
      <c r="C435" s="82"/>
      <c r="D435" s="82"/>
      <c r="E435" s="82"/>
      <c r="F435" s="82"/>
      <c r="G435" s="82"/>
      <c r="H435" s="82"/>
      <c r="I435" s="82"/>
    </row>
    <row r="436" spans="1:9" x14ac:dyDescent="0.25">
      <c r="A436" s="114"/>
      <c r="B436" s="5" t="s">
        <v>130</v>
      </c>
      <c r="C436" s="3" t="s">
        <v>385</v>
      </c>
      <c r="D436" s="3" t="s">
        <v>571</v>
      </c>
      <c r="E436" s="36">
        <v>1</v>
      </c>
      <c r="F436" s="36" t="s">
        <v>918</v>
      </c>
      <c r="G436" s="29">
        <v>0</v>
      </c>
      <c r="H436" s="11">
        <v>6.9</v>
      </c>
      <c r="I436" s="11">
        <v>6.9</v>
      </c>
    </row>
    <row r="437" spans="1:9" x14ac:dyDescent="0.25">
      <c r="A437" s="113" t="s">
        <v>6</v>
      </c>
      <c r="B437" s="85" t="s">
        <v>170</v>
      </c>
      <c r="C437" s="82"/>
      <c r="D437" s="82"/>
      <c r="E437" s="82"/>
      <c r="F437" s="82"/>
      <c r="G437" s="82"/>
      <c r="H437" s="82"/>
      <c r="I437" s="82"/>
    </row>
    <row r="438" spans="1:9" x14ac:dyDescent="0.25">
      <c r="A438" s="114"/>
      <c r="B438" s="5" t="s">
        <v>6</v>
      </c>
      <c r="C438" s="3" t="s">
        <v>386</v>
      </c>
      <c r="D438" s="3" t="s">
        <v>546</v>
      </c>
      <c r="E438" s="36">
        <v>1</v>
      </c>
      <c r="F438" s="36" t="s">
        <v>918</v>
      </c>
      <c r="G438" s="29">
        <v>0</v>
      </c>
      <c r="H438" s="11">
        <v>6.9</v>
      </c>
      <c r="I438" s="11">
        <v>6.9</v>
      </c>
    </row>
    <row r="439" spans="1:9" x14ac:dyDescent="0.25">
      <c r="A439" s="113" t="s">
        <v>11</v>
      </c>
      <c r="B439" s="85" t="s">
        <v>175</v>
      </c>
      <c r="C439" s="82"/>
      <c r="D439" s="82"/>
      <c r="E439" s="82"/>
      <c r="F439" s="82"/>
      <c r="G439" s="82"/>
      <c r="H439" s="82"/>
      <c r="I439" s="82"/>
    </row>
    <row r="440" spans="1:9" x14ac:dyDescent="0.25">
      <c r="A440" s="114"/>
      <c r="B440" s="5" t="s">
        <v>11</v>
      </c>
      <c r="C440" s="3" t="s">
        <v>334</v>
      </c>
      <c r="D440" s="3" t="s">
        <v>546</v>
      </c>
      <c r="E440" s="36">
        <v>1</v>
      </c>
      <c r="F440" s="36" t="s">
        <v>918</v>
      </c>
      <c r="G440" s="29">
        <v>0</v>
      </c>
      <c r="H440" s="11">
        <v>7.9</v>
      </c>
      <c r="I440" s="11">
        <v>7.9</v>
      </c>
    </row>
    <row r="441" spans="1:9" x14ac:dyDescent="0.25">
      <c r="A441" s="113" t="s">
        <v>12</v>
      </c>
      <c r="B441" s="85" t="s">
        <v>176</v>
      </c>
      <c r="C441" s="82"/>
      <c r="D441" s="82"/>
      <c r="E441" s="82"/>
      <c r="F441" s="82"/>
      <c r="G441" s="82"/>
      <c r="H441" s="82"/>
      <c r="I441" s="82"/>
    </row>
    <row r="442" spans="1:9" x14ac:dyDescent="0.25">
      <c r="A442" s="114"/>
      <c r="B442" s="5" t="s">
        <v>12</v>
      </c>
      <c r="C442" s="3" t="s">
        <v>335</v>
      </c>
      <c r="D442" s="3" t="s">
        <v>546</v>
      </c>
      <c r="E442" s="36">
        <v>1</v>
      </c>
      <c r="F442" s="36" t="s">
        <v>918</v>
      </c>
      <c r="G442" s="29">
        <v>0</v>
      </c>
      <c r="H442" s="11">
        <v>9.9</v>
      </c>
      <c r="I442" s="11">
        <v>9.9</v>
      </c>
    </row>
    <row r="443" spans="1:9" x14ac:dyDescent="0.25">
      <c r="A443" s="114"/>
      <c r="B443" s="85" t="s">
        <v>588</v>
      </c>
      <c r="C443" s="82"/>
      <c r="D443" s="82"/>
      <c r="E443" s="82"/>
      <c r="F443" s="82"/>
      <c r="G443" s="82"/>
      <c r="H443" s="82"/>
      <c r="I443" s="82"/>
    </row>
    <row r="444" spans="1:9" x14ac:dyDescent="0.25">
      <c r="A444" s="114"/>
      <c r="B444" s="5" t="s">
        <v>587</v>
      </c>
      <c r="C444" s="3" t="s">
        <v>829</v>
      </c>
      <c r="D444" s="3" t="s">
        <v>546</v>
      </c>
      <c r="E444" s="36" t="s">
        <v>546</v>
      </c>
      <c r="F444" s="36" t="s">
        <v>918</v>
      </c>
      <c r="G444" s="29">
        <v>0</v>
      </c>
      <c r="H444" s="11">
        <v>9.9</v>
      </c>
      <c r="I444" s="11">
        <v>9.9</v>
      </c>
    </row>
    <row r="445" spans="1:9" x14ac:dyDescent="0.25">
      <c r="A445" s="113" t="s">
        <v>13</v>
      </c>
      <c r="B445" s="85" t="s">
        <v>230</v>
      </c>
      <c r="C445" s="82"/>
      <c r="D445" s="82"/>
      <c r="E445" s="82"/>
      <c r="F445" s="82"/>
      <c r="G445" s="82"/>
      <c r="H445" s="82"/>
      <c r="I445" s="82"/>
    </row>
    <row r="446" spans="1:9" x14ac:dyDescent="0.25">
      <c r="A446" s="114"/>
      <c r="B446" s="5" t="s">
        <v>13</v>
      </c>
      <c r="C446" s="3" t="s">
        <v>336</v>
      </c>
      <c r="D446" s="3" t="s">
        <v>546</v>
      </c>
      <c r="E446" s="36">
        <v>1</v>
      </c>
      <c r="F446" s="36" t="s">
        <v>918</v>
      </c>
      <c r="G446" s="29">
        <v>0</v>
      </c>
      <c r="H446" s="11">
        <v>25.9</v>
      </c>
      <c r="I446" s="11">
        <v>25.9</v>
      </c>
    </row>
    <row r="447" spans="1:9" x14ac:dyDescent="0.25">
      <c r="A447" s="113" t="s">
        <v>14</v>
      </c>
      <c r="B447" s="85" t="s">
        <v>177</v>
      </c>
      <c r="C447" s="82"/>
      <c r="D447" s="82"/>
      <c r="E447" s="82"/>
      <c r="F447" s="82"/>
      <c r="G447" s="82"/>
      <c r="H447" s="82"/>
      <c r="I447" s="82"/>
    </row>
    <row r="448" spans="1:9" x14ac:dyDescent="0.25">
      <c r="A448" s="114"/>
      <c r="B448" s="5" t="s">
        <v>14</v>
      </c>
      <c r="C448" s="3" t="s">
        <v>337</v>
      </c>
      <c r="D448" s="3" t="s">
        <v>546</v>
      </c>
      <c r="E448" s="36">
        <v>1</v>
      </c>
      <c r="F448" s="36" t="s">
        <v>918</v>
      </c>
      <c r="G448" s="29">
        <v>0</v>
      </c>
      <c r="H448" s="11">
        <v>36.9</v>
      </c>
      <c r="I448" s="11">
        <v>36.9</v>
      </c>
    </row>
    <row r="449" spans="1:9" x14ac:dyDescent="0.25">
      <c r="A449" s="113" t="s">
        <v>15</v>
      </c>
      <c r="B449" s="85" t="s">
        <v>178</v>
      </c>
      <c r="C449" s="82"/>
      <c r="D449" s="82"/>
      <c r="E449" s="82"/>
      <c r="F449" s="82"/>
      <c r="G449" s="82"/>
      <c r="H449" s="82"/>
      <c r="I449" s="82"/>
    </row>
    <row r="450" spans="1:9" x14ac:dyDescent="0.25">
      <c r="A450" s="114"/>
      <c r="B450" s="5" t="s">
        <v>15</v>
      </c>
      <c r="C450" s="3" t="s">
        <v>338</v>
      </c>
      <c r="D450" s="3" t="s">
        <v>546</v>
      </c>
      <c r="E450" s="36">
        <v>1</v>
      </c>
      <c r="F450" s="36" t="s">
        <v>918</v>
      </c>
      <c r="G450" s="29">
        <v>0</v>
      </c>
      <c r="H450" s="11">
        <v>30.9</v>
      </c>
      <c r="I450" s="11">
        <v>30.9</v>
      </c>
    </row>
    <row r="451" spans="1:9" x14ac:dyDescent="0.25">
      <c r="A451" s="113" t="s">
        <v>21</v>
      </c>
      <c r="B451" s="85" t="s">
        <v>188</v>
      </c>
      <c r="C451" s="82"/>
      <c r="D451" s="82"/>
      <c r="E451" s="82"/>
      <c r="F451" s="82"/>
      <c r="G451" s="82"/>
      <c r="H451" s="82"/>
      <c r="I451" s="82"/>
    </row>
    <row r="452" spans="1:9" x14ac:dyDescent="0.25">
      <c r="A452" s="114"/>
      <c r="B452" s="5" t="s">
        <v>21</v>
      </c>
      <c r="C452" s="3" t="s">
        <v>354</v>
      </c>
      <c r="D452" s="3" t="s">
        <v>546</v>
      </c>
      <c r="E452" s="36">
        <v>1</v>
      </c>
      <c r="F452" s="36" t="s">
        <v>918</v>
      </c>
      <c r="G452" s="29">
        <v>0</v>
      </c>
      <c r="H452" s="11">
        <v>17.899999999999999</v>
      </c>
      <c r="I452" s="11">
        <v>17.899999999999999</v>
      </c>
    </row>
    <row r="453" spans="1:9" x14ac:dyDescent="0.25">
      <c r="A453" s="113" t="s">
        <v>22</v>
      </c>
      <c r="B453" s="85" t="s">
        <v>231</v>
      </c>
      <c r="C453" s="82"/>
      <c r="D453" s="82"/>
      <c r="E453" s="82"/>
      <c r="F453" s="82"/>
      <c r="G453" s="82"/>
      <c r="H453" s="82"/>
      <c r="I453" s="82"/>
    </row>
    <row r="454" spans="1:9" x14ac:dyDescent="0.25">
      <c r="A454" s="114"/>
      <c r="B454" s="5" t="s">
        <v>22</v>
      </c>
      <c r="C454" s="3" t="s">
        <v>387</v>
      </c>
      <c r="D454" s="3" t="s">
        <v>546</v>
      </c>
      <c r="E454" s="36">
        <v>1</v>
      </c>
      <c r="F454" s="36" t="s">
        <v>918</v>
      </c>
      <c r="G454" s="29">
        <v>0</v>
      </c>
      <c r="H454" s="11">
        <v>47.9</v>
      </c>
      <c r="I454" s="11">
        <v>47.9</v>
      </c>
    </row>
    <row r="455" spans="1:9" x14ac:dyDescent="0.25">
      <c r="A455" s="113" t="s">
        <v>47</v>
      </c>
      <c r="B455" s="85" t="s">
        <v>190</v>
      </c>
      <c r="C455" s="82"/>
      <c r="D455" s="82"/>
      <c r="E455" s="82"/>
      <c r="F455" s="82"/>
      <c r="G455" s="82"/>
      <c r="H455" s="82"/>
      <c r="I455" s="82"/>
    </row>
    <row r="456" spans="1:9" x14ac:dyDescent="0.25">
      <c r="A456" s="114"/>
      <c r="B456" s="5" t="s">
        <v>47</v>
      </c>
      <c r="C456" s="3" t="s">
        <v>356</v>
      </c>
      <c r="D456" s="3" t="s">
        <v>572</v>
      </c>
      <c r="E456" s="36">
        <v>1</v>
      </c>
      <c r="F456" s="36" t="s">
        <v>918</v>
      </c>
      <c r="G456" s="29">
        <v>0</v>
      </c>
      <c r="H456" s="11">
        <v>65.900000000000006</v>
      </c>
      <c r="I456" s="11">
        <v>65.900000000000006</v>
      </c>
    </row>
    <row r="457" spans="1:9" x14ac:dyDescent="0.25">
      <c r="A457" s="114"/>
      <c r="B457" s="6" t="s">
        <v>155</v>
      </c>
      <c r="C457" s="4" t="s">
        <v>357</v>
      </c>
      <c r="D457" s="4" t="s">
        <v>571</v>
      </c>
      <c r="E457" s="41">
        <v>30</v>
      </c>
      <c r="F457" s="41" t="s">
        <v>918</v>
      </c>
      <c r="G457" s="30">
        <v>0</v>
      </c>
      <c r="H457" s="12">
        <v>65.900000000000006</v>
      </c>
      <c r="I457" s="12">
        <v>65.900000000000006</v>
      </c>
    </row>
    <row r="458" spans="1:9" x14ac:dyDescent="0.25">
      <c r="A458" s="114"/>
      <c r="B458" s="6" t="s">
        <v>123</v>
      </c>
      <c r="C458" s="4" t="s">
        <v>358</v>
      </c>
      <c r="D458" s="4" t="s">
        <v>562</v>
      </c>
      <c r="E458" s="41">
        <v>30</v>
      </c>
      <c r="F458" s="41" t="s">
        <v>918</v>
      </c>
      <c r="G458" s="30">
        <v>0</v>
      </c>
      <c r="H458" s="12">
        <v>65.900000000000006</v>
      </c>
      <c r="I458" s="12">
        <v>65.900000000000006</v>
      </c>
    </row>
    <row r="459" spans="1:9" x14ac:dyDescent="0.25">
      <c r="A459" s="113" t="s">
        <v>23</v>
      </c>
      <c r="B459" s="85" t="s">
        <v>191</v>
      </c>
      <c r="C459" s="82"/>
      <c r="D459" s="82"/>
      <c r="E459" s="82"/>
      <c r="F459" s="82"/>
      <c r="G459" s="82"/>
      <c r="H459" s="82"/>
      <c r="I459" s="82"/>
    </row>
    <row r="460" spans="1:9" x14ac:dyDescent="0.25">
      <c r="A460" s="114"/>
      <c r="B460" s="5" t="s">
        <v>23</v>
      </c>
      <c r="C460" s="3" t="s">
        <v>388</v>
      </c>
      <c r="D460" s="3" t="s">
        <v>546</v>
      </c>
      <c r="E460" s="36">
        <v>1</v>
      </c>
      <c r="F460" s="36" t="s">
        <v>918</v>
      </c>
      <c r="G460" s="29">
        <v>0</v>
      </c>
      <c r="H460" s="11">
        <v>10.9</v>
      </c>
      <c r="I460" s="11">
        <v>10.9</v>
      </c>
    </row>
    <row r="461" spans="1:9" x14ac:dyDescent="0.25">
      <c r="A461" s="113" t="s">
        <v>24</v>
      </c>
      <c r="B461" s="85" t="s">
        <v>192</v>
      </c>
      <c r="C461" s="82"/>
      <c r="D461" s="82"/>
      <c r="E461" s="82"/>
      <c r="F461" s="82"/>
      <c r="G461" s="82"/>
      <c r="H461" s="82"/>
      <c r="I461" s="82"/>
    </row>
    <row r="462" spans="1:9" x14ac:dyDescent="0.25">
      <c r="A462" s="114"/>
      <c r="B462" s="5" t="s">
        <v>24</v>
      </c>
      <c r="C462" s="3" t="s">
        <v>389</v>
      </c>
      <c r="D462" s="3" t="s">
        <v>545</v>
      </c>
      <c r="E462" s="36">
        <v>1</v>
      </c>
      <c r="F462" s="36" t="s">
        <v>918</v>
      </c>
      <c r="G462" s="29">
        <v>0</v>
      </c>
      <c r="H462" s="11">
        <v>11.9</v>
      </c>
      <c r="I462" s="11">
        <v>11.9</v>
      </c>
    </row>
    <row r="463" spans="1:9" x14ac:dyDescent="0.25">
      <c r="A463" s="114"/>
      <c r="B463" s="85" t="s">
        <v>669</v>
      </c>
      <c r="C463" s="82"/>
      <c r="D463" s="82"/>
      <c r="E463" s="82"/>
      <c r="F463" s="82"/>
      <c r="G463" s="82"/>
      <c r="H463" s="82"/>
      <c r="I463" s="82"/>
    </row>
    <row r="464" spans="1:9" x14ac:dyDescent="0.25">
      <c r="A464" s="114"/>
      <c r="B464" s="5" t="s">
        <v>668</v>
      </c>
      <c r="C464" s="3" t="s">
        <v>670</v>
      </c>
      <c r="D464" s="3" t="s">
        <v>562</v>
      </c>
      <c r="E464" s="36">
        <v>1</v>
      </c>
      <c r="F464" s="36" t="s">
        <v>918</v>
      </c>
      <c r="G464" s="29">
        <v>0</v>
      </c>
      <c r="H464" s="11">
        <v>11.9</v>
      </c>
      <c r="I464" s="11">
        <v>11.9</v>
      </c>
    </row>
    <row r="465" spans="1:9" x14ac:dyDescent="0.25">
      <c r="A465" s="113" t="s">
        <v>25</v>
      </c>
      <c r="B465" s="85" t="s">
        <v>193</v>
      </c>
      <c r="C465" s="82"/>
      <c r="D465" s="82"/>
      <c r="E465" s="82"/>
      <c r="F465" s="82"/>
      <c r="G465" s="82"/>
      <c r="H465" s="82"/>
      <c r="I465" s="82"/>
    </row>
    <row r="466" spans="1:9" x14ac:dyDescent="0.25">
      <c r="A466" s="114"/>
      <c r="B466" s="5" t="s">
        <v>25</v>
      </c>
      <c r="C466" s="3" t="s">
        <v>390</v>
      </c>
      <c r="D466" s="3" t="s">
        <v>546</v>
      </c>
      <c r="E466" s="36">
        <v>1</v>
      </c>
      <c r="F466" s="36" t="s">
        <v>918</v>
      </c>
      <c r="G466" s="29">
        <v>0</v>
      </c>
      <c r="H466" s="11">
        <v>2.9</v>
      </c>
      <c r="I466" s="11">
        <v>2.9</v>
      </c>
    </row>
    <row r="467" spans="1:9" x14ac:dyDescent="0.25">
      <c r="A467" s="113" t="s">
        <v>48</v>
      </c>
      <c r="B467" s="85" t="s">
        <v>601</v>
      </c>
      <c r="C467" s="82"/>
      <c r="D467" s="82"/>
      <c r="E467" s="82"/>
      <c r="F467" s="82"/>
      <c r="G467" s="82"/>
      <c r="H467" s="82"/>
      <c r="I467" s="82"/>
    </row>
    <row r="468" spans="1:9" x14ac:dyDescent="0.25">
      <c r="A468" s="114"/>
      <c r="B468" s="5" t="s">
        <v>48</v>
      </c>
      <c r="C468" s="3" t="s">
        <v>391</v>
      </c>
      <c r="D468" s="3" t="s">
        <v>546</v>
      </c>
      <c r="E468" s="36">
        <v>1</v>
      </c>
      <c r="F468" s="36" t="s">
        <v>918</v>
      </c>
      <c r="G468" s="29">
        <v>0</v>
      </c>
      <c r="H468" s="11">
        <v>33.9</v>
      </c>
      <c r="I468" s="11">
        <v>33.9</v>
      </c>
    </row>
    <row r="469" spans="1:9" x14ac:dyDescent="0.25">
      <c r="A469" s="113" t="s">
        <v>26</v>
      </c>
      <c r="B469" s="85" t="s">
        <v>194</v>
      </c>
      <c r="C469" s="82"/>
      <c r="D469" s="82"/>
      <c r="E469" s="82"/>
      <c r="F469" s="82"/>
      <c r="G469" s="82"/>
      <c r="H469" s="82"/>
      <c r="I469" s="82"/>
    </row>
    <row r="470" spans="1:9" x14ac:dyDescent="0.25">
      <c r="A470" s="114"/>
      <c r="B470" s="5" t="s">
        <v>26</v>
      </c>
      <c r="C470" s="3" t="s">
        <v>392</v>
      </c>
      <c r="D470" s="3" t="s">
        <v>546</v>
      </c>
      <c r="E470" s="36">
        <v>10</v>
      </c>
      <c r="F470" s="36" t="s">
        <v>918</v>
      </c>
      <c r="G470" s="29">
        <v>0</v>
      </c>
      <c r="H470" s="11">
        <v>13.9</v>
      </c>
      <c r="I470" s="11">
        <v>13.9</v>
      </c>
    </row>
    <row r="471" spans="1:9" x14ac:dyDescent="0.25">
      <c r="A471" s="113" t="s">
        <v>124</v>
      </c>
      <c r="B471" s="85" t="s">
        <v>195</v>
      </c>
      <c r="C471" s="82"/>
      <c r="D471" s="82"/>
      <c r="E471" s="82"/>
      <c r="F471" s="82"/>
      <c r="G471" s="82"/>
      <c r="H471" s="82"/>
      <c r="I471" s="82"/>
    </row>
    <row r="472" spans="1:9" x14ac:dyDescent="0.25">
      <c r="A472" s="114"/>
      <c r="B472" s="5" t="s">
        <v>124</v>
      </c>
      <c r="C472" s="3" t="s">
        <v>393</v>
      </c>
      <c r="D472" s="3" t="s">
        <v>572</v>
      </c>
      <c r="E472" s="36">
        <v>1</v>
      </c>
      <c r="F472" s="36" t="s">
        <v>918</v>
      </c>
      <c r="G472" s="29">
        <v>0</v>
      </c>
      <c r="H472" s="11">
        <v>61.9</v>
      </c>
      <c r="I472" s="11">
        <v>61.9</v>
      </c>
    </row>
    <row r="473" spans="1:9" x14ac:dyDescent="0.25">
      <c r="A473" s="114"/>
      <c r="B473" s="6" t="s">
        <v>142</v>
      </c>
      <c r="C473" s="4" t="s">
        <v>394</v>
      </c>
      <c r="D473" s="4" t="s">
        <v>571</v>
      </c>
      <c r="E473" s="41" t="s">
        <v>546</v>
      </c>
      <c r="F473" s="41" t="s">
        <v>918</v>
      </c>
      <c r="G473" s="30">
        <v>0</v>
      </c>
      <c r="H473" s="12">
        <v>61.9</v>
      </c>
      <c r="I473" s="12">
        <v>61.9</v>
      </c>
    </row>
    <row r="474" spans="1:9" x14ac:dyDescent="0.25">
      <c r="A474" s="114"/>
      <c r="B474" s="6" t="s">
        <v>147</v>
      </c>
      <c r="C474" s="4" t="s">
        <v>831</v>
      </c>
      <c r="D474" s="4" t="s">
        <v>570</v>
      </c>
      <c r="E474" s="41" t="s">
        <v>546</v>
      </c>
      <c r="F474" s="41" t="s">
        <v>918</v>
      </c>
      <c r="G474" s="30">
        <v>0</v>
      </c>
      <c r="H474" s="12">
        <v>61.9</v>
      </c>
      <c r="I474" s="12">
        <v>61.9</v>
      </c>
    </row>
    <row r="475" spans="1:9" x14ac:dyDescent="0.25">
      <c r="A475" s="114"/>
      <c r="B475" s="6" t="s">
        <v>125</v>
      </c>
      <c r="C475" s="4" t="s">
        <v>832</v>
      </c>
      <c r="D475" s="4" t="s">
        <v>562</v>
      </c>
      <c r="E475" s="41" t="s">
        <v>546</v>
      </c>
      <c r="F475" s="41" t="s">
        <v>918</v>
      </c>
      <c r="G475" s="30">
        <v>0</v>
      </c>
      <c r="H475" s="12">
        <v>61.9</v>
      </c>
      <c r="I475" s="12">
        <v>61.9</v>
      </c>
    </row>
    <row r="476" spans="1:9" x14ac:dyDescent="0.25">
      <c r="A476" s="113" t="s">
        <v>27</v>
      </c>
      <c r="B476" s="85" t="s">
        <v>196</v>
      </c>
      <c r="C476" s="82"/>
      <c r="D476" s="82"/>
      <c r="E476" s="82"/>
      <c r="F476" s="82"/>
      <c r="G476" s="82"/>
      <c r="H476" s="82"/>
      <c r="I476" s="82"/>
    </row>
    <row r="477" spans="1:9" x14ac:dyDescent="0.25">
      <c r="A477" s="114"/>
      <c r="B477" s="5" t="s">
        <v>27</v>
      </c>
      <c r="C477" s="3" t="s">
        <v>395</v>
      </c>
      <c r="D477" s="3" t="s">
        <v>572</v>
      </c>
      <c r="E477" s="36">
        <v>1</v>
      </c>
      <c r="F477" s="36" t="s">
        <v>918</v>
      </c>
      <c r="G477" s="29">
        <v>0</v>
      </c>
      <c r="H477" s="11">
        <v>67.900000000000006</v>
      </c>
      <c r="I477" s="11">
        <v>67.900000000000006</v>
      </c>
    </row>
    <row r="478" spans="1:9" x14ac:dyDescent="0.25">
      <c r="A478" s="114"/>
      <c r="B478" s="6" t="s">
        <v>143</v>
      </c>
      <c r="C478" s="4" t="s">
        <v>396</v>
      </c>
      <c r="D478" s="4" t="s">
        <v>571</v>
      </c>
      <c r="E478" s="41" t="s">
        <v>546</v>
      </c>
      <c r="F478" s="41" t="s">
        <v>918</v>
      </c>
      <c r="G478" s="30">
        <v>0</v>
      </c>
      <c r="H478" s="12">
        <v>67.900000000000006</v>
      </c>
      <c r="I478" s="12">
        <v>67.900000000000006</v>
      </c>
    </row>
    <row r="479" spans="1:9" x14ac:dyDescent="0.25">
      <c r="A479" s="114"/>
      <c r="B479" s="6" t="s">
        <v>141</v>
      </c>
      <c r="C479" s="4" t="s">
        <v>833</v>
      </c>
      <c r="D479" s="4" t="s">
        <v>570</v>
      </c>
      <c r="E479" s="41" t="s">
        <v>546</v>
      </c>
      <c r="F479" s="41" t="s">
        <v>918</v>
      </c>
      <c r="G479" s="30">
        <v>0</v>
      </c>
      <c r="H479" s="12">
        <v>67.900000000000006</v>
      </c>
      <c r="I479" s="12">
        <v>67.900000000000006</v>
      </c>
    </row>
    <row r="480" spans="1:9" x14ac:dyDescent="0.25">
      <c r="A480" s="113" t="s">
        <v>28</v>
      </c>
      <c r="B480" s="85" t="s">
        <v>197</v>
      </c>
      <c r="C480" s="82"/>
      <c r="D480" s="82"/>
      <c r="E480" s="82"/>
      <c r="F480" s="82"/>
      <c r="G480" s="82"/>
      <c r="H480" s="82"/>
      <c r="I480" s="82"/>
    </row>
    <row r="481" spans="1:9" x14ac:dyDescent="0.25">
      <c r="A481" s="114"/>
      <c r="B481" s="5" t="s">
        <v>28</v>
      </c>
      <c r="C481" s="3" t="s">
        <v>397</v>
      </c>
      <c r="D481" s="3" t="s">
        <v>546</v>
      </c>
      <c r="E481" s="36">
        <v>1</v>
      </c>
      <c r="F481" s="36" t="s">
        <v>918</v>
      </c>
      <c r="G481" s="29">
        <v>0</v>
      </c>
      <c r="H481" s="11">
        <v>38.9</v>
      </c>
      <c r="I481" s="11">
        <v>38.9</v>
      </c>
    </row>
    <row r="482" spans="1:9" x14ac:dyDescent="0.25">
      <c r="A482" s="113" t="s">
        <v>140</v>
      </c>
      <c r="B482" s="85" t="s">
        <v>198</v>
      </c>
      <c r="C482" s="82"/>
      <c r="D482" s="82"/>
      <c r="E482" s="82"/>
      <c r="F482" s="82"/>
      <c r="G482" s="82"/>
      <c r="H482" s="82"/>
      <c r="I482" s="82"/>
    </row>
    <row r="483" spans="1:9" x14ac:dyDescent="0.25">
      <c r="A483" s="114"/>
      <c r="B483" s="5" t="s">
        <v>140</v>
      </c>
      <c r="C483" s="3" t="s">
        <v>398</v>
      </c>
      <c r="D483" s="3" t="s">
        <v>545</v>
      </c>
      <c r="E483" s="36">
        <v>1</v>
      </c>
      <c r="F483" s="36" t="s">
        <v>918</v>
      </c>
      <c r="G483" s="29">
        <v>0</v>
      </c>
      <c r="H483" s="11">
        <v>15.9</v>
      </c>
      <c r="I483" s="11">
        <v>15.9</v>
      </c>
    </row>
    <row r="484" spans="1:9" x14ac:dyDescent="0.25">
      <c r="A484" s="114"/>
      <c r="B484" s="6" t="s">
        <v>144</v>
      </c>
      <c r="C484" s="4" t="s">
        <v>399</v>
      </c>
      <c r="D484" s="4" t="s">
        <v>571</v>
      </c>
      <c r="E484" s="41">
        <v>1</v>
      </c>
      <c r="F484" s="41" t="s">
        <v>918</v>
      </c>
      <c r="G484" s="30">
        <v>0</v>
      </c>
      <c r="H484" s="12">
        <v>15.9</v>
      </c>
      <c r="I484" s="12">
        <v>15.9</v>
      </c>
    </row>
    <row r="485" spans="1:9" x14ac:dyDescent="0.25">
      <c r="A485" s="114"/>
      <c r="B485" s="6" t="s">
        <v>148</v>
      </c>
      <c r="C485" s="4" t="s">
        <v>400</v>
      </c>
      <c r="D485" s="4" t="s">
        <v>570</v>
      </c>
      <c r="E485" s="41">
        <v>1</v>
      </c>
      <c r="F485" s="41" t="s">
        <v>918</v>
      </c>
      <c r="G485" s="30">
        <v>0</v>
      </c>
      <c r="H485" s="12">
        <v>15.9</v>
      </c>
      <c r="I485" s="12">
        <v>15.9</v>
      </c>
    </row>
    <row r="486" spans="1:9" x14ac:dyDescent="0.25">
      <c r="A486" s="114"/>
      <c r="B486" s="6" t="s">
        <v>154</v>
      </c>
      <c r="C486" s="4" t="s">
        <v>401</v>
      </c>
      <c r="D486" s="4" t="s">
        <v>562</v>
      </c>
      <c r="E486" s="41">
        <v>1</v>
      </c>
      <c r="F486" s="41" t="s">
        <v>918</v>
      </c>
      <c r="G486" s="30">
        <v>0</v>
      </c>
      <c r="H486" s="12">
        <v>15.9</v>
      </c>
      <c r="I486" s="12">
        <v>15.9</v>
      </c>
    </row>
    <row r="487" spans="1:9" x14ac:dyDescent="0.25">
      <c r="A487" s="113" t="s">
        <v>51</v>
      </c>
      <c r="B487" s="85" t="s">
        <v>714</v>
      </c>
      <c r="C487" s="82"/>
      <c r="D487" s="82"/>
      <c r="E487" s="82"/>
      <c r="F487" s="82"/>
      <c r="G487" s="82"/>
      <c r="H487" s="82"/>
      <c r="I487" s="82"/>
    </row>
    <row r="488" spans="1:9" x14ac:dyDescent="0.25">
      <c r="A488" s="114"/>
      <c r="B488" s="5" t="s">
        <v>51</v>
      </c>
      <c r="C488" s="3" t="s">
        <v>402</v>
      </c>
      <c r="D488" s="3" t="s">
        <v>546</v>
      </c>
      <c r="E488" s="36">
        <v>1</v>
      </c>
      <c r="F488" s="36" t="s">
        <v>918</v>
      </c>
      <c r="G488" s="29">
        <v>0</v>
      </c>
      <c r="H488" s="11">
        <v>36.9</v>
      </c>
      <c r="I488" s="11">
        <v>36.9</v>
      </c>
    </row>
    <row r="489" spans="1:9" x14ac:dyDescent="0.25">
      <c r="A489" s="113" t="s">
        <v>52</v>
      </c>
      <c r="B489" s="85" t="s">
        <v>715</v>
      </c>
      <c r="C489" s="82"/>
      <c r="D489" s="82"/>
      <c r="E489" s="82"/>
      <c r="F489" s="82"/>
      <c r="G489" s="82"/>
      <c r="H489" s="82"/>
      <c r="I489" s="82"/>
    </row>
    <row r="490" spans="1:9" x14ac:dyDescent="0.25">
      <c r="A490" s="114"/>
      <c r="B490" s="5" t="s">
        <v>52</v>
      </c>
      <c r="C490" s="3" t="s">
        <v>403</v>
      </c>
      <c r="D490" s="3" t="s">
        <v>546</v>
      </c>
      <c r="E490" s="36">
        <v>1</v>
      </c>
      <c r="F490" s="36" t="s">
        <v>918</v>
      </c>
      <c r="G490" s="29">
        <v>0</v>
      </c>
      <c r="H490" s="11">
        <v>61.9</v>
      </c>
      <c r="I490" s="11">
        <v>61.9</v>
      </c>
    </row>
    <row r="491" spans="1:9" x14ac:dyDescent="0.25">
      <c r="A491" s="113" t="s">
        <v>38</v>
      </c>
      <c r="B491" s="85" t="s">
        <v>205</v>
      </c>
      <c r="C491" s="82"/>
      <c r="D491" s="82"/>
      <c r="E491" s="82"/>
      <c r="F491" s="82"/>
      <c r="G491" s="82"/>
      <c r="H491" s="82"/>
      <c r="I491" s="82"/>
    </row>
    <row r="492" spans="1:9" x14ac:dyDescent="0.25">
      <c r="A492" s="114"/>
      <c r="B492" s="5" t="s">
        <v>38</v>
      </c>
      <c r="C492" s="3" t="s">
        <v>404</v>
      </c>
      <c r="D492" s="3" t="s">
        <v>546</v>
      </c>
      <c r="E492" s="36">
        <v>1</v>
      </c>
      <c r="F492" s="36" t="s">
        <v>918</v>
      </c>
      <c r="G492" s="29">
        <v>0</v>
      </c>
      <c r="H492" s="11">
        <v>144.9</v>
      </c>
      <c r="I492" s="11">
        <v>144.9</v>
      </c>
    </row>
    <row r="493" spans="1:9" x14ac:dyDescent="0.25">
      <c r="A493" s="113" t="s">
        <v>49</v>
      </c>
      <c r="B493" s="85" t="s">
        <v>211</v>
      </c>
      <c r="C493" s="82"/>
      <c r="D493" s="82"/>
      <c r="E493" s="82"/>
      <c r="F493" s="82"/>
      <c r="G493" s="82"/>
      <c r="H493" s="82"/>
      <c r="I493" s="82"/>
    </row>
    <row r="494" spans="1:9" x14ac:dyDescent="0.25">
      <c r="A494" s="114"/>
      <c r="B494" s="5" t="s">
        <v>49</v>
      </c>
      <c r="C494" s="3" t="s">
        <v>405</v>
      </c>
      <c r="D494" s="3" t="s">
        <v>546</v>
      </c>
      <c r="E494" s="36">
        <v>24</v>
      </c>
      <c r="F494" s="36" t="s">
        <v>918</v>
      </c>
      <c r="G494" s="29">
        <v>0</v>
      </c>
      <c r="H494" s="11">
        <v>86.9</v>
      </c>
      <c r="I494" s="11">
        <v>86.9</v>
      </c>
    </row>
    <row r="495" spans="1:9" x14ac:dyDescent="0.25">
      <c r="A495" s="113" t="s">
        <v>152</v>
      </c>
      <c r="B495" s="85" t="s">
        <v>212</v>
      </c>
      <c r="C495" s="82"/>
      <c r="D495" s="82"/>
      <c r="E495" s="82"/>
      <c r="F495" s="82"/>
      <c r="G495" s="82"/>
      <c r="H495" s="82"/>
      <c r="I495" s="82"/>
    </row>
    <row r="496" spans="1:9" x14ac:dyDescent="0.25">
      <c r="A496" s="114"/>
      <c r="B496" s="5" t="s">
        <v>152</v>
      </c>
      <c r="C496" s="3" t="s">
        <v>406</v>
      </c>
      <c r="D496" s="3" t="s">
        <v>572</v>
      </c>
      <c r="E496" s="36">
        <v>1</v>
      </c>
      <c r="F496" s="36" t="s">
        <v>918</v>
      </c>
      <c r="G496" s="29">
        <v>0</v>
      </c>
      <c r="H496" s="11">
        <v>47.9</v>
      </c>
      <c r="I496" s="11">
        <v>47.9</v>
      </c>
    </row>
    <row r="497" spans="1:9" x14ac:dyDescent="0.25">
      <c r="A497" s="114"/>
      <c r="B497" s="6" t="s">
        <v>145</v>
      </c>
      <c r="C497" s="4" t="s">
        <v>407</v>
      </c>
      <c r="D497" s="4" t="s">
        <v>571</v>
      </c>
      <c r="E497" s="41">
        <v>1</v>
      </c>
      <c r="F497" s="41" t="s">
        <v>918</v>
      </c>
      <c r="G497" s="30">
        <v>0</v>
      </c>
      <c r="H497" s="12">
        <v>47.9</v>
      </c>
      <c r="I497" s="12">
        <v>47.9</v>
      </c>
    </row>
    <row r="498" spans="1:9" x14ac:dyDescent="0.25">
      <c r="A498" s="114"/>
      <c r="B498" s="6" t="s">
        <v>151</v>
      </c>
      <c r="C498" s="4" t="s">
        <v>408</v>
      </c>
      <c r="D498" s="4" t="s">
        <v>570</v>
      </c>
      <c r="E498" s="41">
        <v>1</v>
      </c>
      <c r="F498" s="41" t="s">
        <v>918</v>
      </c>
      <c r="G498" s="30">
        <v>0</v>
      </c>
      <c r="H498" s="12">
        <v>47.9</v>
      </c>
      <c r="I498" s="12">
        <v>47.9</v>
      </c>
    </row>
    <row r="499" spans="1:9" x14ac:dyDescent="0.25">
      <c r="A499" s="114"/>
      <c r="B499" s="6" t="s">
        <v>82</v>
      </c>
      <c r="C499" s="4" t="s">
        <v>409</v>
      </c>
      <c r="D499" s="4" t="s">
        <v>562</v>
      </c>
      <c r="E499" s="41">
        <v>1</v>
      </c>
      <c r="F499" s="41" t="s">
        <v>918</v>
      </c>
      <c r="G499" s="30">
        <v>0</v>
      </c>
      <c r="H499" s="12">
        <v>48.9</v>
      </c>
      <c r="I499" s="12">
        <v>48.9</v>
      </c>
    </row>
    <row r="500" spans="1:9" x14ac:dyDescent="0.25">
      <c r="A500" s="113" t="s">
        <v>126</v>
      </c>
      <c r="B500" s="85" t="s">
        <v>213</v>
      </c>
      <c r="C500" s="82"/>
      <c r="D500" s="82"/>
      <c r="E500" s="82"/>
      <c r="F500" s="82"/>
      <c r="G500" s="82"/>
      <c r="H500" s="82"/>
      <c r="I500" s="82"/>
    </row>
    <row r="501" spans="1:9" x14ac:dyDescent="0.25">
      <c r="A501" s="114"/>
      <c r="B501" s="5" t="s">
        <v>126</v>
      </c>
      <c r="C501" s="3" t="s">
        <v>410</v>
      </c>
      <c r="D501" s="3" t="s">
        <v>572</v>
      </c>
      <c r="E501" s="36">
        <v>1</v>
      </c>
      <c r="F501" s="36" t="s">
        <v>918</v>
      </c>
      <c r="G501" s="29">
        <v>0</v>
      </c>
      <c r="H501" s="11">
        <v>59.9</v>
      </c>
      <c r="I501" s="11">
        <v>59.9</v>
      </c>
    </row>
    <row r="502" spans="1:9" x14ac:dyDescent="0.25">
      <c r="A502" s="114"/>
      <c r="B502" s="6" t="s">
        <v>127</v>
      </c>
      <c r="C502" s="4" t="s">
        <v>411</v>
      </c>
      <c r="D502" s="4" t="s">
        <v>571</v>
      </c>
      <c r="E502" s="41">
        <v>1</v>
      </c>
      <c r="F502" s="41" t="s">
        <v>918</v>
      </c>
      <c r="G502" s="30">
        <v>0</v>
      </c>
      <c r="H502" s="12">
        <v>59.9</v>
      </c>
      <c r="I502" s="12">
        <v>59.9</v>
      </c>
    </row>
    <row r="503" spans="1:9" x14ac:dyDescent="0.25">
      <c r="A503" s="114"/>
      <c r="B503" s="6" t="s">
        <v>128</v>
      </c>
      <c r="C503" s="4" t="s">
        <v>412</v>
      </c>
      <c r="D503" s="4" t="s">
        <v>570</v>
      </c>
      <c r="E503" s="41">
        <v>1</v>
      </c>
      <c r="F503" s="41" t="s">
        <v>918</v>
      </c>
      <c r="G503" s="30">
        <v>0</v>
      </c>
      <c r="H503" s="12">
        <v>59.9</v>
      </c>
      <c r="I503" s="12">
        <v>59.9</v>
      </c>
    </row>
    <row r="504" spans="1:9" x14ac:dyDescent="0.25">
      <c r="A504" s="114"/>
      <c r="B504" s="6" t="s">
        <v>806</v>
      </c>
      <c r="C504" s="4" t="s">
        <v>834</v>
      </c>
      <c r="D504" s="4" t="s">
        <v>562</v>
      </c>
      <c r="E504" s="41" t="s">
        <v>546</v>
      </c>
      <c r="F504" s="41" t="s">
        <v>918</v>
      </c>
      <c r="G504" s="30">
        <v>0</v>
      </c>
      <c r="H504" s="12">
        <v>59.9</v>
      </c>
      <c r="I504" s="12">
        <v>59.9</v>
      </c>
    </row>
    <row r="505" spans="1:9" x14ac:dyDescent="0.25">
      <c r="A505" s="113" t="s">
        <v>153</v>
      </c>
      <c r="B505" s="85" t="s">
        <v>214</v>
      </c>
      <c r="C505" s="82"/>
      <c r="D505" s="82"/>
      <c r="E505" s="82"/>
      <c r="F505" s="82"/>
      <c r="G505" s="82"/>
      <c r="H505" s="82"/>
      <c r="I505" s="82"/>
    </row>
    <row r="506" spans="1:9" x14ac:dyDescent="0.25">
      <c r="A506" s="114"/>
      <c r="B506" s="5" t="s">
        <v>153</v>
      </c>
      <c r="C506" s="3" t="s">
        <v>413</v>
      </c>
      <c r="D506" s="3" t="s">
        <v>572</v>
      </c>
      <c r="E506" s="36">
        <v>1</v>
      </c>
      <c r="F506" s="36" t="s">
        <v>918</v>
      </c>
      <c r="G506" s="29">
        <v>0</v>
      </c>
      <c r="H506" s="11">
        <v>84.9</v>
      </c>
      <c r="I506" s="11">
        <v>84.9</v>
      </c>
    </row>
    <row r="507" spans="1:9" x14ac:dyDescent="0.25">
      <c r="A507" s="114"/>
      <c r="B507" s="6" t="s">
        <v>146</v>
      </c>
      <c r="C507" s="4" t="s">
        <v>414</v>
      </c>
      <c r="D507" s="4" t="s">
        <v>571</v>
      </c>
      <c r="E507" s="41">
        <v>1</v>
      </c>
      <c r="F507" s="41" t="s">
        <v>918</v>
      </c>
      <c r="G507" s="30">
        <v>0</v>
      </c>
      <c r="H507" s="12">
        <v>84.9</v>
      </c>
      <c r="I507" s="12">
        <v>84.9</v>
      </c>
    </row>
    <row r="508" spans="1:9" x14ac:dyDescent="0.25">
      <c r="A508" s="114"/>
      <c r="B508" s="6" t="s">
        <v>129</v>
      </c>
      <c r="C508" s="4" t="s">
        <v>415</v>
      </c>
      <c r="D508" s="4" t="s">
        <v>570</v>
      </c>
      <c r="E508" s="41">
        <v>1</v>
      </c>
      <c r="F508" s="41" t="s">
        <v>918</v>
      </c>
      <c r="G508" s="30">
        <v>0</v>
      </c>
      <c r="H508" s="12">
        <v>84.9</v>
      </c>
      <c r="I508" s="12">
        <v>84.9</v>
      </c>
    </row>
    <row r="509" spans="1:9" x14ac:dyDescent="0.25">
      <c r="A509" s="114"/>
      <c r="B509" s="6" t="s">
        <v>83</v>
      </c>
      <c r="C509" s="4" t="s">
        <v>416</v>
      </c>
      <c r="D509" s="4" t="s">
        <v>562</v>
      </c>
      <c r="E509" s="41">
        <v>1</v>
      </c>
      <c r="F509" s="41" t="s">
        <v>918</v>
      </c>
      <c r="G509" s="30">
        <v>0</v>
      </c>
      <c r="H509" s="12">
        <v>86.9</v>
      </c>
      <c r="I509" s="12">
        <v>86.9</v>
      </c>
    </row>
    <row r="510" spans="1:9" x14ac:dyDescent="0.25">
      <c r="A510" s="113" t="s">
        <v>509</v>
      </c>
      <c r="B510" s="85" t="s">
        <v>510</v>
      </c>
      <c r="C510" s="82"/>
      <c r="D510" s="82"/>
      <c r="E510" s="82"/>
      <c r="F510" s="82"/>
      <c r="G510" s="82"/>
      <c r="H510" s="82"/>
      <c r="I510" s="82"/>
    </row>
    <row r="511" spans="1:9" x14ac:dyDescent="0.25">
      <c r="A511" s="114"/>
      <c r="B511" s="5" t="s">
        <v>509</v>
      </c>
      <c r="C511" s="3" t="s">
        <v>511</v>
      </c>
      <c r="D511" s="3" t="s">
        <v>546</v>
      </c>
      <c r="E511" s="36">
        <v>48</v>
      </c>
      <c r="F511" s="36" t="s">
        <v>918</v>
      </c>
      <c r="G511" s="29">
        <v>0</v>
      </c>
      <c r="H511" s="11">
        <v>11.9</v>
      </c>
      <c r="I511" s="11">
        <v>11.9</v>
      </c>
    </row>
    <row r="512" spans="1:9" x14ac:dyDescent="0.25">
      <c r="A512" s="113" t="s">
        <v>513</v>
      </c>
      <c r="B512" s="85" t="s">
        <v>512</v>
      </c>
      <c r="C512" s="82"/>
      <c r="D512" s="82"/>
      <c r="E512" s="82"/>
      <c r="F512" s="82"/>
      <c r="G512" s="82"/>
      <c r="H512" s="82"/>
      <c r="I512" s="82"/>
    </row>
    <row r="513" spans="1:9" x14ac:dyDescent="0.25">
      <c r="A513" s="114"/>
      <c r="B513" s="5" t="s">
        <v>513</v>
      </c>
      <c r="C513" s="3" t="s">
        <v>514</v>
      </c>
      <c r="D513" s="3" t="s">
        <v>546</v>
      </c>
      <c r="E513" s="36">
        <v>24</v>
      </c>
      <c r="F513" s="36" t="s">
        <v>918</v>
      </c>
      <c r="G513" s="29">
        <v>0</v>
      </c>
      <c r="H513" s="11">
        <v>17.899999999999999</v>
      </c>
      <c r="I513" s="11">
        <v>17.899999999999999</v>
      </c>
    </row>
    <row r="514" spans="1:9" x14ac:dyDescent="0.25">
      <c r="A514" s="113" t="s">
        <v>515</v>
      </c>
      <c r="B514" s="85" t="s">
        <v>789</v>
      </c>
      <c r="C514" s="82"/>
      <c r="D514" s="82"/>
      <c r="E514" s="82"/>
      <c r="F514" s="82"/>
      <c r="G514" s="82"/>
      <c r="H514" s="82"/>
      <c r="I514" s="82"/>
    </row>
    <row r="515" spans="1:9" x14ac:dyDescent="0.25">
      <c r="A515" s="114"/>
      <c r="B515" s="5" t="s">
        <v>515</v>
      </c>
      <c r="C515" s="3" t="s">
        <v>521</v>
      </c>
      <c r="D515" s="3" t="s">
        <v>546</v>
      </c>
      <c r="E515" s="36">
        <v>10</v>
      </c>
      <c r="F515" s="36" t="s">
        <v>918</v>
      </c>
      <c r="G515" s="29">
        <v>0</v>
      </c>
      <c r="H515" s="11">
        <v>66.900000000000006</v>
      </c>
      <c r="I515" s="11">
        <v>66.900000000000006</v>
      </c>
    </row>
    <row r="516" spans="1:9" x14ac:dyDescent="0.25">
      <c r="A516" s="113" t="s">
        <v>516</v>
      </c>
      <c r="B516" s="85" t="s">
        <v>793</v>
      </c>
      <c r="C516" s="82"/>
      <c r="D516" s="82"/>
      <c r="E516" s="82"/>
      <c r="F516" s="82"/>
      <c r="G516" s="82"/>
      <c r="H516" s="82"/>
      <c r="I516" s="82"/>
    </row>
    <row r="517" spans="1:9" x14ac:dyDescent="0.25">
      <c r="A517" s="114"/>
      <c r="B517" s="5" t="s">
        <v>516</v>
      </c>
      <c r="C517" s="3" t="s">
        <v>517</v>
      </c>
      <c r="D517" s="3" t="s">
        <v>546</v>
      </c>
      <c r="E517" s="36" t="s">
        <v>546</v>
      </c>
      <c r="F517" s="36" t="s">
        <v>918</v>
      </c>
      <c r="G517" s="29">
        <v>0</v>
      </c>
      <c r="H517" s="11">
        <v>23.9</v>
      </c>
      <c r="I517" s="11">
        <v>23.9</v>
      </c>
    </row>
    <row r="518" spans="1:9" x14ac:dyDescent="0.25">
      <c r="A518" s="113" t="s">
        <v>589</v>
      </c>
      <c r="B518" s="85" t="s">
        <v>590</v>
      </c>
      <c r="C518" s="82"/>
      <c r="D518" s="82"/>
      <c r="E518" s="82"/>
      <c r="F518" s="82"/>
      <c r="G518" s="82"/>
      <c r="H518" s="82"/>
      <c r="I518" s="82"/>
    </row>
    <row r="519" spans="1:9" x14ac:dyDescent="0.25">
      <c r="A519" s="114"/>
      <c r="B519" s="5" t="s">
        <v>589</v>
      </c>
      <c r="C519" s="3" t="s">
        <v>591</v>
      </c>
      <c r="D519" s="3" t="s">
        <v>545</v>
      </c>
      <c r="E519" s="36">
        <v>1</v>
      </c>
      <c r="F519" s="36" t="s">
        <v>918</v>
      </c>
      <c r="G519" s="29">
        <v>0</v>
      </c>
      <c r="H519" s="11">
        <v>15.9</v>
      </c>
      <c r="I519" s="11">
        <v>15.9</v>
      </c>
    </row>
    <row r="520" spans="1:9" x14ac:dyDescent="0.25">
      <c r="A520" s="113" t="s">
        <v>595</v>
      </c>
      <c r="B520" s="85" t="s">
        <v>596</v>
      </c>
      <c r="C520" s="82"/>
      <c r="D520" s="82"/>
      <c r="E520" s="82"/>
      <c r="F520" s="82"/>
      <c r="G520" s="82"/>
      <c r="H520" s="82"/>
      <c r="I520" s="82"/>
    </row>
    <row r="521" spans="1:9" x14ac:dyDescent="0.25">
      <c r="A521" s="114"/>
      <c r="B521" s="5" t="s">
        <v>595</v>
      </c>
      <c r="C521" s="3" t="s">
        <v>597</v>
      </c>
      <c r="D521" s="3" t="s">
        <v>546</v>
      </c>
      <c r="E521" s="36">
        <v>1</v>
      </c>
      <c r="F521" s="36" t="s">
        <v>918</v>
      </c>
      <c r="G521" s="29">
        <v>0</v>
      </c>
      <c r="H521" s="11">
        <v>2.9</v>
      </c>
      <c r="I521" s="11">
        <v>2.9</v>
      </c>
    </row>
    <row r="522" spans="1:9" x14ac:dyDescent="0.25">
      <c r="A522" s="113" t="s">
        <v>605</v>
      </c>
      <c r="B522" s="85" t="s">
        <v>606</v>
      </c>
      <c r="C522" s="82"/>
      <c r="D522" s="82"/>
      <c r="E522" s="82"/>
      <c r="F522" s="82"/>
      <c r="G522" s="82"/>
      <c r="H522" s="82"/>
      <c r="I522" s="82"/>
    </row>
    <row r="523" spans="1:9" x14ac:dyDescent="0.25">
      <c r="A523" s="114"/>
      <c r="B523" s="5" t="s">
        <v>605</v>
      </c>
      <c r="C523" s="3" t="s">
        <v>607</v>
      </c>
      <c r="D523" s="3" t="s">
        <v>546</v>
      </c>
      <c r="E523" s="36">
        <v>20</v>
      </c>
      <c r="F523" s="36" t="s">
        <v>918</v>
      </c>
      <c r="G523" s="29">
        <v>0</v>
      </c>
      <c r="H523" s="11">
        <v>47.9</v>
      </c>
      <c r="I523" s="11">
        <v>47.9</v>
      </c>
    </row>
    <row r="524" spans="1:9" x14ac:dyDescent="0.25">
      <c r="A524" s="113" t="s">
        <v>629</v>
      </c>
      <c r="B524" s="85" t="s">
        <v>630</v>
      </c>
      <c r="C524" s="82"/>
      <c r="D524" s="82"/>
      <c r="E524" s="82"/>
      <c r="F524" s="82"/>
      <c r="G524" s="82"/>
      <c r="H524" s="82"/>
      <c r="I524" s="82"/>
    </row>
    <row r="525" spans="1:9" x14ac:dyDescent="0.25">
      <c r="A525" s="114"/>
      <c r="B525" s="5" t="s">
        <v>629</v>
      </c>
      <c r="C525" s="3" t="s">
        <v>631</v>
      </c>
      <c r="D525" s="3" t="s">
        <v>546</v>
      </c>
      <c r="E525" s="36">
        <v>40</v>
      </c>
      <c r="F525" s="36" t="s">
        <v>918</v>
      </c>
      <c r="G525" s="29">
        <v>0</v>
      </c>
      <c r="H525" s="11">
        <v>36.9</v>
      </c>
      <c r="I525" s="11">
        <v>36.9</v>
      </c>
    </row>
    <row r="526" spans="1:9" x14ac:dyDescent="0.25">
      <c r="A526" s="113" t="s">
        <v>655</v>
      </c>
      <c r="B526" s="85" t="s">
        <v>656</v>
      </c>
      <c r="C526" s="82"/>
      <c r="D526" s="82"/>
      <c r="E526" s="82"/>
      <c r="F526" s="82"/>
      <c r="G526" s="82"/>
      <c r="H526" s="82"/>
      <c r="I526" s="82"/>
    </row>
    <row r="527" spans="1:9" x14ac:dyDescent="0.25">
      <c r="A527" s="114"/>
      <c r="B527" s="5" t="s">
        <v>655</v>
      </c>
      <c r="C527" s="3" t="s">
        <v>657</v>
      </c>
      <c r="D527" s="3" t="s">
        <v>546</v>
      </c>
      <c r="E527" s="36">
        <v>1</v>
      </c>
      <c r="F527" s="36" t="s">
        <v>918</v>
      </c>
      <c r="G527" s="29">
        <v>0</v>
      </c>
      <c r="H527" s="11">
        <v>17.899999999999999</v>
      </c>
      <c r="I527" s="11">
        <v>17.899999999999999</v>
      </c>
    </row>
    <row r="528" spans="1:9" x14ac:dyDescent="0.25">
      <c r="A528" s="113" t="s">
        <v>658</v>
      </c>
      <c r="B528" s="85" t="s">
        <v>659</v>
      </c>
      <c r="C528" s="82"/>
      <c r="D528" s="82"/>
      <c r="E528" s="82"/>
      <c r="F528" s="82"/>
      <c r="G528" s="82"/>
      <c r="H528" s="82"/>
      <c r="I528" s="82"/>
    </row>
    <row r="529" spans="1:9" x14ac:dyDescent="0.25">
      <c r="A529" s="114"/>
      <c r="B529" s="5" t="s">
        <v>658</v>
      </c>
      <c r="C529" s="3" t="s">
        <v>660</v>
      </c>
      <c r="D529" s="3" t="s">
        <v>572</v>
      </c>
      <c r="E529" s="36">
        <v>1</v>
      </c>
      <c r="F529" s="36" t="s">
        <v>918</v>
      </c>
      <c r="G529" s="29">
        <v>0</v>
      </c>
      <c r="H529" s="11">
        <v>65.900000000000006</v>
      </c>
      <c r="I529" s="11">
        <v>65.900000000000006</v>
      </c>
    </row>
    <row r="530" spans="1:9" x14ac:dyDescent="0.25">
      <c r="A530" s="114"/>
      <c r="B530" s="6" t="s">
        <v>661</v>
      </c>
      <c r="C530" s="4" t="s">
        <v>662</v>
      </c>
      <c r="D530" s="4" t="s">
        <v>571</v>
      </c>
      <c r="E530" s="41">
        <v>1</v>
      </c>
      <c r="F530" s="41" t="s">
        <v>918</v>
      </c>
      <c r="G530" s="30">
        <v>0</v>
      </c>
      <c r="H530" s="12">
        <v>65.900000000000006</v>
      </c>
      <c r="I530" s="12">
        <v>65.900000000000006</v>
      </c>
    </row>
    <row r="531" spans="1:9" x14ac:dyDescent="0.25">
      <c r="A531" s="114"/>
      <c r="B531" s="6" t="s">
        <v>663</v>
      </c>
      <c r="C531" s="4" t="s">
        <v>664</v>
      </c>
      <c r="D531" s="4" t="s">
        <v>570</v>
      </c>
      <c r="E531" s="41">
        <v>1</v>
      </c>
      <c r="F531" s="41" t="s">
        <v>918</v>
      </c>
      <c r="G531" s="30">
        <v>0</v>
      </c>
      <c r="H531" s="12">
        <v>65.900000000000006</v>
      </c>
      <c r="I531" s="12">
        <v>65.900000000000006</v>
      </c>
    </row>
    <row r="532" spans="1:9" x14ac:dyDescent="0.25">
      <c r="A532" s="114"/>
      <c r="B532" s="6" t="s">
        <v>665</v>
      </c>
      <c r="C532" s="4" t="s">
        <v>666</v>
      </c>
      <c r="D532" s="4" t="s">
        <v>562</v>
      </c>
      <c r="E532" s="41">
        <v>1</v>
      </c>
      <c r="F532" s="41" t="s">
        <v>918</v>
      </c>
      <c r="G532" s="30">
        <v>0</v>
      </c>
      <c r="H532" s="12">
        <v>65.900000000000006</v>
      </c>
      <c r="I532" s="12">
        <v>65.900000000000006</v>
      </c>
    </row>
    <row r="533" spans="1:9" x14ac:dyDescent="0.25">
      <c r="A533" s="113" t="s">
        <v>890</v>
      </c>
      <c r="B533" s="85" t="s">
        <v>206</v>
      </c>
      <c r="C533" s="82"/>
      <c r="D533" s="82"/>
      <c r="E533" s="82"/>
      <c r="F533" s="82"/>
      <c r="G533" s="82"/>
      <c r="H533" s="82"/>
      <c r="I533" s="82"/>
    </row>
    <row r="534" spans="1:9" x14ac:dyDescent="0.25">
      <c r="A534" s="114"/>
      <c r="B534" s="5" t="s">
        <v>890</v>
      </c>
      <c r="C534" s="3" t="s">
        <v>891</v>
      </c>
      <c r="D534" s="3" t="s">
        <v>546</v>
      </c>
      <c r="E534" s="36">
        <v>1</v>
      </c>
      <c r="F534" s="36" t="s">
        <v>918</v>
      </c>
      <c r="G534" s="29">
        <v>0</v>
      </c>
      <c r="H534" s="11">
        <v>188.9</v>
      </c>
      <c r="I534" s="11">
        <v>188.9</v>
      </c>
    </row>
    <row r="535" spans="1:9" x14ac:dyDescent="0.25">
      <c r="A535" s="113" t="s">
        <v>786</v>
      </c>
      <c r="B535" s="85" t="s">
        <v>787</v>
      </c>
      <c r="C535" s="82"/>
      <c r="D535" s="82"/>
      <c r="E535" s="82"/>
      <c r="F535" s="82"/>
      <c r="G535" s="82"/>
      <c r="H535" s="82"/>
      <c r="I535" s="82"/>
    </row>
    <row r="536" spans="1:9" x14ac:dyDescent="0.25">
      <c r="A536" s="114"/>
      <c r="B536" s="5" t="s">
        <v>786</v>
      </c>
      <c r="C536" s="3" t="s">
        <v>788</v>
      </c>
      <c r="D536" s="3" t="s">
        <v>546</v>
      </c>
      <c r="E536" s="36" t="s">
        <v>546</v>
      </c>
      <c r="F536" s="36" t="s">
        <v>918</v>
      </c>
      <c r="G536" s="29">
        <v>0</v>
      </c>
      <c r="H536" s="11">
        <v>59.9</v>
      </c>
      <c r="I536" s="11">
        <v>59.9</v>
      </c>
    </row>
    <row r="537" spans="1:9" x14ac:dyDescent="0.25">
      <c r="A537" s="113" t="s">
        <v>812</v>
      </c>
      <c r="B537" s="85" t="s">
        <v>813</v>
      </c>
      <c r="C537" s="82"/>
      <c r="D537" s="82"/>
      <c r="E537" s="82"/>
      <c r="F537" s="82"/>
      <c r="G537" s="82"/>
      <c r="H537" s="82"/>
      <c r="I537" s="82"/>
    </row>
    <row r="538" spans="1:9" x14ac:dyDescent="0.25">
      <c r="A538" s="114"/>
      <c r="B538" s="5" t="s">
        <v>812</v>
      </c>
      <c r="C538" s="3" t="s">
        <v>814</v>
      </c>
      <c r="D538" s="3" t="s">
        <v>546</v>
      </c>
      <c r="E538" s="36">
        <v>20</v>
      </c>
      <c r="F538" s="36" t="s">
        <v>918</v>
      </c>
      <c r="G538" s="29">
        <v>0</v>
      </c>
      <c r="H538" s="11">
        <v>41.9</v>
      </c>
      <c r="I538" s="11">
        <v>41.9</v>
      </c>
    </row>
    <row r="539" spans="1:9" x14ac:dyDescent="0.25">
      <c r="A539" s="113" t="s">
        <v>815</v>
      </c>
      <c r="B539" s="85" t="s">
        <v>816</v>
      </c>
      <c r="C539" s="82"/>
      <c r="D539" s="82"/>
      <c r="E539" s="82"/>
      <c r="F539" s="82"/>
      <c r="G539" s="82"/>
      <c r="H539" s="82"/>
      <c r="I539" s="82"/>
    </row>
    <row r="540" spans="1:9" x14ac:dyDescent="0.25">
      <c r="A540" s="114"/>
      <c r="B540" s="5" t="s">
        <v>815</v>
      </c>
      <c r="C540" s="3" t="s">
        <v>817</v>
      </c>
      <c r="D540" s="3" t="s">
        <v>546</v>
      </c>
      <c r="E540" s="36">
        <v>20</v>
      </c>
      <c r="F540" s="36" t="s">
        <v>918</v>
      </c>
      <c r="G540" s="29">
        <v>0</v>
      </c>
      <c r="H540" s="11">
        <v>53.9</v>
      </c>
      <c r="I540" s="11">
        <v>53.9</v>
      </c>
    </row>
    <row r="541" spans="1:9" x14ac:dyDescent="0.25">
      <c r="A541" s="113" t="s">
        <v>818</v>
      </c>
      <c r="B541" s="85" t="s">
        <v>1242</v>
      </c>
      <c r="C541" s="82"/>
      <c r="D541" s="82"/>
      <c r="E541" s="82"/>
      <c r="F541" s="82"/>
      <c r="G541" s="82"/>
      <c r="H541" s="82"/>
      <c r="I541" s="82"/>
    </row>
    <row r="542" spans="1:9" x14ac:dyDescent="0.25">
      <c r="A542" s="114"/>
      <c r="B542" s="5" t="s">
        <v>818</v>
      </c>
      <c r="C542" s="3" t="s">
        <v>819</v>
      </c>
      <c r="D542" s="3" t="s">
        <v>546</v>
      </c>
      <c r="E542" s="36">
        <v>1</v>
      </c>
      <c r="F542" s="36" t="s">
        <v>918</v>
      </c>
      <c r="G542" s="29">
        <v>0</v>
      </c>
      <c r="H542" s="11">
        <v>108.9</v>
      </c>
      <c r="I542" s="11">
        <v>108.9</v>
      </c>
    </row>
    <row r="543" spans="1:9" x14ac:dyDescent="0.25">
      <c r="A543" s="113" t="s">
        <v>820</v>
      </c>
      <c r="B543" s="85" t="s">
        <v>1243</v>
      </c>
      <c r="C543" s="82"/>
      <c r="D543" s="82"/>
      <c r="E543" s="82"/>
      <c r="F543" s="82"/>
      <c r="G543" s="82"/>
      <c r="H543" s="82"/>
      <c r="I543" s="82"/>
    </row>
    <row r="544" spans="1:9" x14ac:dyDescent="0.25">
      <c r="A544" s="114"/>
      <c r="B544" s="5" t="s">
        <v>820</v>
      </c>
      <c r="C544" s="3" t="s">
        <v>821</v>
      </c>
      <c r="D544" s="3" t="s">
        <v>546</v>
      </c>
      <c r="E544" s="36">
        <v>1</v>
      </c>
      <c r="F544" s="36" t="s">
        <v>918</v>
      </c>
      <c r="G544" s="29">
        <v>0</v>
      </c>
      <c r="H544" s="11">
        <v>192.9</v>
      </c>
      <c r="I544" s="11">
        <v>192.9</v>
      </c>
    </row>
    <row r="545" spans="1:9" x14ac:dyDescent="0.25">
      <c r="A545" s="113" t="s">
        <v>892</v>
      </c>
      <c r="B545" s="85" t="s">
        <v>893</v>
      </c>
      <c r="C545" s="82"/>
      <c r="D545" s="82"/>
      <c r="E545" s="82"/>
      <c r="F545" s="82"/>
      <c r="G545" s="82"/>
      <c r="H545" s="82"/>
      <c r="I545" s="82"/>
    </row>
    <row r="546" spans="1:9" x14ac:dyDescent="0.25">
      <c r="A546" s="114"/>
      <c r="B546" s="5" t="s">
        <v>892</v>
      </c>
      <c r="C546" s="3" t="s">
        <v>894</v>
      </c>
      <c r="D546" s="3" t="s">
        <v>546</v>
      </c>
      <c r="E546" s="36">
        <v>1</v>
      </c>
      <c r="F546" s="36" t="s">
        <v>918</v>
      </c>
      <c r="G546" s="29">
        <v>0</v>
      </c>
      <c r="H546" s="11">
        <v>349.9</v>
      </c>
      <c r="I546" s="11">
        <v>349.9</v>
      </c>
    </row>
    <row r="547" spans="1:9" x14ac:dyDescent="0.25">
      <c r="A547" s="113" t="s">
        <v>900</v>
      </c>
      <c r="B547" s="85" t="s">
        <v>904</v>
      </c>
      <c r="C547" s="82"/>
      <c r="D547" s="82"/>
      <c r="E547" s="82"/>
      <c r="F547" s="82"/>
      <c r="G547" s="82"/>
      <c r="H547" s="82"/>
      <c r="I547" s="82"/>
    </row>
    <row r="548" spans="1:9" x14ac:dyDescent="0.25">
      <c r="A548" s="114"/>
      <c r="B548" s="5" t="s">
        <v>900</v>
      </c>
      <c r="C548" s="3" t="s">
        <v>905</v>
      </c>
      <c r="D548" s="3" t="s">
        <v>546</v>
      </c>
      <c r="E548" s="36">
        <v>12</v>
      </c>
      <c r="F548" s="36" t="s">
        <v>919</v>
      </c>
      <c r="G548" s="29">
        <v>0</v>
      </c>
      <c r="H548" s="11">
        <v>134.9</v>
      </c>
      <c r="I548" s="11">
        <v>134.9</v>
      </c>
    </row>
    <row r="549" spans="1:9" x14ac:dyDescent="0.25">
      <c r="A549" s="113" t="s">
        <v>901</v>
      </c>
      <c r="B549" s="1" t="s">
        <v>1830</v>
      </c>
      <c r="H549"/>
      <c r="I549"/>
    </row>
    <row r="550" spans="1:9" x14ac:dyDescent="0.25">
      <c r="A550" s="114"/>
      <c r="B550" s="5" t="s">
        <v>901</v>
      </c>
      <c r="C550" s="3" t="s">
        <v>906</v>
      </c>
      <c r="D550" s="3" t="s">
        <v>545</v>
      </c>
      <c r="E550" s="36">
        <v>18</v>
      </c>
      <c r="F550" s="36" t="s">
        <v>919</v>
      </c>
      <c r="G550" s="29">
        <v>0</v>
      </c>
      <c r="H550" s="11">
        <v>58.9</v>
      </c>
      <c r="I550" s="11">
        <v>58.9</v>
      </c>
    </row>
    <row r="551" spans="1:9" x14ac:dyDescent="0.25">
      <c r="A551" s="114"/>
      <c r="B551" s="6" t="s">
        <v>902</v>
      </c>
      <c r="C551" s="4" t="s">
        <v>907</v>
      </c>
      <c r="D551" s="4" t="s">
        <v>570</v>
      </c>
      <c r="E551" s="41">
        <v>18</v>
      </c>
      <c r="F551" s="41" t="s">
        <v>919</v>
      </c>
      <c r="G551" s="30">
        <v>0</v>
      </c>
      <c r="H551" s="12">
        <v>58.9</v>
      </c>
      <c r="I551" s="12">
        <v>58.9</v>
      </c>
    </row>
    <row r="552" spans="1:9" x14ac:dyDescent="0.25">
      <c r="A552" s="113" t="s">
        <v>908</v>
      </c>
      <c r="B552" s="85" t="s">
        <v>909</v>
      </c>
      <c r="C552" s="82"/>
      <c r="D552" s="82"/>
      <c r="E552" s="82"/>
      <c r="F552" s="82"/>
      <c r="G552" s="82"/>
      <c r="H552" s="82"/>
      <c r="I552" s="82"/>
    </row>
    <row r="553" spans="1:9" x14ac:dyDescent="0.25">
      <c r="A553" s="114"/>
      <c r="B553" s="5" t="s">
        <v>908</v>
      </c>
      <c r="C553" s="3" t="s">
        <v>910</v>
      </c>
      <c r="D553" s="3" t="s">
        <v>546</v>
      </c>
      <c r="E553" s="36">
        <v>24</v>
      </c>
      <c r="F553" s="36" t="s">
        <v>918</v>
      </c>
      <c r="G553" s="29">
        <v>0</v>
      </c>
      <c r="H553" s="11">
        <v>18.5</v>
      </c>
      <c r="I553" s="11">
        <v>18.5</v>
      </c>
    </row>
    <row r="554" spans="1:9" x14ac:dyDescent="0.25">
      <c r="A554" s="113" t="s">
        <v>913</v>
      </c>
      <c r="B554" s="85" t="s">
        <v>914</v>
      </c>
      <c r="C554" s="82"/>
      <c r="D554" s="82"/>
      <c r="E554" s="82"/>
      <c r="F554" s="82"/>
      <c r="G554" s="82"/>
      <c r="H554" s="82"/>
      <c r="I554" s="82"/>
    </row>
    <row r="555" spans="1:9" x14ac:dyDescent="0.25">
      <c r="A555" s="114"/>
      <c r="B555" s="5" t="s">
        <v>913</v>
      </c>
      <c r="C555" s="3" t="s">
        <v>915</v>
      </c>
      <c r="D555" s="3" t="s">
        <v>546</v>
      </c>
      <c r="E555" s="36">
        <v>24</v>
      </c>
      <c r="F555" s="36" t="s">
        <v>918</v>
      </c>
      <c r="G555" s="29">
        <v>0</v>
      </c>
      <c r="H555" s="11">
        <v>38.9</v>
      </c>
      <c r="I555" s="11">
        <v>38.9</v>
      </c>
    </row>
    <row r="556" spans="1:9" x14ac:dyDescent="0.25">
      <c r="A556" s="113" t="s">
        <v>934</v>
      </c>
      <c r="B556" s="85" t="s">
        <v>935</v>
      </c>
      <c r="C556" s="82"/>
      <c r="D556" s="82"/>
      <c r="E556" s="82"/>
      <c r="F556" s="82"/>
      <c r="G556" s="82"/>
      <c r="H556" s="82"/>
      <c r="I556" s="82"/>
    </row>
    <row r="557" spans="1:9" x14ac:dyDescent="0.25">
      <c r="A557" s="114"/>
      <c r="B557" s="5" t="s">
        <v>934</v>
      </c>
      <c r="C557" s="3" t="s">
        <v>936</v>
      </c>
      <c r="D557" s="3" t="s">
        <v>546</v>
      </c>
      <c r="E557" s="36">
        <v>1</v>
      </c>
      <c r="F557" s="36" t="s">
        <v>918</v>
      </c>
      <c r="G557" s="29">
        <v>0</v>
      </c>
      <c r="H557" s="11">
        <v>5</v>
      </c>
      <c r="I557" s="11">
        <v>5</v>
      </c>
    </row>
    <row r="558" spans="1:9" x14ac:dyDescent="0.25">
      <c r="A558" s="113" t="s">
        <v>931</v>
      </c>
      <c r="B558" s="85" t="s">
        <v>932</v>
      </c>
      <c r="C558" s="82"/>
      <c r="D558" s="82"/>
      <c r="E558" s="82"/>
      <c r="F558" s="82"/>
      <c r="G558" s="82"/>
      <c r="H558" s="82"/>
      <c r="I558" s="82"/>
    </row>
    <row r="559" spans="1:9" x14ac:dyDescent="0.25">
      <c r="A559" s="114"/>
      <c r="B559" s="5" t="s">
        <v>931</v>
      </c>
      <c r="C559" s="3" t="s">
        <v>933</v>
      </c>
      <c r="D559" s="3" t="s">
        <v>546</v>
      </c>
      <c r="E559" s="36" t="s">
        <v>546</v>
      </c>
      <c r="F559" s="36" t="s">
        <v>918</v>
      </c>
      <c r="G559" s="29">
        <v>0</v>
      </c>
      <c r="H559" s="11">
        <v>29.5</v>
      </c>
      <c r="I559" s="11">
        <v>29.5</v>
      </c>
    </row>
    <row r="560" spans="1:9" x14ac:dyDescent="0.25">
      <c r="A560" s="113" t="s">
        <v>585</v>
      </c>
      <c r="B560" s="85" t="s">
        <v>586</v>
      </c>
      <c r="C560" s="82"/>
      <c r="D560" s="82"/>
      <c r="E560" s="82"/>
      <c r="F560" s="82"/>
      <c r="G560" s="82"/>
      <c r="H560" s="82"/>
      <c r="I560" s="82"/>
    </row>
    <row r="561" spans="1:9" x14ac:dyDescent="0.25">
      <c r="A561" s="114"/>
      <c r="B561" s="5" t="s">
        <v>585</v>
      </c>
      <c r="C561" s="3" t="s">
        <v>830</v>
      </c>
      <c r="D561" s="3" t="s">
        <v>562</v>
      </c>
      <c r="E561" s="36" t="s">
        <v>546</v>
      </c>
      <c r="F561" s="36" t="s">
        <v>918</v>
      </c>
      <c r="G561" s="29">
        <v>0</v>
      </c>
      <c r="H561" s="11">
        <v>62.9</v>
      </c>
      <c r="I561" s="11">
        <v>62.9</v>
      </c>
    </row>
    <row r="562" spans="1:9" x14ac:dyDescent="0.25">
      <c r="A562" s="113" t="s">
        <v>950</v>
      </c>
      <c r="B562" s="85" t="s">
        <v>965</v>
      </c>
      <c r="C562" s="82"/>
      <c r="D562" s="82"/>
      <c r="E562" s="82"/>
      <c r="F562" s="82"/>
      <c r="G562" s="82"/>
      <c r="H562" s="82"/>
      <c r="I562" s="82"/>
    </row>
    <row r="563" spans="1:9" x14ac:dyDescent="0.25">
      <c r="A563" s="114"/>
      <c r="B563" s="5" t="s">
        <v>950</v>
      </c>
      <c r="C563" s="3" t="s">
        <v>980</v>
      </c>
      <c r="D563" s="3" t="s">
        <v>546</v>
      </c>
      <c r="E563" s="36" t="s">
        <v>546</v>
      </c>
      <c r="F563" s="36" t="s">
        <v>922</v>
      </c>
      <c r="G563" s="29">
        <v>0</v>
      </c>
      <c r="H563" s="11">
        <v>64.900000000000006</v>
      </c>
      <c r="I563" s="11">
        <v>64.900000000000006</v>
      </c>
    </row>
    <row r="564" spans="1:9" x14ac:dyDescent="0.25">
      <c r="A564" s="113" t="s">
        <v>951</v>
      </c>
      <c r="B564" s="85" t="s">
        <v>966</v>
      </c>
      <c r="C564" s="82"/>
      <c r="D564" s="82"/>
      <c r="E564" s="82"/>
      <c r="F564" s="82"/>
      <c r="G564" s="82"/>
      <c r="H564" s="82"/>
      <c r="I564" s="82"/>
    </row>
    <row r="565" spans="1:9" x14ac:dyDescent="0.25">
      <c r="A565" s="114"/>
      <c r="B565" s="5" t="s">
        <v>951</v>
      </c>
      <c r="C565" s="3" t="s">
        <v>978</v>
      </c>
      <c r="D565" s="3" t="s">
        <v>1380</v>
      </c>
      <c r="E565" s="36" t="s">
        <v>546</v>
      </c>
      <c r="F565" s="36" t="s">
        <v>918</v>
      </c>
      <c r="G565" s="29">
        <v>0</v>
      </c>
      <c r="H565" s="11">
        <v>11.9</v>
      </c>
      <c r="I565" s="11">
        <v>11.9</v>
      </c>
    </row>
    <row r="566" spans="1:9" x14ac:dyDescent="0.25">
      <c r="A566" s="113" t="s">
        <v>952</v>
      </c>
      <c r="B566" s="85" t="s">
        <v>967</v>
      </c>
      <c r="C566" s="82"/>
      <c r="D566" s="82"/>
      <c r="E566" s="82"/>
      <c r="F566" s="82"/>
      <c r="G566" s="82"/>
      <c r="H566" s="82"/>
      <c r="I566" s="82"/>
    </row>
    <row r="567" spans="1:9" x14ac:dyDescent="0.25">
      <c r="A567" s="114"/>
      <c r="B567" s="5" t="s">
        <v>952</v>
      </c>
      <c r="C567" s="3" t="s">
        <v>979</v>
      </c>
      <c r="D567" s="3" t="s">
        <v>1384</v>
      </c>
      <c r="E567" s="36">
        <v>1</v>
      </c>
      <c r="F567" s="36" t="s">
        <v>918</v>
      </c>
      <c r="G567" s="29">
        <v>0</v>
      </c>
      <c r="H567" s="11">
        <v>26.9</v>
      </c>
      <c r="I567" s="11">
        <v>26.9</v>
      </c>
    </row>
    <row r="568" spans="1:9" x14ac:dyDescent="0.25">
      <c r="A568" s="113" t="s">
        <v>1094</v>
      </c>
      <c r="B568" s="85" t="s">
        <v>1095</v>
      </c>
      <c r="C568" s="82"/>
      <c r="D568" s="82"/>
      <c r="E568" s="82"/>
      <c r="F568" s="82"/>
      <c r="G568" s="82"/>
      <c r="H568" s="82"/>
      <c r="I568" s="82"/>
    </row>
    <row r="569" spans="1:9" x14ac:dyDescent="0.25">
      <c r="A569" s="114"/>
      <c r="B569" s="5" t="s">
        <v>1094</v>
      </c>
      <c r="C569" s="3" t="s">
        <v>1096</v>
      </c>
      <c r="D569" s="3" t="s">
        <v>546</v>
      </c>
      <c r="E569" s="36">
        <v>6</v>
      </c>
      <c r="F569" s="36" t="s">
        <v>918</v>
      </c>
      <c r="G569" s="29">
        <v>0</v>
      </c>
      <c r="H569" s="11">
        <v>99.9</v>
      </c>
      <c r="I569" s="11">
        <v>99.9</v>
      </c>
    </row>
    <row r="570" spans="1:9" x14ac:dyDescent="0.25">
      <c r="A570" s="114"/>
      <c r="B570" s="1" t="s">
        <v>1646</v>
      </c>
      <c r="H570"/>
      <c r="I570"/>
    </row>
    <row r="571" spans="1:9" x14ac:dyDescent="0.25">
      <c r="A571" s="114"/>
      <c r="B571" s="5" t="s">
        <v>1644</v>
      </c>
      <c r="C571" s="3" t="s">
        <v>1645</v>
      </c>
      <c r="D571" s="3" t="s">
        <v>546</v>
      </c>
      <c r="E571" s="36">
        <v>6</v>
      </c>
      <c r="F571" s="36" t="s">
        <v>918</v>
      </c>
      <c r="G571" s="29">
        <v>0</v>
      </c>
      <c r="H571" s="11">
        <v>99.9</v>
      </c>
      <c r="I571" s="11">
        <v>99.9</v>
      </c>
    </row>
    <row r="572" spans="1:9" x14ac:dyDescent="0.25">
      <c r="A572" s="113" t="s">
        <v>1138</v>
      </c>
      <c r="B572" s="85" t="s">
        <v>1139</v>
      </c>
      <c r="C572" s="82"/>
      <c r="D572" s="82"/>
      <c r="E572" s="82"/>
      <c r="F572" s="82"/>
      <c r="G572" s="82"/>
      <c r="H572" s="82"/>
      <c r="I572" s="82"/>
    </row>
    <row r="573" spans="1:9" x14ac:dyDescent="0.25">
      <c r="A573" s="114"/>
      <c r="B573" s="5" t="s">
        <v>1138</v>
      </c>
      <c r="C573" s="3" t="s">
        <v>1140</v>
      </c>
      <c r="D573" s="3" t="s">
        <v>546</v>
      </c>
      <c r="E573" s="36" t="s">
        <v>546</v>
      </c>
      <c r="F573" s="36" t="s">
        <v>918</v>
      </c>
      <c r="G573" s="29">
        <v>0</v>
      </c>
      <c r="H573" s="11">
        <v>17.899999999999999</v>
      </c>
      <c r="I573" s="11">
        <v>17.899999999999999</v>
      </c>
    </row>
    <row r="574" spans="1:9" x14ac:dyDescent="0.25">
      <c r="A574" s="113" t="s">
        <v>1141</v>
      </c>
      <c r="B574" s="85" t="s">
        <v>1142</v>
      </c>
      <c r="C574" s="82"/>
      <c r="D574" s="82"/>
      <c r="E574" s="82"/>
      <c r="F574" s="82"/>
      <c r="G574" s="82"/>
      <c r="H574" s="82"/>
      <c r="I574" s="82"/>
    </row>
    <row r="575" spans="1:9" x14ac:dyDescent="0.25">
      <c r="A575" s="114"/>
      <c r="B575" s="5" t="s">
        <v>1141</v>
      </c>
      <c r="C575" s="3" t="s">
        <v>1143</v>
      </c>
      <c r="D575" s="3" t="s">
        <v>546</v>
      </c>
      <c r="E575" s="36" t="s">
        <v>546</v>
      </c>
      <c r="F575" s="36" t="s">
        <v>918</v>
      </c>
      <c r="G575" s="29">
        <v>0</v>
      </c>
      <c r="H575" s="11">
        <v>8.9</v>
      </c>
      <c r="I575" s="11">
        <v>8.9</v>
      </c>
    </row>
    <row r="576" spans="1:9" x14ac:dyDescent="0.25">
      <c r="A576" s="113" t="s">
        <v>1156</v>
      </c>
      <c r="B576" s="85" t="s">
        <v>1157</v>
      </c>
      <c r="C576" s="82"/>
      <c r="D576" s="82"/>
      <c r="E576" s="82"/>
      <c r="F576" s="82"/>
      <c r="G576" s="82"/>
      <c r="H576" s="82"/>
      <c r="I576" s="82"/>
    </row>
    <row r="577" spans="1:9" x14ac:dyDescent="0.25">
      <c r="A577" s="114"/>
      <c r="B577" s="5" t="s">
        <v>1156</v>
      </c>
      <c r="C577" s="3" t="s">
        <v>1158</v>
      </c>
      <c r="D577" s="3" t="s">
        <v>546</v>
      </c>
      <c r="E577" s="36" t="s">
        <v>546</v>
      </c>
      <c r="F577" s="36" t="s">
        <v>918</v>
      </c>
      <c r="G577" s="29">
        <v>0</v>
      </c>
      <c r="H577" s="11">
        <v>107.9</v>
      </c>
      <c r="I577" s="11">
        <v>107.9</v>
      </c>
    </row>
    <row r="578" spans="1:9" x14ac:dyDescent="0.25">
      <c r="A578" s="113" t="s">
        <v>1162</v>
      </c>
      <c r="B578" s="85" t="s">
        <v>1163</v>
      </c>
      <c r="C578" s="82"/>
      <c r="D578" s="82"/>
      <c r="E578" s="82"/>
      <c r="F578" s="82"/>
      <c r="G578" s="82"/>
      <c r="H578" s="82"/>
      <c r="I578" s="82"/>
    </row>
    <row r="579" spans="1:9" x14ac:dyDescent="0.25">
      <c r="A579" s="114"/>
      <c r="B579" s="5" t="s">
        <v>1162</v>
      </c>
      <c r="C579" s="3" t="s">
        <v>1164</v>
      </c>
      <c r="D579" s="3" t="s">
        <v>546</v>
      </c>
      <c r="E579" s="36">
        <v>100</v>
      </c>
      <c r="F579" s="36" t="s">
        <v>918</v>
      </c>
      <c r="G579" s="29">
        <v>0</v>
      </c>
      <c r="H579" s="11">
        <v>9.3000000000000007</v>
      </c>
      <c r="I579" s="11">
        <v>9.3000000000000007</v>
      </c>
    </row>
    <row r="580" spans="1:9" x14ac:dyDescent="0.25">
      <c r="A580" s="113" t="s">
        <v>1165</v>
      </c>
      <c r="B580" s="85" t="s">
        <v>1166</v>
      </c>
      <c r="C580" s="82"/>
      <c r="D580" s="82"/>
      <c r="E580" s="82"/>
      <c r="F580" s="82"/>
      <c r="G580" s="82"/>
      <c r="H580" s="82"/>
      <c r="I580" s="82"/>
    </row>
    <row r="581" spans="1:9" x14ac:dyDescent="0.25">
      <c r="A581" s="114"/>
      <c r="B581" s="5" t="s">
        <v>1165</v>
      </c>
      <c r="C581" s="3" t="s">
        <v>1167</v>
      </c>
      <c r="D581" s="3" t="s">
        <v>546</v>
      </c>
      <c r="E581" s="36" t="s">
        <v>546</v>
      </c>
      <c r="F581" s="36" t="s">
        <v>918</v>
      </c>
      <c r="G581" s="29">
        <v>0</v>
      </c>
      <c r="H581" s="11">
        <v>23.9</v>
      </c>
      <c r="I581" s="11">
        <v>23.9</v>
      </c>
    </row>
    <row r="582" spans="1:9" x14ac:dyDescent="0.25">
      <c r="A582" s="113" t="s">
        <v>1171</v>
      </c>
      <c r="B582" s="85" t="s">
        <v>1169</v>
      </c>
      <c r="C582" s="82"/>
      <c r="D582" s="82"/>
      <c r="E582" s="82"/>
      <c r="F582" s="82"/>
      <c r="G582" s="82"/>
      <c r="H582" s="82"/>
      <c r="I582" s="82"/>
    </row>
    <row r="583" spans="1:9" x14ac:dyDescent="0.25">
      <c r="A583" s="114"/>
      <c r="B583" s="5" t="s">
        <v>1171</v>
      </c>
      <c r="C583" s="3" t="s">
        <v>1170</v>
      </c>
      <c r="D583" s="3" t="s">
        <v>546</v>
      </c>
      <c r="E583" s="36" t="s">
        <v>546</v>
      </c>
      <c r="F583" s="36" t="s">
        <v>918</v>
      </c>
      <c r="G583" s="29">
        <v>0</v>
      </c>
      <c r="H583" s="11">
        <v>3</v>
      </c>
      <c r="I583" s="11">
        <v>3</v>
      </c>
    </row>
    <row r="584" spans="1:9" x14ac:dyDescent="0.25">
      <c r="A584" s="113" t="s">
        <v>1193</v>
      </c>
      <c r="B584" s="85" t="s">
        <v>1194</v>
      </c>
      <c r="C584" s="82"/>
      <c r="D584" s="82"/>
      <c r="E584" s="82"/>
      <c r="F584" s="82"/>
      <c r="G584" s="82"/>
      <c r="H584" s="82"/>
      <c r="I584" s="82"/>
    </row>
    <row r="585" spans="1:9" x14ac:dyDescent="0.25">
      <c r="A585" s="114"/>
      <c r="B585" s="5" t="s">
        <v>1193</v>
      </c>
      <c r="C585" s="3" t="s">
        <v>1195</v>
      </c>
      <c r="D585" s="3" t="s">
        <v>546</v>
      </c>
      <c r="E585" s="36" t="s">
        <v>546</v>
      </c>
      <c r="F585" s="36" t="s">
        <v>1196</v>
      </c>
      <c r="G585" s="29" t="s">
        <v>1197</v>
      </c>
      <c r="H585" s="11">
        <v>72.900000000000006</v>
      </c>
      <c r="I585" s="11" t="s">
        <v>1418</v>
      </c>
    </row>
    <row r="586" spans="1:9" x14ac:dyDescent="0.25">
      <c r="A586" s="113" t="s">
        <v>1228</v>
      </c>
      <c r="B586" s="85" t="s">
        <v>1241</v>
      </c>
      <c r="C586" s="82"/>
      <c r="D586" s="82"/>
      <c r="E586" s="82"/>
      <c r="F586" s="82"/>
      <c r="G586" s="82"/>
      <c r="H586" s="82"/>
      <c r="I586" s="82"/>
    </row>
    <row r="587" spans="1:9" x14ac:dyDescent="0.25">
      <c r="A587" s="114"/>
      <c r="B587" s="5" t="s">
        <v>1228</v>
      </c>
      <c r="C587" s="3" t="s">
        <v>1273</v>
      </c>
      <c r="D587" s="3" t="s">
        <v>546</v>
      </c>
      <c r="E587" s="36" t="s">
        <v>546</v>
      </c>
      <c r="F587" s="36" t="s">
        <v>918</v>
      </c>
      <c r="G587" s="29">
        <v>0</v>
      </c>
      <c r="H587" s="11">
        <v>43.9</v>
      </c>
      <c r="I587" s="11">
        <v>43.9</v>
      </c>
    </row>
    <row r="588" spans="1:9" x14ac:dyDescent="0.25">
      <c r="A588" s="113" t="s">
        <v>1229</v>
      </c>
      <c r="B588" s="85" t="s">
        <v>1262</v>
      </c>
      <c r="C588" s="82"/>
      <c r="D588" s="82"/>
      <c r="E588" s="82"/>
      <c r="F588" s="82"/>
      <c r="G588" s="82"/>
      <c r="H588" s="82"/>
      <c r="I588" s="82"/>
    </row>
    <row r="589" spans="1:9" x14ac:dyDescent="0.25">
      <c r="A589" s="114"/>
      <c r="B589" s="5" t="s">
        <v>1229</v>
      </c>
      <c r="C589" s="3" t="s">
        <v>1266</v>
      </c>
      <c r="D589" s="3" t="s">
        <v>546</v>
      </c>
      <c r="E589" s="36" t="s">
        <v>546</v>
      </c>
      <c r="F589" s="36" t="s">
        <v>918</v>
      </c>
      <c r="G589" s="29">
        <v>0</v>
      </c>
      <c r="H589" s="11">
        <v>59.9</v>
      </c>
      <c r="I589" s="11">
        <v>59.9</v>
      </c>
    </row>
    <row r="590" spans="1:9" x14ac:dyDescent="0.25">
      <c r="A590" s="113" t="s">
        <v>1240</v>
      </c>
      <c r="B590" s="85" t="s">
        <v>1262</v>
      </c>
      <c r="C590" s="82"/>
      <c r="D590" s="82"/>
      <c r="E590" s="82"/>
      <c r="F590" s="82"/>
      <c r="G590" s="82"/>
      <c r="H590" s="82"/>
      <c r="I590" s="82"/>
    </row>
    <row r="591" spans="1:9" x14ac:dyDescent="0.25">
      <c r="A591" s="114"/>
      <c r="B591" s="5" t="s">
        <v>1240</v>
      </c>
      <c r="C591" s="3" t="s">
        <v>1267</v>
      </c>
      <c r="D591" s="3" t="s">
        <v>546</v>
      </c>
      <c r="E591" s="36" t="s">
        <v>546</v>
      </c>
      <c r="F591" s="36" t="s">
        <v>918</v>
      </c>
      <c r="G591" s="29">
        <v>0</v>
      </c>
      <c r="H591" s="11">
        <v>43.9</v>
      </c>
      <c r="I591" s="11">
        <v>43.9</v>
      </c>
    </row>
    <row r="592" spans="1:9" x14ac:dyDescent="0.25">
      <c r="A592" s="113" t="s">
        <v>1253</v>
      </c>
      <c r="B592" s="85" t="s">
        <v>1254</v>
      </c>
      <c r="C592" s="82"/>
      <c r="D592" s="82"/>
      <c r="E592" s="82"/>
      <c r="F592" s="82"/>
      <c r="G592" s="82"/>
      <c r="H592" s="82"/>
      <c r="I592" s="82"/>
    </row>
    <row r="593" spans="1:9" x14ac:dyDescent="0.25">
      <c r="A593" s="114"/>
      <c r="B593" s="5" t="s">
        <v>1253</v>
      </c>
      <c r="C593" s="3" t="s">
        <v>1274</v>
      </c>
      <c r="D593" s="3" t="s">
        <v>546</v>
      </c>
      <c r="E593" s="36" t="s">
        <v>546</v>
      </c>
      <c r="F593" s="36" t="s">
        <v>1196</v>
      </c>
      <c r="G593" s="29" t="s">
        <v>1197</v>
      </c>
      <c r="H593" s="11">
        <v>443.9</v>
      </c>
      <c r="I593" s="11" t="s">
        <v>1418</v>
      </c>
    </row>
    <row r="594" spans="1:9" x14ac:dyDescent="0.25">
      <c r="A594" s="113" t="s">
        <v>1247</v>
      </c>
      <c r="B594" s="85" t="s">
        <v>1248</v>
      </c>
      <c r="C594" s="82"/>
      <c r="D594" s="82"/>
      <c r="E594" s="82"/>
      <c r="F594" s="82"/>
      <c r="G594" s="82"/>
      <c r="H594" s="82"/>
      <c r="I594" s="82"/>
    </row>
    <row r="595" spans="1:9" x14ac:dyDescent="0.25">
      <c r="A595" s="114"/>
      <c r="B595" s="5" t="s">
        <v>1247</v>
      </c>
      <c r="C595" s="3" t="s">
        <v>1275</v>
      </c>
      <c r="D595" s="3" t="s">
        <v>546</v>
      </c>
      <c r="E595" s="36" t="s">
        <v>546</v>
      </c>
      <c r="F595" s="36" t="s">
        <v>1196</v>
      </c>
      <c r="G595" s="29" t="s">
        <v>1197</v>
      </c>
      <c r="H595" s="11">
        <v>43.9</v>
      </c>
      <c r="I595" s="11" t="s">
        <v>1418</v>
      </c>
    </row>
    <row r="596" spans="1:9" x14ac:dyDescent="0.25">
      <c r="A596" s="113" t="s">
        <v>1249</v>
      </c>
      <c r="B596" s="85" t="s">
        <v>1250</v>
      </c>
      <c r="C596" s="82"/>
      <c r="D596" s="82"/>
      <c r="E596" s="82"/>
      <c r="F596" s="82"/>
      <c r="G596" s="82"/>
      <c r="H596" s="82"/>
      <c r="I596" s="82"/>
    </row>
    <row r="597" spans="1:9" x14ac:dyDescent="0.25">
      <c r="A597" s="114"/>
      <c r="B597" s="5" t="s">
        <v>1249</v>
      </c>
      <c r="C597" s="3" t="s">
        <v>1276</v>
      </c>
      <c r="D597" s="3" t="s">
        <v>546</v>
      </c>
      <c r="E597" s="36" t="s">
        <v>546</v>
      </c>
      <c r="F597" s="36" t="s">
        <v>1196</v>
      </c>
      <c r="G597" s="29" t="s">
        <v>1197</v>
      </c>
      <c r="H597" s="11">
        <v>49.9</v>
      </c>
      <c r="I597" s="11" t="s">
        <v>1418</v>
      </c>
    </row>
    <row r="598" spans="1:9" x14ac:dyDescent="0.25">
      <c r="A598" s="113" t="s">
        <v>1260</v>
      </c>
      <c r="B598" s="85" t="s">
        <v>1261</v>
      </c>
      <c r="C598" s="82"/>
      <c r="D598" s="82"/>
      <c r="E598" s="82"/>
      <c r="F598" s="82"/>
      <c r="G598" s="82"/>
      <c r="H598" s="82"/>
      <c r="I598" s="82"/>
    </row>
    <row r="599" spans="1:9" x14ac:dyDescent="0.25">
      <c r="A599" s="114"/>
      <c r="B599" s="5" t="s">
        <v>1260</v>
      </c>
      <c r="C599" s="3" t="s">
        <v>1277</v>
      </c>
      <c r="D599" s="3" t="s">
        <v>546</v>
      </c>
      <c r="E599" s="36" t="s">
        <v>546</v>
      </c>
      <c r="F599" s="36" t="s">
        <v>1196</v>
      </c>
      <c r="G599" s="29" t="s">
        <v>1197</v>
      </c>
      <c r="H599" s="11">
        <v>9.9</v>
      </c>
      <c r="I599" s="11" t="s">
        <v>1418</v>
      </c>
    </row>
    <row r="600" spans="1:9" x14ac:dyDescent="0.25">
      <c r="A600" s="113" t="s">
        <v>1230</v>
      </c>
      <c r="B600" s="85" t="s">
        <v>1258</v>
      </c>
      <c r="C600" s="82"/>
      <c r="D600" s="82"/>
      <c r="E600" s="82"/>
      <c r="F600" s="82"/>
      <c r="G600" s="82"/>
      <c r="H600" s="82"/>
      <c r="I600" s="82"/>
    </row>
    <row r="601" spans="1:9" x14ac:dyDescent="0.25">
      <c r="A601" s="114"/>
      <c r="B601" s="5" t="s">
        <v>1230</v>
      </c>
      <c r="C601" s="3" t="s">
        <v>1286</v>
      </c>
      <c r="D601" s="3" t="s">
        <v>546</v>
      </c>
      <c r="E601" s="36" t="s">
        <v>546</v>
      </c>
      <c r="F601" s="36" t="s">
        <v>1196</v>
      </c>
      <c r="G601" s="29" t="s">
        <v>1197</v>
      </c>
      <c r="H601" s="11">
        <v>27.9</v>
      </c>
      <c r="I601" s="11" t="s">
        <v>1418</v>
      </c>
    </row>
    <row r="602" spans="1:9" x14ac:dyDescent="0.25">
      <c r="A602" s="113" t="s">
        <v>1231</v>
      </c>
      <c r="B602" s="85" t="s">
        <v>1257</v>
      </c>
      <c r="C602" s="82"/>
      <c r="D602" s="82"/>
      <c r="E602" s="82"/>
      <c r="F602" s="82"/>
      <c r="G602" s="82"/>
      <c r="H602" s="82"/>
      <c r="I602" s="82"/>
    </row>
    <row r="603" spans="1:9" x14ac:dyDescent="0.25">
      <c r="A603" s="114"/>
      <c r="B603" s="5" t="s">
        <v>1231</v>
      </c>
      <c r="C603" s="3" t="s">
        <v>1287</v>
      </c>
      <c r="D603" s="3" t="s">
        <v>546</v>
      </c>
      <c r="E603" s="36" t="s">
        <v>546</v>
      </c>
      <c r="F603" s="36" t="s">
        <v>1196</v>
      </c>
      <c r="G603" s="29" t="s">
        <v>1197</v>
      </c>
      <c r="H603" s="11">
        <v>27.9</v>
      </c>
      <c r="I603" s="11" t="s">
        <v>1418</v>
      </c>
    </row>
    <row r="604" spans="1:9" x14ac:dyDescent="0.25">
      <c r="A604" s="113" t="s">
        <v>1255</v>
      </c>
      <c r="B604" s="85" t="s">
        <v>1256</v>
      </c>
      <c r="C604" s="82"/>
      <c r="D604" s="82"/>
      <c r="E604" s="82"/>
      <c r="F604" s="82"/>
      <c r="G604" s="82"/>
      <c r="H604" s="82"/>
      <c r="I604" s="82"/>
    </row>
    <row r="605" spans="1:9" x14ac:dyDescent="0.25">
      <c r="A605" s="114"/>
      <c r="B605" s="5" t="s">
        <v>1255</v>
      </c>
      <c r="C605" s="3" t="s">
        <v>1278</v>
      </c>
      <c r="D605" s="3" t="s">
        <v>546</v>
      </c>
      <c r="E605" s="36" t="s">
        <v>546</v>
      </c>
      <c r="F605" s="36" t="s">
        <v>1196</v>
      </c>
      <c r="G605" s="29" t="s">
        <v>1197</v>
      </c>
      <c r="H605" s="11">
        <v>516.9</v>
      </c>
      <c r="I605" s="11" t="s">
        <v>1418</v>
      </c>
    </row>
    <row r="606" spans="1:9" x14ac:dyDescent="0.25">
      <c r="A606" s="113" t="s">
        <v>1251</v>
      </c>
      <c r="B606" s="85" t="s">
        <v>1252</v>
      </c>
      <c r="C606" s="82"/>
      <c r="D606" s="82"/>
      <c r="E606" s="82"/>
      <c r="F606" s="82"/>
      <c r="G606" s="82"/>
      <c r="H606" s="82"/>
      <c r="I606" s="82"/>
    </row>
    <row r="607" spans="1:9" x14ac:dyDescent="0.25">
      <c r="A607" s="114"/>
      <c r="B607" s="5" t="s">
        <v>1251</v>
      </c>
      <c r="C607" s="3" t="s">
        <v>1279</v>
      </c>
      <c r="D607" s="3" t="s">
        <v>546</v>
      </c>
      <c r="E607" s="36" t="s">
        <v>546</v>
      </c>
      <c r="F607" s="36" t="s">
        <v>1196</v>
      </c>
      <c r="G607" s="29" t="s">
        <v>1197</v>
      </c>
      <c r="H607" s="11">
        <v>8.9</v>
      </c>
      <c r="I607" s="11" t="s">
        <v>1418</v>
      </c>
    </row>
    <row r="608" spans="1:9" x14ac:dyDescent="0.25">
      <c r="A608" s="113" t="s">
        <v>1282</v>
      </c>
      <c r="B608" s="85" t="s">
        <v>1259</v>
      </c>
      <c r="C608" s="82"/>
      <c r="D608" s="82"/>
      <c r="E608" s="82"/>
      <c r="F608" s="82"/>
      <c r="G608" s="82"/>
      <c r="H608" s="82"/>
      <c r="I608" s="82"/>
    </row>
    <row r="609" spans="1:9" x14ac:dyDescent="0.25">
      <c r="A609" s="114"/>
      <c r="B609" s="5" t="s">
        <v>1282</v>
      </c>
      <c r="C609" s="3" t="s">
        <v>1288</v>
      </c>
      <c r="D609" s="3" t="s">
        <v>546</v>
      </c>
      <c r="E609" s="36" t="s">
        <v>546</v>
      </c>
      <c r="F609" s="36" t="s">
        <v>1196</v>
      </c>
      <c r="G609" s="29" t="s">
        <v>1197</v>
      </c>
      <c r="H609" s="11">
        <v>27.9</v>
      </c>
      <c r="I609" s="11" t="s">
        <v>1418</v>
      </c>
    </row>
    <row r="610" spans="1:9" x14ac:dyDescent="0.25">
      <c r="A610" s="113" t="s">
        <v>1245</v>
      </c>
      <c r="B610" s="85" t="s">
        <v>1246</v>
      </c>
      <c r="C610" s="82"/>
      <c r="D610" s="82"/>
      <c r="E610" s="82"/>
      <c r="F610" s="82"/>
      <c r="G610" s="82"/>
      <c r="H610" s="82"/>
      <c r="I610" s="82"/>
    </row>
    <row r="611" spans="1:9" x14ac:dyDescent="0.25">
      <c r="A611" s="114"/>
      <c r="B611" s="5" t="s">
        <v>1245</v>
      </c>
      <c r="C611" s="3" t="s">
        <v>1280</v>
      </c>
      <c r="D611" s="3" t="s">
        <v>546</v>
      </c>
      <c r="E611" s="36" t="s">
        <v>546</v>
      </c>
      <c r="F611" s="36" t="s">
        <v>1196</v>
      </c>
      <c r="G611" s="29" t="s">
        <v>1197</v>
      </c>
      <c r="H611" s="11">
        <v>43.9</v>
      </c>
      <c r="I611" s="11" t="s">
        <v>1418</v>
      </c>
    </row>
    <row r="612" spans="1:9" x14ac:dyDescent="0.25">
      <c r="A612" s="113" t="s">
        <v>1289</v>
      </c>
      <c r="B612" s="85" t="s">
        <v>1290</v>
      </c>
      <c r="C612" s="82"/>
      <c r="D612" s="82"/>
      <c r="E612" s="82"/>
      <c r="F612" s="82"/>
      <c r="G612" s="82"/>
      <c r="H612" s="82"/>
      <c r="I612" s="82"/>
    </row>
    <row r="613" spans="1:9" x14ac:dyDescent="0.25">
      <c r="A613" s="114"/>
      <c r="B613" s="5" t="s">
        <v>1289</v>
      </c>
      <c r="C613" s="3" t="s">
        <v>1291</v>
      </c>
      <c r="D613" s="3" t="s">
        <v>546</v>
      </c>
      <c r="E613" s="36">
        <v>20</v>
      </c>
      <c r="F613" s="36" t="s">
        <v>919</v>
      </c>
      <c r="G613" s="29">
        <v>0</v>
      </c>
      <c r="H613" s="11">
        <v>69.900000000000006</v>
      </c>
      <c r="I613" s="11">
        <v>69.900000000000006</v>
      </c>
    </row>
    <row r="614" spans="1:9" x14ac:dyDescent="0.25">
      <c r="A614" s="113" t="s">
        <v>687</v>
      </c>
      <c r="B614" s="85" t="s">
        <v>688</v>
      </c>
      <c r="C614" s="82"/>
      <c r="D614" s="82"/>
      <c r="E614" s="82"/>
      <c r="F614" s="82"/>
      <c r="G614" s="82"/>
      <c r="H614" s="82"/>
      <c r="I614" s="82"/>
    </row>
    <row r="615" spans="1:9" x14ac:dyDescent="0.25">
      <c r="A615" s="114"/>
      <c r="B615" s="5" t="s">
        <v>687</v>
      </c>
      <c r="C615" s="3" t="s">
        <v>689</v>
      </c>
      <c r="D615" s="3" t="s">
        <v>571</v>
      </c>
      <c r="E615" s="36" t="s">
        <v>546</v>
      </c>
      <c r="F615" s="36" t="s">
        <v>918</v>
      </c>
      <c r="G615" s="29">
        <v>0</v>
      </c>
      <c r="H615" s="11">
        <v>11.9</v>
      </c>
      <c r="I615" s="11">
        <v>11.9</v>
      </c>
    </row>
    <row r="616" spans="1:9" x14ac:dyDescent="0.25">
      <c r="A616" s="113" t="s">
        <v>1339</v>
      </c>
      <c r="B616" s="85" t="s">
        <v>1340</v>
      </c>
      <c r="C616" s="82"/>
      <c r="D616" s="82"/>
      <c r="E616" s="82"/>
      <c r="F616" s="82"/>
      <c r="G616" s="82"/>
      <c r="H616" s="82"/>
      <c r="I616" s="82"/>
    </row>
    <row r="617" spans="1:9" x14ac:dyDescent="0.25">
      <c r="A617" s="114"/>
      <c r="B617" s="5" t="s">
        <v>1339</v>
      </c>
      <c r="C617" s="3" t="s">
        <v>1341</v>
      </c>
      <c r="D617" s="3" t="s">
        <v>546</v>
      </c>
      <c r="E617" s="36" t="s">
        <v>546</v>
      </c>
      <c r="F617" s="36" t="s">
        <v>918</v>
      </c>
      <c r="G617" s="29">
        <v>0</v>
      </c>
      <c r="H617" s="11">
        <v>6.9</v>
      </c>
      <c r="I617" s="11">
        <v>6.9</v>
      </c>
    </row>
    <row r="618" spans="1:9" x14ac:dyDescent="0.25">
      <c r="A618" s="113" t="s">
        <v>1370</v>
      </c>
      <c r="B618" s="85" t="s">
        <v>1371</v>
      </c>
      <c r="C618" s="82"/>
      <c r="D618" s="82"/>
      <c r="E618" s="82"/>
      <c r="F618" s="82"/>
      <c r="G618" s="82"/>
      <c r="H618" s="82"/>
      <c r="I618" s="82"/>
    </row>
    <row r="619" spans="1:9" x14ac:dyDescent="0.25">
      <c r="A619" s="114"/>
      <c r="B619" s="5" t="s">
        <v>1370</v>
      </c>
      <c r="C619" s="3" t="s">
        <v>1389</v>
      </c>
      <c r="D619" s="3" t="s">
        <v>546</v>
      </c>
      <c r="E619" s="36">
        <v>1</v>
      </c>
      <c r="F619" s="36" t="s">
        <v>918</v>
      </c>
      <c r="G619" s="29">
        <v>0</v>
      </c>
      <c r="H619" s="11">
        <v>19.899999999999999</v>
      </c>
      <c r="I619" s="11">
        <v>19.899999999999999</v>
      </c>
    </row>
    <row r="620" spans="1:9" x14ac:dyDescent="0.25">
      <c r="A620" s="113" t="s">
        <v>1429</v>
      </c>
      <c r="B620" s="1" t="s">
        <v>1664</v>
      </c>
      <c r="H620"/>
      <c r="I620"/>
    </row>
    <row r="621" spans="1:9" x14ac:dyDescent="0.25">
      <c r="A621" s="114"/>
      <c r="B621" s="5" t="s">
        <v>1670</v>
      </c>
      <c r="C621" s="3" t="s">
        <v>1676</v>
      </c>
      <c r="D621" s="3" t="s">
        <v>546</v>
      </c>
      <c r="E621" s="36" t="s">
        <v>546</v>
      </c>
      <c r="F621" s="36" t="s">
        <v>918</v>
      </c>
      <c r="G621" s="29">
        <v>0</v>
      </c>
      <c r="H621" s="11">
        <v>15.9</v>
      </c>
      <c r="I621" s="11">
        <v>15.9</v>
      </c>
    </row>
    <row r="622" spans="1:9" x14ac:dyDescent="0.25">
      <c r="A622" s="113" t="s">
        <v>1641</v>
      </c>
      <c r="B622" s="1" t="s">
        <v>1642</v>
      </c>
      <c r="H622"/>
      <c r="I622"/>
    </row>
    <row r="623" spans="1:9" x14ac:dyDescent="0.25">
      <c r="A623" s="114"/>
      <c r="B623" s="5" t="s">
        <v>1641</v>
      </c>
      <c r="C623" s="3" t="s">
        <v>1643</v>
      </c>
      <c r="D623" s="3" t="s">
        <v>546</v>
      </c>
      <c r="E623" s="36">
        <v>1</v>
      </c>
      <c r="F623" s="36" t="s">
        <v>918</v>
      </c>
      <c r="G623" s="29">
        <v>0</v>
      </c>
      <c r="H623" s="11">
        <v>144.9</v>
      </c>
      <c r="I623" s="11">
        <v>144.9</v>
      </c>
    </row>
    <row r="624" spans="1:9" x14ac:dyDescent="0.25">
      <c r="A624" s="113" t="s">
        <v>1659</v>
      </c>
      <c r="B624" s="1" t="s">
        <v>1661</v>
      </c>
      <c r="H624"/>
      <c r="I624"/>
    </row>
    <row r="625" spans="1:9" x14ac:dyDescent="0.25">
      <c r="A625" s="114"/>
      <c r="B625" s="5" t="s">
        <v>1659</v>
      </c>
      <c r="C625" s="3" t="s">
        <v>1660</v>
      </c>
      <c r="D625" s="3" t="s">
        <v>546</v>
      </c>
      <c r="E625" s="36" t="s">
        <v>546</v>
      </c>
      <c r="F625" s="36" t="s">
        <v>918</v>
      </c>
      <c r="G625" s="29">
        <v>0</v>
      </c>
      <c r="H625" s="11">
        <v>22.9</v>
      </c>
      <c r="I625" s="11">
        <v>22.9</v>
      </c>
    </row>
    <row r="626" spans="1:9" x14ac:dyDescent="0.25">
      <c r="A626" s="113" t="s">
        <v>1665</v>
      </c>
      <c r="B626" s="1" t="s">
        <v>1666</v>
      </c>
      <c r="H626"/>
      <c r="I626"/>
    </row>
    <row r="627" spans="1:9" x14ac:dyDescent="0.25">
      <c r="A627" s="114"/>
      <c r="B627" s="5" t="s">
        <v>1665</v>
      </c>
      <c r="C627" s="3" t="s">
        <v>1667</v>
      </c>
      <c r="D627" s="3" t="s">
        <v>546</v>
      </c>
      <c r="E627" s="36" t="s">
        <v>546</v>
      </c>
      <c r="F627" s="36" t="s">
        <v>918</v>
      </c>
      <c r="G627" s="29">
        <v>0</v>
      </c>
      <c r="H627" s="11">
        <v>38.9</v>
      </c>
      <c r="I627" s="11">
        <v>38.9</v>
      </c>
    </row>
    <row r="628" spans="1:9" x14ac:dyDescent="0.25">
      <c r="A628" s="113" t="s">
        <v>1673</v>
      </c>
      <c r="B628" s="1" t="s">
        <v>1372</v>
      </c>
      <c r="H628"/>
      <c r="I628"/>
    </row>
    <row r="629" spans="1:9" x14ac:dyDescent="0.25">
      <c r="A629" s="114"/>
      <c r="B629" s="5" t="s">
        <v>1701</v>
      </c>
      <c r="C629" s="3" t="s">
        <v>1390</v>
      </c>
      <c r="D629" s="3" t="s">
        <v>546</v>
      </c>
      <c r="E629" s="36">
        <v>1</v>
      </c>
      <c r="F629" s="36" t="s">
        <v>918</v>
      </c>
      <c r="G629" s="29">
        <v>0</v>
      </c>
      <c r="H629" s="11">
        <v>24.9</v>
      </c>
      <c r="I629" s="11">
        <v>24.9</v>
      </c>
    </row>
    <row r="630" spans="1:9" x14ac:dyDescent="0.25">
      <c r="A630" s="113" t="s">
        <v>1715</v>
      </c>
      <c r="B630" s="1" t="s">
        <v>1721</v>
      </c>
      <c r="H630"/>
      <c r="I630"/>
    </row>
    <row r="631" spans="1:9" x14ac:dyDescent="0.25">
      <c r="A631" s="114"/>
      <c r="B631" s="5" t="s">
        <v>1715</v>
      </c>
      <c r="C631" s="3" t="s">
        <v>1727</v>
      </c>
      <c r="D631" s="3" t="s">
        <v>546</v>
      </c>
      <c r="E631" s="36" t="s">
        <v>546</v>
      </c>
      <c r="F631" s="36" t="s">
        <v>918</v>
      </c>
      <c r="G631" s="29">
        <v>0</v>
      </c>
      <c r="H631" s="11">
        <v>39.9</v>
      </c>
      <c r="I631" s="11">
        <v>39.9</v>
      </c>
    </row>
    <row r="632" spans="1:9" x14ac:dyDescent="0.25">
      <c r="A632" s="113" t="s">
        <v>1779</v>
      </c>
      <c r="B632" s="1" t="s">
        <v>1780</v>
      </c>
      <c r="H632"/>
      <c r="I632"/>
    </row>
    <row r="633" spans="1:9" x14ac:dyDescent="0.25">
      <c r="A633" s="114"/>
      <c r="B633" s="5" t="s">
        <v>1779</v>
      </c>
      <c r="C633" s="3" t="s">
        <v>1781</v>
      </c>
      <c r="D633" s="3" t="s">
        <v>546</v>
      </c>
      <c r="E633" s="36" t="s">
        <v>546</v>
      </c>
      <c r="F633" s="36" t="s">
        <v>1196</v>
      </c>
      <c r="G633" s="29" t="s">
        <v>1197</v>
      </c>
      <c r="H633" s="11">
        <v>0</v>
      </c>
      <c r="I633" s="11">
        <v>0</v>
      </c>
    </row>
    <row r="634" spans="1:9" x14ac:dyDescent="0.25">
      <c r="A634" s="113" t="s">
        <v>1782</v>
      </c>
      <c r="B634" s="1" t="s">
        <v>1796</v>
      </c>
      <c r="H634"/>
      <c r="I634"/>
    </row>
    <row r="635" spans="1:9" x14ac:dyDescent="0.25">
      <c r="A635" s="114"/>
      <c r="B635" s="5" t="s">
        <v>1782</v>
      </c>
      <c r="C635" s="3" t="s">
        <v>1810</v>
      </c>
      <c r="D635" s="3" t="s">
        <v>546</v>
      </c>
      <c r="E635" s="36" t="s">
        <v>546</v>
      </c>
      <c r="F635" s="36" t="s">
        <v>1196</v>
      </c>
      <c r="G635" s="29" t="s">
        <v>1197</v>
      </c>
      <c r="H635" s="11">
        <v>25.9</v>
      </c>
      <c r="I635" s="11">
        <v>25.9</v>
      </c>
    </row>
    <row r="636" spans="1:9" x14ac:dyDescent="0.25">
      <c r="A636" s="113" t="s">
        <v>1784</v>
      </c>
      <c r="B636" s="1" t="s">
        <v>1798</v>
      </c>
      <c r="H636"/>
      <c r="I636"/>
    </row>
    <row r="637" spans="1:9" x14ac:dyDescent="0.25">
      <c r="A637" s="114"/>
      <c r="B637" s="5" t="s">
        <v>1784</v>
      </c>
      <c r="C637" s="3" t="s">
        <v>1812</v>
      </c>
      <c r="D637" s="3" t="s">
        <v>546</v>
      </c>
      <c r="E637" s="36" t="s">
        <v>546</v>
      </c>
      <c r="F637" s="36" t="s">
        <v>1196</v>
      </c>
      <c r="G637" s="29" t="s">
        <v>1197</v>
      </c>
      <c r="H637" s="11">
        <v>25.9</v>
      </c>
      <c r="I637" s="11">
        <v>25.9</v>
      </c>
    </row>
    <row r="638" spans="1:9" x14ac:dyDescent="0.25">
      <c r="A638" s="113" t="s">
        <v>1827</v>
      </c>
      <c r="B638" s="1" t="s">
        <v>1828</v>
      </c>
      <c r="H638"/>
      <c r="I638"/>
    </row>
    <row r="639" spans="1:9" x14ac:dyDescent="0.25">
      <c r="A639" s="114"/>
      <c r="B639" s="5" t="s">
        <v>1827</v>
      </c>
      <c r="C639" s="3" t="s">
        <v>1829</v>
      </c>
      <c r="D639" s="3" t="s">
        <v>546</v>
      </c>
      <c r="E639" s="36" t="s">
        <v>546</v>
      </c>
      <c r="F639" s="36" t="s">
        <v>918</v>
      </c>
      <c r="G639" s="29">
        <v>0</v>
      </c>
      <c r="H639" s="11">
        <v>24.9</v>
      </c>
      <c r="I639" s="11">
        <v>24.9</v>
      </c>
    </row>
    <row r="640" spans="1:9" x14ac:dyDescent="0.25">
      <c r="A640" s="10" t="s">
        <v>1418</v>
      </c>
      <c r="B640" s="7"/>
      <c r="C640" s="7"/>
      <c r="D640" s="7"/>
      <c r="E640" s="7"/>
      <c r="F640" s="7"/>
      <c r="G640" s="7"/>
      <c r="H640" s="7"/>
      <c r="I640" s="7"/>
    </row>
    <row r="641" spans="1:9" x14ac:dyDescent="0.25">
      <c r="A641" s="113" t="s">
        <v>1783</v>
      </c>
      <c r="B641" s="1" t="s">
        <v>1797</v>
      </c>
      <c r="H641"/>
      <c r="I641"/>
    </row>
    <row r="642" spans="1:9" x14ac:dyDescent="0.25">
      <c r="A642" s="114"/>
      <c r="B642" s="5" t="s">
        <v>1783</v>
      </c>
      <c r="C642" s="3" t="s">
        <v>1811</v>
      </c>
      <c r="D642" s="3" t="s">
        <v>546</v>
      </c>
      <c r="E642" s="36" t="s">
        <v>546</v>
      </c>
      <c r="F642" s="36" t="s">
        <v>1196</v>
      </c>
      <c r="G642" s="29" t="s">
        <v>1197</v>
      </c>
      <c r="H642" s="11">
        <v>25.9</v>
      </c>
      <c r="I642" s="11">
        <v>25.9</v>
      </c>
    </row>
    <row r="643" spans="1:9" x14ac:dyDescent="0.25">
      <c r="A643" s="113" t="s">
        <v>1785</v>
      </c>
      <c r="B643" s="1" t="s">
        <v>1799</v>
      </c>
      <c r="H643"/>
      <c r="I643"/>
    </row>
    <row r="644" spans="1:9" x14ac:dyDescent="0.25">
      <c r="A644" s="114"/>
      <c r="B644" s="5" t="s">
        <v>1785</v>
      </c>
      <c r="C644" s="3" t="s">
        <v>1813</v>
      </c>
      <c r="D644" s="3" t="s">
        <v>546</v>
      </c>
      <c r="E644" s="36" t="s">
        <v>546</v>
      </c>
      <c r="F644" s="36" t="s">
        <v>1196</v>
      </c>
      <c r="G644" s="29" t="s">
        <v>1197</v>
      </c>
      <c r="H644" s="11">
        <v>25.9</v>
      </c>
      <c r="I644" s="11">
        <v>25.9</v>
      </c>
    </row>
    <row r="645" spans="1:9" x14ac:dyDescent="0.25">
      <c r="A645" s="113" t="s">
        <v>1786</v>
      </c>
      <c r="B645" s="1" t="s">
        <v>1800</v>
      </c>
      <c r="H645"/>
      <c r="I645"/>
    </row>
    <row r="646" spans="1:9" x14ac:dyDescent="0.25">
      <c r="A646" s="114"/>
      <c r="B646" s="5" t="s">
        <v>1786</v>
      </c>
      <c r="C646" s="3" t="s">
        <v>1814</v>
      </c>
      <c r="D646" s="3" t="s">
        <v>546</v>
      </c>
      <c r="E646" s="36" t="s">
        <v>546</v>
      </c>
      <c r="F646" s="36" t="s">
        <v>1196</v>
      </c>
      <c r="G646" s="29" t="s">
        <v>1197</v>
      </c>
      <c r="H646" s="11">
        <v>25.9</v>
      </c>
      <c r="I646" s="11">
        <v>25.9</v>
      </c>
    </row>
    <row r="647" spans="1:9" x14ac:dyDescent="0.25">
      <c r="A647" s="113" t="s">
        <v>1787</v>
      </c>
      <c r="B647" s="1" t="s">
        <v>1801</v>
      </c>
      <c r="H647"/>
      <c r="I647"/>
    </row>
    <row r="648" spans="1:9" x14ac:dyDescent="0.25">
      <c r="A648" s="114"/>
      <c r="B648" s="5" t="s">
        <v>1787</v>
      </c>
      <c r="C648" s="3" t="s">
        <v>1815</v>
      </c>
      <c r="D648" s="3" t="s">
        <v>546</v>
      </c>
      <c r="E648" s="36" t="s">
        <v>546</v>
      </c>
      <c r="F648" s="36" t="s">
        <v>1196</v>
      </c>
      <c r="G648" s="29" t="s">
        <v>1197</v>
      </c>
      <c r="H648" s="11">
        <v>25.9</v>
      </c>
      <c r="I648" s="11">
        <v>25.9</v>
      </c>
    </row>
    <row r="649" spans="1:9" x14ac:dyDescent="0.25">
      <c r="A649" s="113" t="s">
        <v>1788</v>
      </c>
      <c r="B649" s="1" t="s">
        <v>1802</v>
      </c>
      <c r="H649"/>
      <c r="I649"/>
    </row>
    <row r="650" spans="1:9" x14ac:dyDescent="0.25">
      <c r="A650" s="114"/>
      <c r="B650" s="5" t="s">
        <v>1788</v>
      </c>
      <c r="C650" s="3" t="s">
        <v>1816</v>
      </c>
      <c r="D650" s="3" t="s">
        <v>546</v>
      </c>
      <c r="E650" s="36" t="s">
        <v>546</v>
      </c>
      <c r="F650" s="36" t="s">
        <v>1196</v>
      </c>
      <c r="G650" s="29" t="s">
        <v>1197</v>
      </c>
      <c r="H650" s="11">
        <v>51.9</v>
      </c>
      <c r="I650" s="11">
        <v>51.9</v>
      </c>
    </row>
    <row r="651" spans="1:9" x14ac:dyDescent="0.25">
      <c r="A651" s="113" t="s">
        <v>1789</v>
      </c>
      <c r="B651" s="1" t="s">
        <v>1804</v>
      </c>
      <c r="H651"/>
      <c r="I651"/>
    </row>
    <row r="652" spans="1:9" x14ac:dyDescent="0.25">
      <c r="A652" s="114"/>
      <c r="B652" s="5" t="s">
        <v>1789</v>
      </c>
      <c r="C652" s="3" t="s">
        <v>1817</v>
      </c>
      <c r="D652" s="3" t="s">
        <v>546</v>
      </c>
      <c r="E652" s="36" t="s">
        <v>546</v>
      </c>
      <c r="F652" s="36" t="s">
        <v>1196</v>
      </c>
      <c r="G652" s="29" t="s">
        <v>1197</v>
      </c>
      <c r="H652" s="11">
        <v>51.9</v>
      </c>
      <c r="I652" s="11">
        <v>51.9</v>
      </c>
    </row>
    <row r="653" spans="1:9" x14ac:dyDescent="0.25">
      <c r="A653" s="113" t="s">
        <v>1790</v>
      </c>
      <c r="B653" s="1" t="s">
        <v>1805</v>
      </c>
      <c r="H653"/>
      <c r="I653"/>
    </row>
    <row r="654" spans="1:9" x14ac:dyDescent="0.25">
      <c r="A654" s="114"/>
      <c r="B654" s="5" t="s">
        <v>1790</v>
      </c>
      <c r="C654" s="3" t="s">
        <v>1818</v>
      </c>
      <c r="D654" s="3" t="s">
        <v>546</v>
      </c>
      <c r="E654" s="36" t="s">
        <v>546</v>
      </c>
      <c r="F654" s="36" t="s">
        <v>1196</v>
      </c>
      <c r="G654" s="29" t="s">
        <v>1197</v>
      </c>
      <c r="H654" s="11">
        <v>51.9</v>
      </c>
      <c r="I654" s="11">
        <v>51.9</v>
      </c>
    </row>
    <row r="655" spans="1:9" x14ac:dyDescent="0.25">
      <c r="A655" s="113" t="s">
        <v>1791</v>
      </c>
      <c r="B655" s="1" t="s">
        <v>1806</v>
      </c>
      <c r="H655"/>
      <c r="I655"/>
    </row>
    <row r="656" spans="1:9" x14ac:dyDescent="0.25">
      <c r="A656" s="114"/>
      <c r="B656" s="5" t="s">
        <v>1791</v>
      </c>
      <c r="C656" s="3" t="s">
        <v>1819</v>
      </c>
      <c r="D656" s="3" t="s">
        <v>546</v>
      </c>
      <c r="E656" s="36" t="s">
        <v>546</v>
      </c>
      <c r="F656" s="36" t="s">
        <v>1196</v>
      </c>
      <c r="G656" s="29" t="s">
        <v>1197</v>
      </c>
      <c r="H656" s="11">
        <v>51.9</v>
      </c>
      <c r="I656" s="11">
        <v>51.9</v>
      </c>
    </row>
    <row r="657" spans="1:9" x14ac:dyDescent="0.25">
      <c r="A657" s="113" t="s">
        <v>1792</v>
      </c>
      <c r="B657" s="1" t="s">
        <v>1807</v>
      </c>
      <c r="H657"/>
      <c r="I657"/>
    </row>
    <row r="658" spans="1:9" x14ac:dyDescent="0.25">
      <c r="A658" s="114"/>
      <c r="B658" s="5" t="s">
        <v>1792</v>
      </c>
      <c r="C658" s="3" t="s">
        <v>1820</v>
      </c>
      <c r="D658" s="3" t="s">
        <v>546</v>
      </c>
      <c r="E658" s="36" t="s">
        <v>546</v>
      </c>
      <c r="F658" s="36" t="s">
        <v>1196</v>
      </c>
      <c r="G658" s="29" t="s">
        <v>1197</v>
      </c>
      <c r="H658" s="11">
        <v>51.9</v>
      </c>
      <c r="I658" s="11">
        <v>51.9</v>
      </c>
    </row>
    <row r="659" spans="1:9" x14ac:dyDescent="0.25">
      <c r="A659" s="113" t="s">
        <v>1793</v>
      </c>
      <c r="B659" s="1" t="s">
        <v>1808</v>
      </c>
      <c r="H659"/>
      <c r="I659"/>
    </row>
    <row r="660" spans="1:9" x14ac:dyDescent="0.25">
      <c r="A660" s="114"/>
      <c r="B660" s="5" t="s">
        <v>1793</v>
      </c>
      <c r="C660" s="3" t="s">
        <v>1821</v>
      </c>
      <c r="D660" s="3" t="s">
        <v>546</v>
      </c>
      <c r="E660" s="36" t="s">
        <v>546</v>
      </c>
      <c r="F660" s="36" t="s">
        <v>1196</v>
      </c>
      <c r="G660" s="29" t="s">
        <v>1197</v>
      </c>
      <c r="H660" s="11">
        <v>51.9</v>
      </c>
      <c r="I660" s="11">
        <v>51.9</v>
      </c>
    </row>
    <row r="661" spans="1:9" x14ac:dyDescent="0.25">
      <c r="A661" s="113" t="s">
        <v>1794</v>
      </c>
      <c r="B661" s="1" t="s">
        <v>1809</v>
      </c>
      <c r="H661"/>
      <c r="I661"/>
    </row>
    <row r="662" spans="1:9" x14ac:dyDescent="0.25">
      <c r="A662" s="114"/>
      <c r="B662" s="5" t="s">
        <v>1794</v>
      </c>
      <c r="C662" s="3" t="s">
        <v>1822</v>
      </c>
      <c r="D662" s="3" t="s">
        <v>546</v>
      </c>
      <c r="E662" s="36" t="s">
        <v>546</v>
      </c>
      <c r="F662" s="36" t="s">
        <v>1196</v>
      </c>
      <c r="G662" s="29" t="s">
        <v>1197</v>
      </c>
      <c r="H662" s="11">
        <v>51.9</v>
      </c>
      <c r="I662" s="11">
        <v>51.9</v>
      </c>
    </row>
    <row r="663" spans="1:9" x14ac:dyDescent="0.25">
      <c r="A663" s="113" t="s">
        <v>1795</v>
      </c>
      <c r="B663" s="1" t="s">
        <v>1803</v>
      </c>
      <c r="H663"/>
      <c r="I663"/>
    </row>
    <row r="664" spans="1:9" x14ac:dyDescent="0.25">
      <c r="A664" s="114"/>
      <c r="B664" s="5" t="s">
        <v>1795</v>
      </c>
      <c r="C664" s="3" t="s">
        <v>1823</v>
      </c>
      <c r="D664" s="3" t="s">
        <v>546</v>
      </c>
      <c r="E664" s="36" t="s">
        <v>546</v>
      </c>
      <c r="F664" s="36" t="s">
        <v>1196</v>
      </c>
      <c r="G664" s="29" t="s">
        <v>1197</v>
      </c>
      <c r="H664" s="11">
        <v>18.899999999999999</v>
      </c>
      <c r="I664" s="11">
        <v>18.899999999999999</v>
      </c>
    </row>
    <row r="665" spans="1:9" x14ac:dyDescent="0.25">
      <c r="A665" s="113" t="s">
        <v>1835</v>
      </c>
      <c r="B665" s="1" t="s">
        <v>1836</v>
      </c>
      <c r="H665"/>
      <c r="I665"/>
    </row>
    <row r="666" spans="1:9" x14ac:dyDescent="0.25">
      <c r="A666" s="114"/>
      <c r="B666" s="5" t="s">
        <v>1835</v>
      </c>
      <c r="C666" s="3" t="s">
        <v>1837</v>
      </c>
      <c r="D666" s="3" t="s">
        <v>546</v>
      </c>
      <c r="E666" s="36" t="s">
        <v>546</v>
      </c>
      <c r="F666" s="36" t="s">
        <v>1196</v>
      </c>
      <c r="G666" s="29" t="s">
        <v>546</v>
      </c>
      <c r="H666" s="11">
        <v>54.9</v>
      </c>
      <c r="I666" s="11">
        <v>54.9</v>
      </c>
    </row>
    <row r="667" spans="1:9" x14ac:dyDescent="0.25">
      <c r="A667" s="118" t="s">
        <v>307</v>
      </c>
      <c r="B667" s="119"/>
      <c r="C667" s="119"/>
      <c r="D667" s="119"/>
      <c r="E667" s="119"/>
      <c r="F667" s="119"/>
      <c r="G667" s="119"/>
      <c r="H667" s="119"/>
      <c r="I667" s="119"/>
    </row>
    <row r="668" spans="1:9" x14ac:dyDescent="0.25">
      <c r="A668" s="84" t="s">
        <v>546</v>
      </c>
      <c r="B668" s="83"/>
      <c r="C668" s="83"/>
      <c r="D668" s="83"/>
      <c r="E668" s="83"/>
      <c r="F668" s="83"/>
      <c r="G668" s="83"/>
      <c r="H668" s="83"/>
      <c r="I668" s="83"/>
    </row>
    <row r="669" spans="1:9" x14ac:dyDescent="0.25">
      <c r="A669" s="113" t="s">
        <v>2</v>
      </c>
      <c r="B669" s="85" t="s">
        <v>241</v>
      </c>
      <c r="C669" s="82"/>
      <c r="D669" s="82"/>
      <c r="E669" s="82"/>
      <c r="F669" s="82"/>
      <c r="G669" s="82"/>
      <c r="H669" s="82"/>
      <c r="I669" s="82"/>
    </row>
    <row r="670" spans="1:9" x14ac:dyDescent="0.25">
      <c r="A670" s="114"/>
      <c r="B670" s="5" t="s">
        <v>2</v>
      </c>
      <c r="C670" s="3" t="s">
        <v>435</v>
      </c>
      <c r="D670" s="3" t="s">
        <v>546</v>
      </c>
      <c r="E670" s="36">
        <v>40</v>
      </c>
      <c r="F670" s="36" t="s">
        <v>307</v>
      </c>
      <c r="G670" s="29">
        <v>0</v>
      </c>
      <c r="H670" s="11">
        <v>34.200000000000003</v>
      </c>
      <c r="I670" s="11">
        <v>34.200000000000003</v>
      </c>
    </row>
    <row r="671" spans="1:9" x14ac:dyDescent="0.25">
      <c r="A671" s="113" t="s">
        <v>53</v>
      </c>
      <c r="B671" s="85" t="s">
        <v>242</v>
      </c>
      <c r="C671" s="82"/>
      <c r="D671" s="82"/>
      <c r="E671" s="82"/>
      <c r="F671" s="82"/>
      <c r="G671" s="82"/>
      <c r="H671" s="82"/>
      <c r="I671" s="82"/>
    </row>
    <row r="672" spans="1:9" x14ac:dyDescent="0.25">
      <c r="A672" s="114"/>
      <c r="B672" s="5" t="s">
        <v>53</v>
      </c>
      <c r="C672" s="3" t="s">
        <v>436</v>
      </c>
      <c r="D672" s="3" t="s">
        <v>546</v>
      </c>
      <c r="E672" s="36">
        <v>40</v>
      </c>
      <c r="F672" s="36" t="s">
        <v>307</v>
      </c>
      <c r="G672" s="29">
        <v>0</v>
      </c>
      <c r="H672" s="11">
        <v>35.299999999999997</v>
      </c>
      <c r="I672" s="11">
        <v>35.299999999999997</v>
      </c>
    </row>
    <row r="673" spans="1:9" x14ac:dyDescent="0.25">
      <c r="A673" s="113" t="s">
        <v>54</v>
      </c>
      <c r="B673" s="85" t="s">
        <v>243</v>
      </c>
      <c r="C673" s="82"/>
      <c r="D673" s="82"/>
      <c r="E673" s="82"/>
      <c r="F673" s="82"/>
      <c r="G673" s="82"/>
      <c r="H673" s="82"/>
      <c r="I673" s="82"/>
    </row>
    <row r="674" spans="1:9" x14ac:dyDescent="0.25">
      <c r="A674" s="114"/>
      <c r="B674" s="5" t="s">
        <v>54</v>
      </c>
      <c r="C674" s="3" t="s">
        <v>437</v>
      </c>
      <c r="D674" s="3" t="s">
        <v>546</v>
      </c>
      <c r="E674" s="36">
        <v>40</v>
      </c>
      <c r="F674" s="36" t="s">
        <v>307</v>
      </c>
      <c r="G674" s="29">
        <v>0</v>
      </c>
      <c r="H674" s="11">
        <v>35.299999999999997</v>
      </c>
      <c r="I674" s="11">
        <v>35.299999999999997</v>
      </c>
    </row>
    <row r="675" spans="1:9" x14ac:dyDescent="0.25">
      <c r="A675" s="113" t="s">
        <v>55</v>
      </c>
      <c r="B675" s="85" t="s">
        <v>244</v>
      </c>
      <c r="C675" s="82"/>
      <c r="D675" s="82"/>
      <c r="E675" s="82"/>
      <c r="F675" s="82"/>
      <c r="G675" s="82"/>
      <c r="H675" s="82"/>
      <c r="I675" s="82"/>
    </row>
    <row r="676" spans="1:9" x14ac:dyDescent="0.25">
      <c r="A676" s="114"/>
      <c r="B676" s="5" t="s">
        <v>55</v>
      </c>
      <c r="C676" s="3" t="s">
        <v>438</v>
      </c>
      <c r="D676" s="3" t="s">
        <v>546</v>
      </c>
      <c r="E676" s="36">
        <v>40</v>
      </c>
      <c r="F676" s="36" t="s">
        <v>307</v>
      </c>
      <c r="G676" s="29">
        <v>0</v>
      </c>
      <c r="H676" s="11">
        <v>38.4</v>
      </c>
      <c r="I676" s="11">
        <v>38.4</v>
      </c>
    </row>
    <row r="677" spans="1:9" x14ac:dyDescent="0.25">
      <c r="A677" s="113" t="s">
        <v>56</v>
      </c>
      <c r="B677" s="85" t="s">
        <v>245</v>
      </c>
      <c r="C677" s="82"/>
      <c r="D677" s="82"/>
      <c r="E677" s="82"/>
      <c r="F677" s="82"/>
      <c r="G677" s="82"/>
      <c r="H677" s="82"/>
      <c r="I677" s="82"/>
    </row>
    <row r="678" spans="1:9" x14ac:dyDescent="0.25">
      <c r="A678" s="114"/>
      <c r="B678" s="5" t="s">
        <v>56</v>
      </c>
      <c r="C678" s="3" t="s">
        <v>439</v>
      </c>
      <c r="D678" s="3" t="s">
        <v>546</v>
      </c>
      <c r="E678" s="36">
        <v>40</v>
      </c>
      <c r="F678" s="36" t="s">
        <v>307</v>
      </c>
      <c r="G678" s="29">
        <v>0</v>
      </c>
      <c r="H678" s="11">
        <v>37.4</v>
      </c>
      <c r="I678" s="11">
        <v>37.4</v>
      </c>
    </row>
    <row r="679" spans="1:9" x14ac:dyDescent="0.25">
      <c r="A679" s="113" t="s">
        <v>57</v>
      </c>
      <c r="B679" s="85" t="s">
        <v>246</v>
      </c>
      <c r="C679" s="82"/>
      <c r="D679" s="82"/>
      <c r="E679" s="82"/>
      <c r="F679" s="82"/>
      <c r="G679" s="82"/>
      <c r="H679" s="82"/>
      <c r="I679" s="82"/>
    </row>
    <row r="680" spans="1:9" x14ac:dyDescent="0.25">
      <c r="A680" s="114"/>
      <c r="B680" s="5" t="s">
        <v>57</v>
      </c>
      <c r="C680" s="3" t="s">
        <v>440</v>
      </c>
      <c r="D680" s="3" t="s">
        <v>546</v>
      </c>
      <c r="E680" s="36">
        <v>40</v>
      </c>
      <c r="F680" s="36" t="s">
        <v>307</v>
      </c>
      <c r="G680" s="29">
        <v>0</v>
      </c>
      <c r="H680" s="11">
        <v>39.4</v>
      </c>
      <c r="I680" s="11">
        <v>39.4</v>
      </c>
    </row>
    <row r="681" spans="1:9" x14ac:dyDescent="0.25">
      <c r="A681" s="113" t="s">
        <v>58</v>
      </c>
      <c r="B681" s="85" t="s">
        <v>247</v>
      </c>
      <c r="C681" s="82"/>
      <c r="D681" s="82"/>
      <c r="E681" s="82"/>
      <c r="F681" s="82"/>
      <c r="G681" s="82"/>
      <c r="H681" s="82"/>
      <c r="I681" s="82"/>
    </row>
    <row r="682" spans="1:9" x14ac:dyDescent="0.25">
      <c r="A682" s="114"/>
      <c r="B682" s="5" t="s">
        <v>58</v>
      </c>
      <c r="C682" s="3" t="s">
        <v>441</v>
      </c>
      <c r="D682" s="3" t="s">
        <v>546</v>
      </c>
      <c r="E682" s="36">
        <v>40</v>
      </c>
      <c r="F682" s="36" t="s">
        <v>307</v>
      </c>
      <c r="G682" s="29">
        <v>0</v>
      </c>
      <c r="H682" s="11">
        <v>39.4</v>
      </c>
      <c r="I682" s="11">
        <v>39.4</v>
      </c>
    </row>
    <row r="683" spans="1:9" x14ac:dyDescent="0.25">
      <c r="A683" s="113" t="s">
        <v>59</v>
      </c>
      <c r="B683" s="85" t="s">
        <v>248</v>
      </c>
      <c r="C683" s="82"/>
      <c r="D683" s="82"/>
      <c r="E683" s="82"/>
      <c r="F683" s="82"/>
      <c r="G683" s="82"/>
      <c r="H683" s="82"/>
      <c r="I683" s="82"/>
    </row>
    <row r="684" spans="1:9" x14ac:dyDescent="0.25">
      <c r="A684" s="114"/>
      <c r="B684" s="5" t="s">
        <v>59</v>
      </c>
      <c r="C684" s="3" t="s">
        <v>442</v>
      </c>
      <c r="D684" s="3" t="s">
        <v>546</v>
      </c>
      <c r="E684" s="36">
        <v>40</v>
      </c>
      <c r="F684" s="36" t="s">
        <v>307</v>
      </c>
      <c r="G684" s="29">
        <v>0</v>
      </c>
      <c r="H684" s="11">
        <v>37.299999999999997</v>
      </c>
      <c r="I684" s="11">
        <v>37.299999999999997</v>
      </c>
    </row>
    <row r="685" spans="1:9" x14ac:dyDescent="0.25">
      <c r="A685" s="113" t="s">
        <v>60</v>
      </c>
      <c r="B685" s="85" t="s">
        <v>249</v>
      </c>
      <c r="C685" s="82"/>
      <c r="D685" s="82"/>
      <c r="E685" s="82"/>
      <c r="F685" s="82"/>
      <c r="G685" s="82"/>
      <c r="H685" s="82"/>
      <c r="I685" s="82"/>
    </row>
    <row r="686" spans="1:9" x14ac:dyDescent="0.25">
      <c r="A686" s="114"/>
      <c r="B686" s="5" t="s">
        <v>60</v>
      </c>
      <c r="C686" s="3" t="s">
        <v>443</v>
      </c>
      <c r="D686" s="3" t="s">
        <v>546</v>
      </c>
      <c r="E686" s="36">
        <v>40</v>
      </c>
      <c r="F686" s="36" t="s">
        <v>307</v>
      </c>
      <c r="G686" s="29">
        <v>0</v>
      </c>
      <c r="H686" s="11">
        <v>39.4</v>
      </c>
      <c r="I686" s="11">
        <v>39.4</v>
      </c>
    </row>
    <row r="687" spans="1:9" x14ac:dyDescent="0.25">
      <c r="A687" s="113" t="s">
        <v>61</v>
      </c>
      <c r="B687" s="85" t="s">
        <v>250</v>
      </c>
      <c r="C687" s="82"/>
      <c r="D687" s="82"/>
      <c r="E687" s="82"/>
      <c r="F687" s="82"/>
      <c r="G687" s="82"/>
      <c r="H687" s="82"/>
      <c r="I687" s="82"/>
    </row>
    <row r="688" spans="1:9" x14ac:dyDescent="0.25">
      <c r="A688" s="114"/>
      <c r="B688" s="5" t="s">
        <v>61</v>
      </c>
      <c r="C688" s="3" t="s">
        <v>444</v>
      </c>
      <c r="D688" s="3" t="s">
        <v>546</v>
      </c>
      <c r="E688" s="36">
        <v>40</v>
      </c>
      <c r="F688" s="36" t="s">
        <v>307</v>
      </c>
      <c r="G688" s="29">
        <v>0</v>
      </c>
      <c r="H688" s="11">
        <v>39.4</v>
      </c>
      <c r="I688" s="11">
        <v>39.4</v>
      </c>
    </row>
    <row r="689" spans="1:9" x14ac:dyDescent="0.25">
      <c r="A689" s="113" t="s">
        <v>62</v>
      </c>
      <c r="B689" s="85" t="s">
        <v>251</v>
      </c>
      <c r="C689" s="82"/>
      <c r="D689" s="82"/>
      <c r="E689" s="82"/>
      <c r="F689" s="82"/>
      <c r="G689" s="82"/>
      <c r="H689" s="82"/>
      <c r="I689" s="82"/>
    </row>
    <row r="690" spans="1:9" x14ac:dyDescent="0.25">
      <c r="A690" s="114"/>
      <c r="B690" s="5" t="s">
        <v>62</v>
      </c>
      <c r="C690" s="3" t="s">
        <v>445</v>
      </c>
      <c r="D690" s="3" t="s">
        <v>546</v>
      </c>
      <c r="E690" s="36">
        <v>40</v>
      </c>
      <c r="F690" s="36" t="s">
        <v>307</v>
      </c>
      <c r="G690" s="29">
        <v>0</v>
      </c>
      <c r="H690" s="11">
        <v>41.5</v>
      </c>
      <c r="I690" s="11">
        <v>41.5</v>
      </c>
    </row>
    <row r="691" spans="1:9" x14ac:dyDescent="0.25">
      <c r="A691" s="113" t="s">
        <v>63</v>
      </c>
      <c r="B691" s="85" t="s">
        <v>252</v>
      </c>
      <c r="C691" s="82"/>
      <c r="D691" s="82"/>
      <c r="E691" s="82"/>
      <c r="F691" s="82"/>
      <c r="G691" s="82"/>
      <c r="H691" s="82"/>
      <c r="I691" s="82"/>
    </row>
    <row r="692" spans="1:9" x14ac:dyDescent="0.25">
      <c r="A692" s="114"/>
      <c r="B692" s="5" t="s">
        <v>63</v>
      </c>
      <c r="C692" s="3" t="s">
        <v>446</v>
      </c>
      <c r="D692" s="3" t="s">
        <v>546</v>
      </c>
      <c r="E692" s="36">
        <v>40</v>
      </c>
      <c r="F692" s="36" t="s">
        <v>307</v>
      </c>
      <c r="G692" s="29">
        <v>0</v>
      </c>
      <c r="H692" s="11">
        <v>41.5</v>
      </c>
      <c r="I692" s="11">
        <v>41.5</v>
      </c>
    </row>
    <row r="693" spans="1:9" x14ac:dyDescent="0.25">
      <c r="A693" s="113" t="s">
        <v>64</v>
      </c>
      <c r="B693" s="85" t="s">
        <v>253</v>
      </c>
      <c r="C693" s="82"/>
      <c r="D693" s="82"/>
      <c r="E693" s="82"/>
      <c r="F693" s="82"/>
      <c r="G693" s="82"/>
      <c r="H693" s="82"/>
      <c r="I693" s="82"/>
    </row>
    <row r="694" spans="1:9" x14ac:dyDescent="0.25">
      <c r="A694" s="114"/>
      <c r="B694" s="5" t="s">
        <v>64</v>
      </c>
      <c r="C694" s="3" t="s">
        <v>447</v>
      </c>
      <c r="D694" s="3" t="s">
        <v>546</v>
      </c>
      <c r="E694" s="36">
        <v>40</v>
      </c>
      <c r="F694" s="36" t="s">
        <v>307</v>
      </c>
      <c r="G694" s="29">
        <v>0</v>
      </c>
      <c r="H694" s="11">
        <v>41.5</v>
      </c>
      <c r="I694" s="11">
        <v>41.5</v>
      </c>
    </row>
    <row r="695" spans="1:9" x14ac:dyDescent="0.25">
      <c r="A695" s="113" t="s">
        <v>65</v>
      </c>
      <c r="B695" s="85" t="s">
        <v>254</v>
      </c>
      <c r="C695" s="82"/>
      <c r="D695" s="82"/>
      <c r="E695" s="82"/>
      <c r="F695" s="82"/>
      <c r="G695" s="82"/>
      <c r="H695" s="82"/>
      <c r="I695" s="82"/>
    </row>
    <row r="696" spans="1:9" x14ac:dyDescent="0.25">
      <c r="A696" s="114"/>
      <c r="B696" s="5" t="s">
        <v>65</v>
      </c>
      <c r="C696" s="3" t="s">
        <v>448</v>
      </c>
      <c r="D696" s="3" t="s">
        <v>546</v>
      </c>
      <c r="E696" s="36">
        <v>40</v>
      </c>
      <c r="F696" s="36" t="s">
        <v>307</v>
      </c>
      <c r="G696" s="29">
        <v>0</v>
      </c>
      <c r="H696" s="11">
        <v>41.5</v>
      </c>
      <c r="I696" s="11">
        <v>41.5</v>
      </c>
    </row>
    <row r="697" spans="1:9" x14ac:dyDescent="0.25">
      <c r="A697" s="113" t="s">
        <v>66</v>
      </c>
      <c r="B697" s="85" t="s">
        <v>255</v>
      </c>
      <c r="C697" s="82"/>
      <c r="D697" s="82"/>
      <c r="E697" s="82"/>
      <c r="F697" s="82"/>
      <c r="G697" s="82"/>
      <c r="H697" s="82"/>
      <c r="I697" s="82"/>
    </row>
    <row r="698" spans="1:9" x14ac:dyDescent="0.25">
      <c r="A698" s="114"/>
      <c r="B698" s="5" t="s">
        <v>66</v>
      </c>
      <c r="C698" s="3" t="s">
        <v>449</v>
      </c>
      <c r="D698" s="3" t="s">
        <v>546</v>
      </c>
      <c r="E698" s="36">
        <v>40</v>
      </c>
      <c r="F698" s="36" t="s">
        <v>307</v>
      </c>
      <c r="G698" s="29">
        <v>0</v>
      </c>
      <c r="H698" s="11">
        <v>37.299999999999997</v>
      </c>
      <c r="I698" s="11">
        <v>37.299999999999997</v>
      </c>
    </row>
    <row r="699" spans="1:9" x14ac:dyDescent="0.25">
      <c r="A699" s="113" t="s">
        <v>67</v>
      </c>
      <c r="B699" s="85" t="s">
        <v>256</v>
      </c>
      <c r="C699" s="82"/>
      <c r="D699" s="82"/>
      <c r="E699" s="82"/>
      <c r="F699" s="82"/>
      <c r="G699" s="82"/>
      <c r="H699" s="82"/>
      <c r="I699" s="82"/>
    </row>
    <row r="700" spans="1:9" x14ac:dyDescent="0.25">
      <c r="A700" s="114"/>
      <c r="B700" s="5" t="s">
        <v>67</v>
      </c>
      <c r="C700" s="3" t="s">
        <v>450</v>
      </c>
      <c r="D700" s="3" t="s">
        <v>546</v>
      </c>
      <c r="E700" s="36">
        <v>40</v>
      </c>
      <c r="F700" s="36" t="s">
        <v>307</v>
      </c>
      <c r="G700" s="29">
        <v>0</v>
      </c>
      <c r="H700" s="11">
        <v>39.4</v>
      </c>
      <c r="I700" s="11">
        <v>39.4</v>
      </c>
    </row>
    <row r="701" spans="1:9" x14ac:dyDescent="0.25">
      <c r="A701" s="113" t="s">
        <v>68</v>
      </c>
      <c r="B701" s="85" t="s">
        <v>257</v>
      </c>
      <c r="C701" s="82"/>
      <c r="D701" s="82"/>
      <c r="E701" s="82"/>
      <c r="F701" s="82"/>
      <c r="G701" s="82"/>
      <c r="H701" s="82"/>
      <c r="I701" s="82"/>
    </row>
    <row r="702" spans="1:9" x14ac:dyDescent="0.25">
      <c r="A702" s="114"/>
      <c r="B702" s="5" t="s">
        <v>68</v>
      </c>
      <c r="C702" s="3" t="s">
        <v>451</v>
      </c>
      <c r="D702" s="3" t="s">
        <v>546</v>
      </c>
      <c r="E702" s="36">
        <v>40</v>
      </c>
      <c r="F702" s="36" t="s">
        <v>307</v>
      </c>
      <c r="G702" s="29">
        <v>0</v>
      </c>
      <c r="H702" s="11">
        <v>39.9</v>
      </c>
      <c r="I702" s="11">
        <v>39.9</v>
      </c>
    </row>
    <row r="703" spans="1:9" x14ac:dyDescent="0.25">
      <c r="A703" s="113" t="s">
        <v>69</v>
      </c>
      <c r="B703" s="85" t="s">
        <v>258</v>
      </c>
      <c r="C703" s="82"/>
      <c r="D703" s="82"/>
      <c r="E703" s="82"/>
      <c r="F703" s="82"/>
      <c r="G703" s="82"/>
      <c r="H703" s="82"/>
      <c r="I703" s="82"/>
    </row>
    <row r="704" spans="1:9" x14ac:dyDescent="0.25">
      <c r="A704" s="114"/>
      <c r="B704" s="5" t="s">
        <v>69</v>
      </c>
      <c r="C704" s="3" t="s">
        <v>452</v>
      </c>
      <c r="D704" s="3" t="s">
        <v>546</v>
      </c>
      <c r="E704" s="36">
        <v>40</v>
      </c>
      <c r="F704" s="36" t="s">
        <v>307</v>
      </c>
      <c r="G704" s="29">
        <v>0</v>
      </c>
      <c r="H704" s="11">
        <v>41.5</v>
      </c>
      <c r="I704" s="11">
        <v>41.5</v>
      </c>
    </row>
    <row r="705" spans="1:9" x14ac:dyDescent="0.25">
      <c r="A705" s="113" t="s">
        <v>70</v>
      </c>
      <c r="B705" s="85" t="s">
        <v>259</v>
      </c>
      <c r="C705" s="82"/>
      <c r="D705" s="82"/>
      <c r="E705" s="82"/>
      <c r="F705" s="82"/>
      <c r="G705" s="82"/>
      <c r="H705" s="82"/>
      <c r="I705" s="82"/>
    </row>
    <row r="706" spans="1:9" x14ac:dyDescent="0.25">
      <c r="A706" s="114"/>
      <c r="B706" s="5" t="s">
        <v>70</v>
      </c>
      <c r="C706" s="3" t="s">
        <v>453</v>
      </c>
      <c r="D706" s="3" t="s">
        <v>546</v>
      </c>
      <c r="E706" s="36">
        <v>40</v>
      </c>
      <c r="F706" s="36" t="s">
        <v>307</v>
      </c>
      <c r="G706" s="29">
        <v>0</v>
      </c>
      <c r="H706" s="11">
        <v>41.5</v>
      </c>
      <c r="I706" s="11">
        <v>41.5</v>
      </c>
    </row>
    <row r="707" spans="1:9" x14ac:dyDescent="0.25">
      <c r="A707" s="113" t="s">
        <v>71</v>
      </c>
      <c r="B707" s="85" t="s">
        <v>260</v>
      </c>
      <c r="C707" s="82"/>
      <c r="D707" s="82"/>
      <c r="E707" s="82"/>
      <c r="F707" s="82"/>
      <c r="G707" s="82"/>
      <c r="H707" s="82"/>
      <c r="I707" s="82"/>
    </row>
    <row r="708" spans="1:9" x14ac:dyDescent="0.25">
      <c r="A708" s="114"/>
      <c r="B708" s="5" t="s">
        <v>71</v>
      </c>
      <c r="C708" s="3" t="s">
        <v>454</v>
      </c>
      <c r="D708" s="3" t="s">
        <v>546</v>
      </c>
      <c r="E708" s="36">
        <v>40</v>
      </c>
      <c r="F708" s="36" t="s">
        <v>307</v>
      </c>
      <c r="G708" s="29">
        <v>0</v>
      </c>
      <c r="H708" s="11">
        <v>41.5</v>
      </c>
      <c r="I708" s="11">
        <v>41.5</v>
      </c>
    </row>
    <row r="709" spans="1:9" x14ac:dyDescent="0.25">
      <c r="A709" s="113" t="s">
        <v>72</v>
      </c>
      <c r="B709" s="85" t="s">
        <v>261</v>
      </c>
      <c r="C709" s="82"/>
      <c r="D709" s="82"/>
      <c r="E709" s="82"/>
      <c r="F709" s="82"/>
      <c r="G709" s="82"/>
      <c r="H709" s="82"/>
      <c r="I709" s="82"/>
    </row>
    <row r="710" spans="1:9" x14ac:dyDescent="0.25">
      <c r="A710" s="114"/>
      <c r="B710" s="5" t="s">
        <v>72</v>
      </c>
      <c r="C710" s="3" t="s">
        <v>455</v>
      </c>
      <c r="D710" s="3" t="s">
        <v>546</v>
      </c>
      <c r="E710" s="36">
        <v>40</v>
      </c>
      <c r="F710" s="36" t="s">
        <v>307</v>
      </c>
      <c r="G710" s="29">
        <v>0</v>
      </c>
      <c r="H710" s="11">
        <v>41.5</v>
      </c>
      <c r="I710" s="11">
        <v>41.5</v>
      </c>
    </row>
    <row r="711" spans="1:9" x14ac:dyDescent="0.25">
      <c r="A711" s="113" t="s">
        <v>73</v>
      </c>
      <c r="B711" s="85" t="s">
        <v>262</v>
      </c>
      <c r="C711" s="82"/>
      <c r="D711" s="82"/>
      <c r="E711" s="82"/>
      <c r="F711" s="82"/>
      <c r="G711" s="82"/>
      <c r="H711" s="82"/>
      <c r="I711" s="82"/>
    </row>
    <row r="712" spans="1:9" x14ac:dyDescent="0.25">
      <c r="A712" s="114"/>
      <c r="B712" s="5" t="s">
        <v>73</v>
      </c>
      <c r="C712" s="3" t="s">
        <v>456</v>
      </c>
      <c r="D712" s="3" t="s">
        <v>546</v>
      </c>
      <c r="E712" s="36">
        <v>40</v>
      </c>
      <c r="F712" s="36" t="s">
        <v>307</v>
      </c>
      <c r="G712" s="29">
        <v>0</v>
      </c>
      <c r="H712" s="11">
        <v>40.5</v>
      </c>
      <c r="I712" s="11">
        <v>40.5</v>
      </c>
    </row>
    <row r="713" spans="1:9" x14ac:dyDescent="0.25">
      <c r="A713" s="113" t="s">
        <v>74</v>
      </c>
      <c r="B713" s="85" t="s">
        <v>263</v>
      </c>
      <c r="C713" s="82"/>
      <c r="D713" s="82"/>
      <c r="E713" s="82"/>
      <c r="F713" s="82"/>
      <c r="G713" s="82"/>
      <c r="H713" s="82"/>
      <c r="I713" s="82"/>
    </row>
    <row r="714" spans="1:9" x14ac:dyDescent="0.25">
      <c r="A714" s="114"/>
      <c r="B714" s="5" t="s">
        <v>74</v>
      </c>
      <c r="C714" s="3" t="s">
        <v>457</v>
      </c>
      <c r="D714" s="3" t="s">
        <v>546</v>
      </c>
      <c r="E714" s="36">
        <v>40</v>
      </c>
      <c r="F714" s="36" t="s">
        <v>307</v>
      </c>
      <c r="G714" s="29">
        <v>0</v>
      </c>
      <c r="H714" s="11">
        <v>41.5</v>
      </c>
      <c r="I714" s="11">
        <v>41.5</v>
      </c>
    </row>
    <row r="715" spans="1:9" x14ac:dyDescent="0.25">
      <c r="A715" s="113" t="s">
        <v>75</v>
      </c>
      <c r="B715" s="85" t="s">
        <v>264</v>
      </c>
      <c r="C715" s="82"/>
      <c r="D715" s="82"/>
      <c r="E715" s="82"/>
      <c r="F715" s="82"/>
      <c r="G715" s="82"/>
      <c r="H715" s="82"/>
      <c r="I715" s="82"/>
    </row>
    <row r="716" spans="1:9" x14ac:dyDescent="0.25">
      <c r="A716" s="114"/>
      <c r="B716" s="5" t="s">
        <v>75</v>
      </c>
      <c r="C716" s="3" t="s">
        <v>458</v>
      </c>
      <c r="D716" s="3" t="s">
        <v>546</v>
      </c>
      <c r="E716" s="36">
        <v>40</v>
      </c>
      <c r="F716" s="36" t="s">
        <v>307</v>
      </c>
      <c r="G716" s="29">
        <v>0</v>
      </c>
      <c r="H716" s="11">
        <v>41.5</v>
      </c>
      <c r="I716" s="11">
        <v>41.5</v>
      </c>
    </row>
    <row r="717" spans="1:9" x14ac:dyDescent="0.25">
      <c r="A717" s="113" t="s">
        <v>76</v>
      </c>
      <c r="B717" s="85" t="s">
        <v>265</v>
      </c>
      <c r="C717" s="82"/>
      <c r="D717" s="82"/>
      <c r="E717" s="82"/>
      <c r="F717" s="82"/>
      <c r="G717" s="82"/>
      <c r="H717" s="82"/>
      <c r="I717" s="82"/>
    </row>
    <row r="718" spans="1:9" x14ac:dyDescent="0.25">
      <c r="A718" s="114"/>
      <c r="B718" s="5" t="s">
        <v>76</v>
      </c>
      <c r="C718" s="3" t="s">
        <v>459</v>
      </c>
      <c r="D718" s="3" t="s">
        <v>546</v>
      </c>
      <c r="E718" s="36">
        <v>40</v>
      </c>
      <c r="F718" s="36" t="s">
        <v>307</v>
      </c>
      <c r="G718" s="29">
        <v>0</v>
      </c>
      <c r="H718" s="11">
        <v>44.6</v>
      </c>
      <c r="I718" s="11">
        <v>44.6</v>
      </c>
    </row>
    <row r="719" spans="1:9" x14ac:dyDescent="0.25">
      <c r="A719" s="113" t="s">
        <v>77</v>
      </c>
      <c r="B719" s="85" t="s">
        <v>266</v>
      </c>
      <c r="C719" s="82"/>
      <c r="D719" s="82"/>
      <c r="E719" s="82"/>
      <c r="F719" s="82"/>
      <c r="G719" s="82"/>
      <c r="H719" s="82"/>
      <c r="I719" s="82"/>
    </row>
    <row r="720" spans="1:9" x14ac:dyDescent="0.25">
      <c r="A720" s="114"/>
      <c r="B720" s="5" t="s">
        <v>77</v>
      </c>
      <c r="C720" s="3" t="s">
        <v>460</v>
      </c>
      <c r="D720" s="3" t="s">
        <v>546</v>
      </c>
      <c r="E720" s="36">
        <v>40</v>
      </c>
      <c r="F720" s="36" t="s">
        <v>307</v>
      </c>
      <c r="G720" s="29">
        <v>0</v>
      </c>
      <c r="H720" s="11">
        <v>44.6</v>
      </c>
      <c r="I720" s="11">
        <v>44.6</v>
      </c>
    </row>
    <row r="721" spans="1:9" x14ac:dyDescent="0.25">
      <c r="A721" s="113" t="s">
        <v>78</v>
      </c>
      <c r="B721" s="85" t="s">
        <v>267</v>
      </c>
      <c r="C721" s="82"/>
      <c r="D721" s="82"/>
      <c r="E721" s="82"/>
      <c r="F721" s="82"/>
      <c r="G721" s="82"/>
      <c r="H721" s="82"/>
      <c r="I721" s="82"/>
    </row>
    <row r="722" spans="1:9" x14ac:dyDescent="0.25">
      <c r="A722" s="114"/>
      <c r="B722" s="5" t="s">
        <v>78</v>
      </c>
      <c r="C722" s="3" t="s">
        <v>461</v>
      </c>
      <c r="D722" s="3" t="s">
        <v>546</v>
      </c>
      <c r="E722" s="36">
        <v>40</v>
      </c>
      <c r="F722" s="36" t="s">
        <v>307</v>
      </c>
      <c r="G722" s="29">
        <v>0</v>
      </c>
      <c r="H722" s="11">
        <v>45.7</v>
      </c>
      <c r="I722" s="11">
        <v>45.7</v>
      </c>
    </row>
    <row r="723" spans="1:9" x14ac:dyDescent="0.25">
      <c r="A723" s="113" t="s">
        <v>79</v>
      </c>
      <c r="B723" s="85" t="s">
        <v>268</v>
      </c>
      <c r="C723" s="82"/>
      <c r="D723" s="82"/>
      <c r="E723" s="82"/>
      <c r="F723" s="82"/>
      <c r="G723" s="82"/>
      <c r="H723" s="82"/>
      <c r="I723" s="82"/>
    </row>
    <row r="724" spans="1:9" x14ac:dyDescent="0.25">
      <c r="A724" s="114"/>
      <c r="B724" s="5" t="s">
        <v>79</v>
      </c>
      <c r="C724" s="3" t="s">
        <v>462</v>
      </c>
      <c r="D724" s="3" t="s">
        <v>546</v>
      </c>
      <c r="E724" s="36">
        <v>40</v>
      </c>
      <c r="F724" s="36" t="s">
        <v>307</v>
      </c>
      <c r="G724" s="29">
        <v>0</v>
      </c>
      <c r="H724" s="11">
        <v>45.7</v>
      </c>
      <c r="I724" s="11">
        <v>45.7</v>
      </c>
    </row>
    <row r="725" spans="1:9" x14ac:dyDescent="0.25">
      <c r="A725" s="113" t="s">
        <v>105</v>
      </c>
      <c r="B725" s="85" t="s">
        <v>269</v>
      </c>
      <c r="C725" s="82"/>
      <c r="D725" s="82"/>
      <c r="E725" s="82"/>
      <c r="F725" s="82"/>
      <c r="G725" s="82"/>
      <c r="H725" s="82"/>
      <c r="I725" s="82"/>
    </row>
    <row r="726" spans="1:9" x14ac:dyDescent="0.25">
      <c r="A726" s="114"/>
      <c r="B726" s="5" t="s">
        <v>105</v>
      </c>
      <c r="C726" s="3" t="s">
        <v>463</v>
      </c>
      <c r="D726" s="3" t="s">
        <v>546</v>
      </c>
      <c r="E726" s="36">
        <v>40</v>
      </c>
      <c r="F726" s="36" t="s">
        <v>307</v>
      </c>
      <c r="G726" s="29">
        <v>0</v>
      </c>
      <c r="H726" s="11">
        <v>37.299999999999997</v>
      </c>
      <c r="I726" s="11">
        <v>37.299999999999997</v>
      </c>
    </row>
    <row r="727" spans="1:9" x14ac:dyDescent="0.25">
      <c r="A727" s="113" t="s">
        <v>101</v>
      </c>
      <c r="B727" s="85" t="s">
        <v>270</v>
      </c>
      <c r="C727" s="82"/>
      <c r="D727" s="82"/>
      <c r="E727" s="82"/>
      <c r="F727" s="82"/>
      <c r="G727" s="82"/>
      <c r="H727" s="82"/>
      <c r="I727" s="82"/>
    </row>
    <row r="728" spans="1:9" x14ac:dyDescent="0.25">
      <c r="A728" s="114"/>
      <c r="B728" s="5" t="s">
        <v>101</v>
      </c>
      <c r="C728" s="3" t="s">
        <v>464</v>
      </c>
      <c r="D728" s="3" t="s">
        <v>546</v>
      </c>
      <c r="E728" s="36">
        <v>40</v>
      </c>
      <c r="F728" s="36" t="s">
        <v>307</v>
      </c>
      <c r="G728" s="29">
        <v>0</v>
      </c>
      <c r="H728" s="11">
        <v>39.4</v>
      </c>
      <c r="I728" s="11">
        <v>39.4</v>
      </c>
    </row>
    <row r="729" spans="1:9" x14ac:dyDescent="0.25">
      <c r="A729" s="113" t="s">
        <v>106</v>
      </c>
      <c r="B729" s="85" t="s">
        <v>271</v>
      </c>
      <c r="C729" s="82"/>
      <c r="D729" s="82"/>
      <c r="E729" s="82"/>
      <c r="F729" s="82"/>
      <c r="G729" s="82"/>
      <c r="H729" s="82"/>
      <c r="I729" s="82"/>
    </row>
    <row r="730" spans="1:9" x14ac:dyDescent="0.25">
      <c r="A730" s="114"/>
      <c r="B730" s="5" t="s">
        <v>106</v>
      </c>
      <c r="C730" s="3" t="s">
        <v>465</v>
      </c>
      <c r="D730" s="3" t="s">
        <v>546</v>
      </c>
      <c r="E730" s="36">
        <v>40</v>
      </c>
      <c r="F730" s="36" t="s">
        <v>307</v>
      </c>
      <c r="G730" s="29">
        <v>0</v>
      </c>
      <c r="H730" s="11">
        <v>40.5</v>
      </c>
      <c r="I730" s="11">
        <v>40.5</v>
      </c>
    </row>
    <row r="731" spans="1:9" x14ac:dyDescent="0.25">
      <c r="A731" s="113" t="s">
        <v>102</v>
      </c>
      <c r="B731" s="85" t="s">
        <v>272</v>
      </c>
      <c r="C731" s="82"/>
      <c r="D731" s="82"/>
      <c r="E731" s="82"/>
      <c r="F731" s="82"/>
      <c r="G731" s="82"/>
      <c r="H731" s="82"/>
      <c r="I731" s="82"/>
    </row>
    <row r="732" spans="1:9" x14ac:dyDescent="0.25">
      <c r="A732" s="114"/>
      <c r="B732" s="5" t="s">
        <v>102</v>
      </c>
      <c r="C732" s="3" t="s">
        <v>466</v>
      </c>
      <c r="D732" s="3" t="s">
        <v>546</v>
      </c>
      <c r="E732" s="36">
        <v>40</v>
      </c>
      <c r="F732" s="36" t="s">
        <v>307</v>
      </c>
      <c r="G732" s="29">
        <v>0</v>
      </c>
      <c r="H732" s="11">
        <v>41.5</v>
      </c>
      <c r="I732" s="11">
        <v>41.5</v>
      </c>
    </row>
    <row r="733" spans="1:9" x14ac:dyDescent="0.25">
      <c r="A733" s="113" t="s">
        <v>107</v>
      </c>
      <c r="B733" s="85" t="s">
        <v>273</v>
      </c>
      <c r="C733" s="82"/>
      <c r="D733" s="82"/>
      <c r="E733" s="82"/>
      <c r="F733" s="82"/>
      <c r="G733" s="82"/>
      <c r="H733" s="82"/>
      <c r="I733" s="82"/>
    </row>
    <row r="734" spans="1:9" x14ac:dyDescent="0.25">
      <c r="A734" s="114"/>
      <c r="B734" s="5" t="s">
        <v>107</v>
      </c>
      <c r="C734" s="3" t="s">
        <v>467</v>
      </c>
      <c r="D734" s="3" t="s">
        <v>546</v>
      </c>
      <c r="E734" s="36">
        <v>40</v>
      </c>
      <c r="F734" s="36" t="s">
        <v>307</v>
      </c>
      <c r="G734" s="29">
        <v>0</v>
      </c>
      <c r="H734" s="11">
        <v>37.4</v>
      </c>
      <c r="I734" s="11">
        <v>37.4</v>
      </c>
    </row>
    <row r="735" spans="1:9" x14ac:dyDescent="0.25">
      <c r="A735" s="113" t="s">
        <v>103</v>
      </c>
      <c r="B735" s="85" t="s">
        <v>274</v>
      </c>
      <c r="C735" s="82"/>
      <c r="D735" s="82"/>
      <c r="E735" s="82"/>
      <c r="F735" s="82"/>
      <c r="G735" s="82"/>
      <c r="H735" s="82"/>
      <c r="I735" s="82"/>
    </row>
    <row r="736" spans="1:9" x14ac:dyDescent="0.25">
      <c r="A736" s="114"/>
      <c r="B736" s="5" t="s">
        <v>103</v>
      </c>
      <c r="C736" s="3" t="s">
        <v>468</v>
      </c>
      <c r="D736" s="3" t="s">
        <v>546</v>
      </c>
      <c r="E736" s="36">
        <v>40</v>
      </c>
      <c r="F736" s="36" t="s">
        <v>307</v>
      </c>
      <c r="G736" s="29">
        <v>0</v>
      </c>
      <c r="H736" s="11">
        <v>39.4</v>
      </c>
      <c r="I736" s="11">
        <v>39.4</v>
      </c>
    </row>
    <row r="737" spans="1:9" x14ac:dyDescent="0.25">
      <c r="A737" s="113" t="s">
        <v>108</v>
      </c>
      <c r="B737" s="85" t="s">
        <v>275</v>
      </c>
      <c r="C737" s="82"/>
      <c r="D737" s="82"/>
      <c r="E737" s="82"/>
      <c r="F737" s="82"/>
      <c r="G737" s="82"/>
      <c r="H737" s="82"/>
      <c r="I737" s="82"/>
    </row>
    <row r="738" spans="1:9" x14ac:dyDescent="0.25">
      <c r="A738" s="114"/>
      <c r="B738" s="5" t="s">
        <v>108</v>
      </c>
      <c r="C738" s="3" t="s">
        <v>469</v>
      </c>
      <c r="D738" s="3" t="s">
        <v>546</v>
      </c>
      <c r="E738" s="36">
        <v>40</v>
      </c>
      <c r="F738" s="36" t="s">
        <v>307</v>
      </c>
      <c r="G738" s="29">
        <v>0</v>
      </c>
      <c r="H738" s="11">
        <v>40.5</v>
      </c>
      <c r="I738" s="11">
        <v>40.5</v>
      </c>
    </row>
    <row r="739" spans="1:9" x14ac:dyDescent="0.25">
      <c r="A739" s="113" t="s">
        <v>104</v>
      </c>
      <c r="B739" s="85" t="s">
        <v>276</v>
      </c>
      <c r="C739" s="82"/>
      <c r="D739" s="82"/>
      <c r="E739" s="82"/>
      <c r="F739" s="82"/>
      <c r="G739" s="82"/>
      <c r="H739" s="82"/>
      <c r="I739" s="82"/>
    </row>
    <row r="740" spans="1:9" x14ac:dyDescent="0.25">
      <c r="A740" s="114"/>
      <c r="B740" s="5" t="s">
        <v>104</v>
      </c>
      <c r="C740" s="3" t="s">
        <v>470</v>
      </c>
      <c r="D740" s="3" t="s">
        <v>546</v>
      </c>
      <c r="E740" s="36">
        <v>40</v>
      </c>
      <c r="F740" s="36" t="s">
        <v>307</v>
      </c>
      <c r="G740" s="29">
        <v>0</v>
      </c>
      <c r="H740" s="11">
        <v>41.5</v>
      </c>
      <c r="I740" s="11">
        <v>41.5</v>
      </c>
    </row>
    <row r="741" spans="1:9" x14ac:dyDescent="0.25">
      <c r="A741" s="113" t="s">
        <v>109</v>
      </c>
      <c r="B741" s="85" t="s">
        <v>277</v>
      </c>
      <c r="C741" s="82"/>
      <c r="D741" s="82"/>
      <c r="E741" s="82"/>
      <c r="F741" s="82"/>
      <c r="G741" s="82"/>
      <c r="H741" s="82"/>
      <c r="I741" s="82"/>
    </row>
    <row r="742" spans="1:9" x14ac:dyDescent="0.25">
      <c r="A742" s="114"/>
      <c r="B742" s="5" t="s">
        <v>109</v>
      </c>
      <c r="C742" s="3" t="s">
        <v>471</v>
      </c>
      <c r="D742" s="3" t="s">
        <v>546</v>
      </c>
      <c r="E742" s="36" t="s">
        <v>546</v>
      </c>
      <c r="F742" s="36" t="s">
        <v>307</v>
      </c>
      <c r="G742" s="29">
        <v>0</v>
      </c>
      <c r="H742" s="11">
        <v>144.5</v>
      </c>
      <c r="I742" s="11">
        <v>144.5</v>
      </c>
    </row>
    <row r="743" spans="1:9" x14ac:dyDescent="0.25">
      <c r="A743" s="113" t="s">
        <v>110</v>
      </c>
      <c r="B743" s="85" t="s">
        <v>277</v>
      </c>
      <c r="C743" s="82"/>
      <c r="D743" s="82"/>
      <c r="E743" s="82"/>
      <c r="F743" s="82"/>
      <c r="G743" s="82"/>
      <c r="H743" s="82"/>
      <c r="I743" s="82"/>
    </row>
    <row r="744" spans="1:9" x14ac:dyDescent="0.25">
      <c r="A744" s="114"/>
      <c r="B744" s="5" t="s">
        <v>110</v>
      </c>
      <c r="C744" s="3" t="s">
        <v>472</v>
      </c>
      <c r="D744" s="3" t="s">
        <v>546</v>
      </c>
      <c r="E744" s="36" t="s">
        <v>546</v>
      </c>
      <c r="F744" s="36" t="s">
        <v>307</v>
      </c>
      <c r="G744" s="29">
        <v>0</v>
      </c>
      <c r="H744" s="11">
        <v>147.6</v>
      </c>
      <c r="I744" s="11">
        <v>147.6</v>
      </c>
    </row>
    <row r="745" spans="1:9" x14ac:dyDescent="0.25">
      <c r="A745" s="113" t="s">
        <v>111</v>
      </c>
      <c r="B745" s="85" t="s">
        <v>277</v>
      </c>
      <c r="C745" s="82"/>
      <c r="D745" s="82"/>
      <c r="E745" s="82"/>
      <c r="F745" s="82"/>
      <c r="G745" s="82"/>
      <c r="H745" s="82"/>
      <c r="I745" s="82"/>
    </row>
    <row r="746" spans="1:9" x14ac:dyDescent="0.25">
      <c r="A746" s="114"/>
      <c r="B746" s="5" t="s">
        <v>111</v>
      </c>
      <c r="C746" s="3" t="s">
        <v>473</v>
      </c>
      <c r="D746" s="3" t="s">
        <v>546</v>
      </c>
      <c r="E746" s="36" t="s">
        <v>546</v>
      </c>
      <c r="F746" s="36" t="s">
        <v>307</v>
      </c>
      <c r="G746" s="29">
        <v>0</v>
      </c>
      <c r="H746" s="11">
        <v>147.6</v>
      </c>
      <c r="I746" s="11">
        <v>147.6</v>
      </c>
    </row>
    <row r="747" spans="1:9" x14ac:dyDescent="0.25">
      <c r="A747" s="113" t="s">
        <v>112</v>
      </c>
      <c r="B747" s="85" t="s">
        <v>277</v>
      </c>
      <c r="C747" s="82"/>
      <c r="D747" s="82"/>
      <c r="E747" s="82"/>
      <c r="F747" s="82"/>
      <c r="G747" s="82"/>
      <c r="H747" s="82"/>
      <c r="I747" s="82"/>
    </row>
    <row r="748" spans="1:9" x14ac:dyDescent="0.25">
      <c r="A748" s="114"/>
      <c r="B748" s="5" t="s">
        <v>112</v>
      </c>
      <c r="C748" s="3" t="s">
        <v>474</v>
      </c>
      <c r="D748" s="3" t="s">
        <v>546</v>
      </c>
      <c r="E748" s="36" t="s">
        <v>546</v>
      </c>
      <c r="F748" s="36" t="s">
        <v>307</v>
      </c>
      <c r="G748" s="29">
        <v>0</v>
      </c>
      <c r="H748" s="11">
        <v>149.69999999999999</v>
      </c>
      <c r="I748" s="11">
        <v>149.69999999999999</v>
      </c>
    </row>
    <row r="749" spans="1:9" x14ac:dyDescent="0.25">
      <c r="A749" s="113" t="s">
        <v>113</v>
      </c>
      <c r="B749" s="85" t="s">
        <v>277</v>
      </c>
      <c r="C749" s="82"/>
      <c r="D749" s="82"/>
      <c r="E749" s="82"/>
      <c r="F749" s="82"/>
      <c r="G749" s="82"/>
      <c r="H749" s="82"/>
      <c r="I749" s="82"/>
    </row>
    <row r="750" spans="1:9" x14ac:dyDescent="0.25">
      <c r="A750" s="114"/>
      <c r="B750" s="5" t="s">
        <v>113</v>
      </c>
      <c r="C750" s="3" t="s">
        <v>475</v>
      </c>
      <c r="D750" s="3" t="s">
        <v>546</v>
      </c>
      <c r="E750" s="36" t="s">
        <v>546</v>
      </c>
      <c r="F750" s="36" t="s">
        <v>307</v>
      </c>
      <c r="G750" s="29">
        <v>0</v>
      </c>
      <c r="H750" s="11">
        <v>152.80000000000001</v>
      </c>
      <c r="I750" s="11">
        <v>152.80000000000001</v>
      </c>
    </row>
    <row r="751" spans="1:9" x14ac:dyDescent="0.25">
      <c r="A751" s="113" t="s">
        <v>114</v>
      </c>
      <c r="B751" s="85" t="s">
        <v>277</v>
      </c>
      <c r="C751" s="82"/>
      <c r="D751" s="82"/>
      <c r="E751" s="82"/>
      <c r="F751" s="82"/>
      <c r="G751" s="82"/>
      <c r="H751" s="82"/>
      <c r="I751" s="82"/>
    </row>
    <row r="752" spans="1:9" x14ac:dyDescent="0.25">
      <c r="A752" s="114"/>
      <c r="B752" s="5" t="s">
        <v>114</v>
      </c>
      <c r="C752" s="3" t="s">
        <v>476</v>
      </c>
      <c r="D752" s="3" t="s">
        <v>546</v>
      </c>
      <c r="E752" s="36" t="s">
        <v>546</v>
      </c>
      <c r="F752" s="36" t="s">
        <v>307</v>
      </c>
      <c r="G752" s="29">
        <v>0</v>
      </c>
      <c r="H752" s="11">
        <v>144.5</v>
      </c>
      <c r="I752" s="11">
        <v>144.5</v>
      </c>
    </row>
    <row r="753" spans="1:9" x14ac:dyDescent="0.25">
      <c r="A753" s="113" t="s">
        <v>80</v>
      </c>
      <c r="B753" s="85" t="s">
        <v>277</v>
      </c>
      <c r="C753" s="82"/>
      <c r="D753" s="82"/>
      <c r="E753" s="82"/>
      <c r="F753" s="82"/>
      <c r="G753" s="82"/>
      <c r="H753" s="82"/>
      <c r="I753" s="82"/>
    </row>
    <row r="754" spans="1:9" x14ac:dyDescent="0.25">
      <c r="A754" s="114"/>
      <c r="B754" s="5" t="s">
        <v>80</v>
      </c>
      <c r="C754" s="3" t="s">
        <v>477</v>
      </c>
      <c r="D754" s="3" t="s">
        <v>546</v>
      </c>
      <c r="E754" s="36" t="s">
        <v>546</v>
      </c>
      <c r="F754" s="36" t="s">
        <v>307</v>
      </c>
      <c r="G754" s="29">
        <v>0</v>
      </c>
      <c r="H754" s="11">
        <v>147.6</v>
      </c>
      <c r="I754" s="11">
        <v>147.6</v>
      </c>
    </row>
    <row r="755" spans="1:9" x14ac:dyDescent="0.25">
      <c r="A755" s="113" t="s">
        <v>115</v>
      </c>
      <c r="B755" s="85" t="s">
        <v>277</v>
      </c>
      <c r="C755" s="82"/>
      <c r="D755" s="82"/>
      <c r="E755" s="82"/>
      <c r="F755" s="82"/>
      <c r="G755" s="82"/>
      <c r="H755" s="82"/>
      <c r="I755" s="82"/>
    </row>
    <row r="756" spans="1:9" x14ac:dyDescent="0.25">
      <c r="A756" s="114"/>
      <c r="B756" s="5" t="s">
        <v>115</v>
      </c>
      <c r="C756" s="3" t="s">
        <v>478</v>
      </c>
      <c r="D756" s="3" t="s">
        <v>546</v>
      </c>
      <c r="E756" s="36" t="s">
        <v>546</v>
      </c>
      <c r="F756" s="36" t="s">
        <v>307</v>
      </c>
      <c r="G756" s="29">
        <v>0</v>
      </c>
      <c r="H756" s="11">
        <v>149.69999999999999</v>
      </c>
      <c r="I756" s="11">
        <v>149.69999999999999</v>
      </c>
    </row>
    <row r="757" spans="1:9" x14ac:dyDescent="0.25">
      <c r="A757" s="113" t="s">
        <v>81</v>
      </c>
      <c r="B757" s="85" t="s">
        <v>277</v>
      </c>
      <c r="C757" s="82"/>
      <c r="D757" s="82"/>
      <c r="E757" s="82"/>
      <c r="F757" s="82"/>
      <c r="G757" s="82"/>
      <c r="H757" s="82"/>
      <c r="I757" s="82"/>
    </row>
    <row r="758" spans="1:9" x14ac:dyDescent="0.25">
      <c r="A758" s="114"/>
      <c r="B758" s="5" t="s">
        <v>81</v>
      </c>
      <c r="C758" s="3" t="s">
        <v>479</v>
      </c>
      <c r="D758" s="3" t="s">
        <v>546</v>
      </c>
      <c r="E758" s="36" t="s">
        <v>546</v>
      </c>
      <c r="F758" s="36" t="s">
        <v>307</v>
      </c>
      <c r="G758" s="29">
        <v>0</v>
      </c>
      <c r="H758" s="11">
        <v>149.69999999999999</v>
      </c>
      <c r="I758" s="11">
        <v>149.69999999999999</v>
      </c>
    </row>
    <row r="759" spans="1:9" x14ac:dyDescent="0.25">
      <c r="A759" s="113" t="s">
        <v>499</v>
      </c>
      <c r="B759" s="85" t="s">
        <v>807</v>
      </c>
      <c r="C759" s="82"/>
      <c r="D759" s="82"/>
      <c r="E759" s="82"/>
      <c r="F759" s="82"/>
      <c r="G759" s="82"/>
      <c r="H759" s="82"/>
      <c r="I759" s="82"/>
    </row>
    <row r="760" spans="1:9" x14ac:dyDescent="0.25">
      <c r="A760" s="114"/>
      <c r="B760" s="5" t="s">
        <v>499</v>
      </c>
      <c r="C760" s="3" t="s">
        <v>500</v>
      </c>
      <c r="D760" s="3" t="s">
        <v>546</v>
      </c>
      <c r="E760" s="36" t="s">
        <v>546</v>
      </c>
      <c r="F760" s="36" t="s">
        <v>307</v>
      </c>
      <c r="G760" s="29">
        <v>0</v>
      </c>
      <c r="H760" s="11">
        <v>148.6</v>
      </c>
      <c r="I760" s="11">
        <v>148.6</v>
      </c>
    </row>
    <row r="761" spans="1:9" x14ac:dyDescent="0.25">
      <c r="A761" s="113" t="s">
        <v>939</v>
      </c>
      <c r="B761" s="85" t="s">
        <v>277</v>
      </c>
      <c r="C761" s="82"/>
      <c r="D761" s="82"/>
      <c r="E761" s="82"/>
      <c r="F761" s="82"/>
      <c r="G761" s="82"/>
      <c r="H761" s="82"/>
      <c r="I761" s="82"/>
    </row>
    <row r="762" spans="1:9" x14ac:dyDescent="0.25">
      <c r="A762" s="114"/>
      <c r="B762" s="5" t="s">
        <v>939</v>
      </c>
      <c r="C762" s="3" t="s">
        <v>940</v>
      </c>
      <c r="D762" s="3" t="s">
        <v>546</v>
      </c>
      <c r="E762" s="36" t="s">
        <v>546</v>
      </c>
      <c r="F762" s="36" t="s">
        <v>307</v>
      </c>
      <c r="G762" s="29">
        <v>0</v>
      </c>
      <c r="H762" s="11">
        <v>151.69999999999999</v>
      </c>
      <c r="I762" s="11">
        <v>151.69999999999999</v>
      </c>
    </row>
    <row r="763" spans="1:9" x14ac:dyDescent="0.25">
      <c r="A763" s="113" t="s">
        <v>937</v>
      </c>
      <c r="B763" s="85" t="s">
        <v>277</v>
      </c>
      <c r="C763" s="82"/>
      <c r="D763" s="82"/>
      <c r="E763" s="82"/>
      <c r="F763" s="82"/>
      <c r="G763" s="82"/>
      <c r="H763" s="82"/>
      <c r="I763" s="82"/>
    </row>
    <row r="764" spans="1:9" x14ac:dyDescent="0.25">
      <c r="A764" s="114"/>
      <c r="B764" s="5" t="s">
        <v>937</v>
      </c>
      <c r="C764" s="3" t="s">
        <v>938</v>
      </c>
      <c r="D764" s="3" t="s">
        <v>546</v>
      </c>
      <c r="E764" s="36" t="s">
        <v>546</v>
      </c>
      <c r="F764" s="36" t="s">
        <v>307</v>
      </c>
      <c r="G764" s="29">
        <v>0</v>
      </c>
      <c r="H764" s="11">
        <v>147.6</v>
      </c>
      <c r="I764" s="11">
        <v>147.6</v>
      </c>
    </row>
    <row r="765" spans="1:9" x14ac:dyDescent="0.25">
      <c r="A765" s="118" t="s">
        <v>308</v>
      </c>
      <c r="B765" s="119"/>
      <c r="C765" s="119"/>
      <c r="D765" s="119"/>
      <c r="E765" s="119"/>
      <c r="F765" s="119"/>
      <c r="G765" s="119"/>
      <c r="H765" s="119"/>
      <c r="I765" s="119"/>
    </row>
    <row r="766" spans="1:9" x14ac:dyDescent="0.25">
      <c r="A766" s="84" t="s">
        <v>546</v>
      </c>
      <c r="B766" s="83"/>
      <c r="C766" s="83"/>
      <c r="D766" s="83"/>
      <c r="E766" s="83"/>
      <c r="F766" s="83"/>
      <c r="G766" s="83"/>
      <c r="H766" s="83"/>
      <c r="I766" s="83"/>
    </row>
    <row r="767" spans="1:9" x14ac:dyDescent="0.25">
      <c r="A767" s="113" t="s">
        <v>95</v>
      </c>
      <c r="B767" s="85" t="s">
        <v>240</v>
      </c>
      <c r="C767" s="82"/>
      <c r="D767" s="82"/>
      <c r="E767" s="82"/>
      <c r="F767" s="82"/>
      <c r="G767" s="82"/>
      <c r="H767" s="82"/>
      <c r="I767" s="82"/>
    </row>
    <row r="768" spans="1:9" x14ac:dyDescent="0.25">
      <c r="A768" s="114"/>
      <c r="B768" s="5" t="s">
        <v>95</v>
      </c>
      <c r="C768" s="3" t="s">
        <v>421</v>
      </c>
      <c r="D768" s="3" t="s">
        <v>546</v>
      </c>
      <c r="E768" s="36">
        <v>1</v>
      </c>
      <c r="F768" s="36" t="s">
        <v>308</v>
      </c>
      <c r="G768" s="29">
        <v>0</v>
      </c>
      <c r="H768" s="11">
        <v>450.9</v>
      </c>
      <c r="I768" s="11">
        <v>450.9</v>
      </c>
    </row>
    <row r="769" spans="1:9" x14ac:dyDescent="0.25">
      <c r="A769" s="113" t="s">
        <v>45</v>
      </c>
      <c r="B769" s="85" t="s">
        <v>238</v>
      </c>
      <c r="C769" s="82"/>
      <c r="D769" s="82"/>
      <c r="E769" s="82"/>
      <c r="F769" s="82"/>
      <c r="G769" s="82"/>
      <c r="H769" s="82"/>
      <c r="I769" s="82"/>
    </row>
    <row r="770" spans="1:9" x14ac:dyDescent="0.25">
      <c r="A770" s="114"/>
      <c r="B770" s="5" t="s">
        <v>45</v>
      </c>
      <c r="C770" s="3" t="s">
        <v>419</v>
      </c>
      <c r="D770" s="3" t="s">
        <v>546</v>
      </c>
      <c r="E770" s="36" t="s">
        <v>546</v>
      </c>
      <c r="F770" s="36" t="s">
        <v>308</v>
      </c>
      <c r="G770" s="29">
        <v>0</v>
      </c>
      <c r="H770" s="11">
        <v>692.9</v>
      </c>
      <c r="I770" s="11">
        <v>692.9</v>
      </c>
    </row>
    <row r="771" spans="1:9" x14ac:dyDescent="0.25">
      <c r="A771" s="113" t="s">
        <v>158</v>
      </c>
      <c r="B771" s="85" t="s">
        <v>239</v>
      </c>
      <c r="C771" s="82"/>
      <c r="D771" s="82"/>
      <c r="E771" s="82"/>
      <c r="F771" s="82"/>
      <c r="G771" s="82"/>
      <c r="H771" s="82"/>
      <c r="I771" s="82"/>
    </row>
    <row r="772" spans="1:9" x14ac:dyDescent="0.25">
      <c r="A772" s="114"/>
      <c r="B772" s="5" t="s">
        <v>158</v>
      </c>
      <c r="C772" s="3" t="s">
        <v>811</v>
      </c>
      <c r="D772" s="3" t="s">
        <v>546</v>
      </c>
      <c r="E772" s="36" t="s">
        <v>546</v>
      </c>
      <c r="F772" s="36" t="s">
        <v>308</v>
      </c>
      <c r="G772" s="29">
        <v>0</v>
      </c>
      <c r="H772" s="11">
        <v>769.9</v>
      </c>
      <c r="I772" s="11">
        <v>769.9</v>
      </c>
    </row>
    <row r="773" spans="1:9" x14ac:dyDescent="0.25">
      <c r="A773" s="113" t="s">
        <v>100</v>
      </c>
      <c r="B773" s="85" t="s">
        <v>808</v>
      </c>
      <c r="C773" s="82"/>
      <c r="D773" s="82"/>
      <c r="E773" s="82"/>
      <c r="F773" s="82"/>
      <c r="G773" s="82"/>
      <c r="H773" s="82"/>
      <c r="I773" s="82"/>
    </row>
    <row r="774" spans="1:9" x14ac:dyDescent="0.25">
      <c r="A774" s="114"/>
      <c r="B774" s="5" t="s">
        <v>100</v>
      </c>
      <c r="C774" s="3" t="s">
        <v>417</v>
      </c>
      <c r="D774" s="3" t="s">
        <v>546</v>
      </c>
      <c r="E774" s="36" t="s">
        <v>546</v>
      </c>
      <c r="F774" s="36" t="s">
        <v>308</v>
      </c>
      <c r="G774" s="29">
        <v>0</v>
      </c>
      <c r="H774" s="11">
        <v>119.9</v>
      </c>
      <c r="I774" s="11">
        <v>119.9</v>
      </c>
    </row>
    <row r="775" spans="1:9" x14ac:dyDescent="0.25">
      <c r="A775" s="113" t="s">
        <v>1</v>
      </c>
      <c r="B775" s="85" t="s">
        <v>278</v>
      </c>
      <c r="C775" s="82"/>
      <c r="D775" s="82"/>
      <c r="E775" s="82"/>
      <c r="F775" s="82"/>
      <c r="G775" s="82"/>
      <c r="H775" s="82"/>
      <c r="I775" s="82"/>
    </row>
    <row r="776" spans="1:9" x14ac:dyDescent="0.25">
      <c r="A776" s="114"/>
      <c r="B776" s="5" t="s">
        <v>1</v>
      </c>
      <c r="C776" s="3" t="s">
        <v>418</v>
      </c>
      <c r="D776" s="3" t="s">
        <v>546</v>
      </c>
      <c r="E776" s="36" t="s">
        <v>546</v>
      </c>
      <c r="F776" s="36" t="s">
        <v>308</v>
      </c>
      <c r="G776" s="29">
        <v>0</v>
      </c>
      <c r="H776" s="11">
        <v>139.9</v>
      </c>
      <c r="I776" s="11">
        <v>139.9</v>
      </c>
    </row>
    <row r="777" spans="1:9" x14ac:dyDescent="0.25">
      <c r="A777" s="113" t="s">
        <v>96</v>
      </c>
      <c r="B777" s="85" t="s">
        <v>279</v>
      </c>
      <c r="C777" s="82"/>
      <c r="D777" s="82"/>
      <c r="E777" s="82"/>
      <c r="F777" s="82"/>
      <c r="G777" s="82"/>
      <c r="H777" s="82"/>
      <c r="I777" s="82"/>
    </row>
    <row r="778" spans="1:9" x14ac:dyDescent="0.25">
      <c r="A778" s="114"/>
      <c r="B778" s="5" t="s">
        <v>96</v>
      </c>
      <c r="C778" s="3" t="s">
        <v>420</v>
      </c>
      <c r="D778" s="3" t="s">
        <v>546</v>
      </c>
      <c r="E778" s="36" t="s">
        <v>546</v>
      </c>
      <c r="F778" s="36" t="s">
        <v>308</v>
      </c>
      <c r="G778" s="29">
        <v>0</v>
      </c>
      <c r="H778" s="11">
        <v>14.9</v>
      </c>
      <c r="I778" s="11">
        <v>14.9</v>
      </c>
    </row>
    <row r="779" spans="1:9" x14ac:dyDescent="0.25">
      <c r="A779" s="113" t="s">
        <v>84</v>
      </c>
      <c r="B779" s="85" t="s">
        <v>280</v>
      </c>
      <c r="C779" s="82"/>
      <c r="D779" s="82"/>
      <c r="E779" s="82"/>
      <c r="F779" s="82"/>
      <c r="G779" s="82"/>
      <c r="H779" s="82"/>
      <c r="I779" s="82"/>
    </row>
    <row r="780" spans="1:9" x14ac:dyDescent="0.25">
      <c r="A780" s="114"/>
      <c r="B780" s="5" t="s">
        <v>84</v>
      </c>
      <c r="C780" s="3" t="s">
        <v>422</v>
      </c>
      <c r="D780" s="3" t="s">
        <v>546</v>
      </c>
      <c r="E780" s="36" t="s">
        <v>546</v>
      </c>
      <c r="F780" s="36" t="s">
        <v>308</v>
      </c>
      <c r="G780" s="29">
        <v>0</v>
      </c>
      <c r="H780" s="11">
        <v>103.9</v>
      </c>
      <c r="I780" s="11">
        <v>103.9</v>
      </c>
    </row>
    <row r="781" spans="1:9" x14ac:dyDescent="0.25">
      <c r="A781" s="113" t="s">
        <v>85</v>
      </c>
      <c r="B781" s="85" t="s">
        <v>280</v>
      </c>
      <c r="C781" s="82"/>
      <c r="D781" s="82"/>
      <c r="E781" s="82"/>
      <c r="F781" s="82"/>
      <c r="G781" s="82"/>
      <c r="H781" s="82"/>
      <c r="I781" s="82"/>
    </row>
    <row r="782" spans="1:9" x14ac:dyDescent="0.25">
      <c r="A782" s="114"/>
      <c r="B782" s="5" t="s">
        <v>85</v>
      </c>
      <c r="C782" s="3" t="s">
        <v>423</v>
      </c>
      <c r="D782" s="3" t="s">
        <v>546</v>
      </c>
      <c r="E782" s="36" t="s">
        <v>546</v>
      </c>
      <c r="F782" s="36" t="s">
        <v>308</v>
      </c>
      <c r="G782" s="29">
        <v>0</v>
      </c>
      <c r="H782" s="11">
        <v>121.9</v>
      </c>
      <c r="I782" s="11">
        <v>121.9</v>
      </c>
    </row>
    <row r="783" spans="1:9" x14ac:dyDescent="0.25">
      <c r="A783" s="113" t="s">
        <v>86</v>
      </c>
      <c r="B783" s="85" t="s">
        <v>281</v>
      </c>
      <c r="C783" s="82"/>
      <c r="D783" s="82"/>
      <c r="E783" s="82"/>
      <c r="F783" s="82"/>
      <c r="G783" s="82"/>
      <c r="H783" s="82"/>
      <c r="I783" s="82"/>
    </row>
    <row r="784" spans="1:9" x14ac:dyDescent="0.25">
      <c r="A784" s="114"/>
      <c r="B784" s="5" t="s">
        <v>86</v>
      </c>
      <c r="C784" s="3" t="s">
        <v>424</v>
      </c>
      <c r="D784" s="3" t="s">
        <v>546</v>
      </c>
      <c r="E784" s="36" t="s">
        <v>546</v>
      </c>
      <c r="F784" s="36" t="s">
        <v>308</v>
      </c>
      <c r="G784" s="29">
        <v>0</v>
      </c>
      <c r="H784" s="11">
        <v>84.9</v>
      </c>
      <c r="I784" s="11">
        <v>84.9</v>
      </c>
    </row>
    <row r="785" spans="1:9" x14ac:dyDescent="0.25">
      <c r="A785" s="113" t="s">
        <v>97</v>
      </c>
      <c r="B785" s="85" t="s">
        <v>282</v>
      </c>
      <c r="C785" s="82"/>
      <c r="D785" s="82"/>
      <c r="E785" s="82"/>
      <c r="F785" s="82"/>
      <c r="G785" s="82"/>
      <c r="H785" s="82"/>
      <c r="I785" s="82"/>
    </row>
    <row r="786" spans="1:9" x14ac:dyDescent="0.25">
      <c r="A786" s="114"/>
      <c r="B786" s="5" t="s">
        <v>97</v>
      </c>
      <c r="C786" s="3" t="s">
        <v>425</v>
      </c>
      <c r="D786" s="3" t="s">
        <v>546</v>
      </c>
      <c r="E786" s="36" t="s">
        <v>546</v>
      </c>
      <c r="F786" s="36" t="s">
        <v>308</v>
      </c>
      <c r="G786" s="29">
        <v>0</v>
      </c>
      <c r="H786" s="11">
        <v>96.9</v>
      </c>
      <c r="I786" s="11">
        <v>96.9</v>
      </c>
    </row>
    <row r="787" spans="1:9" x14ac:dyDescent="0.25">
      <c r="A787" s="113" t="s">
        <v>87</v>
      </c>
      <c r="B787" s="85" t="s">
        <v>283</v>
      </c>
      <c r="C787" s="82"/>
      <c r="D787" s="82"/>
      <c r="E787" s="82"/>
      <c r="F787" s="82"/>
      <c r="G787" s="82"/>
      <c r="H787" s="82"/>
      <c r="I787" s="82"/>
    </row>
    <row r="788" spans="1:9" x14ac:dyDescent="0.25">
      <c r="A788" s="114"/>
      <c r="B788" s="5" t="s">
        <v>87</v>
      </c>
      <c r="C788" s="3" t="s">
        <v>426</v>
      </c>
      <c r="D788" s="3" t="s">
        <v>546</v>
      </c>
      <c r="E788" s="36" t="s">
        <v>546</v>
      </c>
      <c r="F788" s="36" t="s">
        <v>308</v>
      </c>
      <c r="G788" s="29">
        <v>0</v>
      </c>
      <c r="H788" s="11">
        <v>96.9</v>
      </c>
      <c r="I788" s="11">
        <v>96.9</v>
      </c>
    </row>
    <row r="789" spans="1:9" x14ac:dyDescent="0.25">
      <c r="A789" s="113" t="s">
        <v>98</v>
      </c>
      <c r="B789" s="85" t="s">
        <v>284</v>
      </c>
      <c r="C789" s="82"/>
      <c r="D789" s="82"/>
      <c r="E789" s="82"/>
      <c r="F789" s="82"/>
      <c r="G789" s="82"/>
      <c r="H789" s="82"/>
      <c r="I789" s="82"/>
    </row>
    <row r="790" spans="1:9" x14ac:dyDescent="0.25">
      <c r="A790" s="114"/>
      <c r="B790" s="5" t="s">
        <v>98</v>
      </c>
      <c r="C790" s="3" t="s">
        <v>427</v>
      </c>
      <c r="D790" s="3" t="s">
        <v>546</v>
      </c>
      <c r="E790" s="36" t="s">
        <v>546</v>
      </c>
      <c r="F790" s="36" t="s">
        <v>308</v>
      </c>
      <c r="G790" s="29">
        <v>0</v>
      </c>
      <c r="H790" s="11">
        <v>139.9</v>
      </c>
      <c r="I790" s="11">
        <v>139.9</v>
      </c>
    </row>
    <row r="791" spans="1:9" x14ac:dyDescent="0.25">
      <c r="A791" s="113" t="s">
        <v>88</v>
      </c>
      <c r="B791" s="85" t="s">
        <v>285</v>
      </c>
      <c r="C791" s="82"/>
      <c r="D791" s="82"/>
      <c r="E791" s="82"/>
      <c r="F791" s="82"/>
      <c r="G791" s="82"/>
      <c r="H791" s="82"/>
      <c r="I791" s="82"/>
    </row>
    <row r="792" spans="1:9" x14ac:dyDescent="0.25">
      <c r="A792" s="114"/>
      <c r="B792" s="5" t="s">
        <v>88</v>
      </c>
      <c r="C792" s="3" t="s">
        <v>428</v>
      </c>
      <c r="D792" s="3" t="s">
        <v>546</v>
      </c>
      <c r="E792" s="36" t="s">
        <v>546</v>
      </c>
      <c r="F792" s="36" t="s">
        <v>308</v>
      </c>
      <c r="G792" s="29">
        <v>0</v>
      </c>
      <c r="H792" s="11">
        <v>92.9</v>
      </c>
      <c r="I792" s="11">
        <v>92.9</v>
      </c>
    </row>
    <row r="793" spans="1:9" x14ac:dyDescent="0.25">
      <c r="A793" s="113" t="s">
        <v>89</v>
      </c>
      <c r="B793" s="85" t="s">
        <v>286</v>
      </c>
      <c r="C793" s="82"/>
      <c r="D793" s="82"/>
      <c r="E793" s="82"/>
      <c r="F793" s="82"/>
      <c r="G793" s="82"/>
      <c r="H793" s="82"/>
      <c r="I793" s="82"/>
    </row>
    <row r="794" spans="1:9" x14ac:dyDescent="0.25">
      <c r="A794" s="114"/>
      <c r="B794" s="5" t="s">
        <v>89</v>
      </c>
      <c r="C794" s="3" t="s">
        <v>429</v>
      </c>
      <c r="D794" s="3" t="s">
        <v>546</v>
      </c>
      <c r="E794" s="36" t="s">
        <v>546</v>
      </c>
      <c r="F794" s="36" t="s">
        <v>308</v>
      </c>
      <c r="G794" s="29">
        <v>0</v>
      </c>
      <c r="H794" s="11">
        <v>115.9</v>
      </c>
      <c r="I794" s="11">
        <v>115.9</v>
      </c>
    </row>
    <row r="795" spans="1:9" x14ac:dyDescent="0.25">
      <c r="A795" s="113" t="s">
        <v>90</v>
      </c>
      <c r="B795" s="85" t="s">
        <v>287</v>
      </c>
      <c r="C795" s="82"/>
      <c r="D795" s="82"/>
      <c r="E795" s="82"/>
      <c r="F795" s="82"/>
      <c r="G795" s="82"/>
      <c r="H795" s="82"/>
      <c r="I795" s="82"/>
    </row>
    <row r="796" spans="1:9" x14ac:dyDescent="0.25">
      <c r="A796" s="114"/>
      <c r="B796" s="5" t="s">
        <v>90</v>
      </c>
      <c r="C796" s="3" t="s">
        <v>430</v>
      </c>
      <c r="D796" s="3" t="s">
        <v>546</v>
      </c>
      <c r="E796" s="36" t="s">
        <v>546</v>
      </c>
      <c r="F796" s="36" t="s">
        <v>308</v>
      </c>
      <c r="G796" s="29">
        <v>0</v>
      </c>
      <c r="H796" s="11">
        <v>261.89999999999998</v>
      </c>
      <c r="I796" s="11">
        <v>261.89999999999998</v>
      </c>
    </row>
    <row r="797" spans="1:9" x14ac:dyDescent="0.25">
      <c r="A797" s="113" t="s">
        <v>99</v>
      </c>
      <c r="B797" s="85" t="s">
        <v>288</v>
      </c>
      <c r="C797" s="82"/>
      <c r="D797" s="82"/>
      <c r="E797" s="82"/>
      <c r="F797" s="82"/>
      <c r="G797" s="82"/>
      <c r="H797" s="82"/>
      <c r="I797" s="82"/>
    </row>
    <row r="798" spans="1:9" x14ac:dyDescent="0.25">
      <c r="A798" s="114"/>
      <c r="B798" s="5" t="s">
        <v>99</v>
      </c>
      <c r="C798" s="3" t="s">
        <v>827</v>
      </c>
      <c r="D798" s="3" t="s">
        <v>546</v>
      </c>
      <c r="E798" s="36" t="s">
        <v>546</v>
      </c>
      <c r="F798" s="36" t="s">
        <v>308</v>
      </c>
      <c r="G798" s="29">
        <v>0</v>
      </c>
      <c r="H798" s="11">
        <v>311.89999999999998</v>
      </c>
      <c r="I798" s="11">
        <v>311.89999999999998</v>
      </c>
    </row>
    <row r="799" spans="1:9" x14ac:dyDescent="0.25">
      <c r="A799" s="113" t="s">
        <v>91</v>
      </c>
      <c r="B799" s="85" t="s">
        <v>289</v>
      </c>
      <c r="C799" s="82"/>
      <c r="D799" s="82"/>
      <c r="E799" s="82"/>
      <c r="F799" s="82"/>
      <c r="G799" s="82"/>
      <c r="H799" s="82"/>
      <c r="I799" s="82"/>
    </row>
    <row r="800" spans="1:9" x14ac:dyDescent="0.25">
      <c r="A800" s="114"/>
      <c r="B800" s="5" t="s">
        <v>91</v>
      </c>
      <c r="C800" s="3" t="s">
        <v>431</v>
      </c>
      <c r="D800" s="3" t="s">
        <v>546</v>
      </c>
      <c r="E800" s="36" t="s">
        <v>546</v>
      </c>
      <c r="F800" s="36" t="s">
        <v>308</v>
      </c>
      <c r="G800" s="29">
        <v>0</v>
      </c>
      <c r="H800" s="11">
        <v>205.9</v>
      </c>
      <c r="I800" s="11">
        <v>205.9</v>
      </c>
    </row>
    <row r="801" spans="1:9" x14ac:dyDescent="0.25">
      <c r="A801" s="113" t="s">
        <v>92</v>
      </c>
      <c r="B801" s="85" t="s">
        <v>290</v>
      </c>
      <c r="C801" s="82"/>
      <c r="D801" s="82"/>
      <c r="E801" s="82"/>
      <c r="F801" s="82"/>
      <c r="G801" s="82"/>
      <c r="H801" s="82"/>
      <c r="I801" s="82"/>
    </row>
    <row r="802" spans="1:9" x14ac:dyDescent="0.25">
      <c r="A802" s="114"/>
      <c r="B802" s="5" t="s">
        <v>92</v>
      </c>
      <c r="C802" s="3" t="s">
        <v>432</v>
      </c>
      <c r="D802" s="3" t="s">
        <v>546</v>
      </c>
      <c r="E802" s="36" t="s">
        <v>546</v>
      </c>
      <c r="F802" s="36" t="s">
        <v>308</v>
      </c>
      <c r="G802" s="29">
        <v>0</v>
      </c>
      <c r="H802" s="11">
        <v>241.9</v>
      </c>
      <c r="I802" s="11">
        <v>241.9</v>
      </c>
    </row>
    <row r="803" spans="1:9" x14ac:dyDescent="0.25">
      <c r="A803" s="113" t="s">
        <v>93</v>
      </c>
      <c r="B803" s="85" t="s">
        <v>291</v>
      </c>
      <c r="C803" s="82"/>
      <c r="D803" s="82"/>
      <c r="E803" s="82"/>
      <c r="F803" s="82"/>
      <c r="G803" s="82"/>
      <c r="H803" s="82"/>
      <c r="I803" s="82"/>
    </row>
    <row r="804" spans="1:9" x14ac:dyDescent="0.25">
      <c r="A804" s="114"/>
      <c r="B804" s="5" t="s">
        <v>93</v>
      </c>
      <c r="C804" s="3" t="s">
        <v>433</v>
      </c>
      <c r="D804" s="3" t="s">
        <v>546</v>
      </c>
      <c r="E804" s="36" t="s">
        <v>546</v>
      </c>
      <c r="F804" s="36" t="s">
        <v>308</v>
      </c>
      <c r="G804" s="29">
        <v>0</v>
      </c>
      <c r="H804" s="11">
        <v>165.9</v>
      </c>
      <c r="I804" s="11">
        <v>165.9</v>
      </c>
    </row>
    <row r="805" spans="1:9" x14ac:dyDescent="0.25">
      <c r="A805" s="113" t="s">
        <v>94</v>
      </c>
      <c r="B805" s="85" t="s">
        <v>292</v>
      </c>
      <c r="C805" s="82"/>
      <c r="D805" s="82"/>
      <c r="E805" s="82"/>
      <c r="F805" s="82"/>
      <c r="G805" s="82"/>
      <c r="H805" s="82"/>
      <c r="I805" s="82"/>
    </row>
    <row r="806" spans="1:9" x14ac:dyDescent="0.25">
      <c r="A806" s="114"/>
      <c r="B806" s="5" t="s">
        <v>94</v>
      </c>
      <c r="C806" s="3" t="s">
        <v>434</v>
      </c>
      <c r="D806" s="3" t="s">
        <v>546</v>
      </c>
      <c r="E806" s="36" t="s">
        <v>546</v>
      </c>
      <c r="F806" s="36" t="s">
        <v>308</v>
      </c>
      <c r="G806" s="29">
        <v>0</v>
      </c>
      <c r="H806" s="11">
        <v>207.9</v>
      </c>
      <c r="I806" s="11">
        <v>207.9</v>
      </c>
    </row>
    <row r="807" spans="1:9" x14ac:dyDescent="0.25">
      <c r="A807" s="113" t="s">
        <v>46</v>
      </c>
      <c r="B807" s="85" t="s">
        <v>293</v>
      </c>
      <c r="C807" s="82"/>
      <c r="D807" s="82"/>
      <c r="E807" s="82"/>
      <c r="F807" s="82"/>
      <c r="G807" s="82"/>
      <c r="H807" s="82"/>
      <c r="I807" s="82"/>
    </row>
    <row r="808" spans="1:9" x14ac:dyDescent="0.25">
      <c r="A808" s="114"/>
      <c r="B808" s="5" t="s">
        <v>46</v>
      </c>
      <c r="C808" s="3" t="s">
        <v>828</v>
      </c>
      <c r="D808" s="3" t="s">
        <v>546</v>
      </c>
      <c r="E808" s="36" t="s">
        <v>546</v>
      </c>
      <c r="F808" s="36" t="s">
        <v>308</v>
      </c>
      <c r="G808" s="29">
        <v>0</v>
      </c>
      <c r="H808" s="11">
        <v>409.9</v>
      </c>
      <c r="I808" s="11">
        <v>409.9</v>
      </c>
    </row>
    <row r="809" spans="1:9" x14ac:dyDescent="0.25">
      <c r="A809" s="113" t="s">
        <v>809</v>
      </c>
      <c r="B809" s="85" t="s">
        <v>810</v>
      </c>
      <c r="C809" s="82"/>
      <c r="D809" s="82"/>
      <c r="E809" s="82"/>
      <c r="F809" s="82"/>
      <c r="G809" s="82"/>
      <c r="H809" s="82"/>
      <c r="I809" s="82"/>
    </row>
    <row r="810" spans="1:9" x14ac:dyDescent="0.25">
      <c r="A810" s="114"/>
      <c r="B810" s="5" t="s">
        <v>809</v>
      </c>
      <c r="C810" s="3" t="s">
        <v>826</v>
      </c>
      <c r="D810" s="3" t="s">
        <v>546</v>
      </c>
      <c r="E810" s="36" t="s">
        <v>546</v>
      </c>
      <c r="F810" s="36" t="s">
        <v>308</v>
      </c>
      <c r="G810" s="29">
        <v>0</v>
      </c>
      <c r="H810" s="11">
        <v>133.9</v>
      </c>
      <c r="I810" s="11">
        <v>133.9</v>
      </c>
    </row>
    <row r="811" spans="1:9" x14ac:dyDescent="0.25">
      <c r="A811" s="113" t="s">
        <v>823</v>
      </c>
      <c r="B811" s="85" t="s">
        <v>824</v>
      </c>
      <c r="C811" s="82"/>
      <c r="D811" s="82"/>
      <c r="E811" s="82"/>
      <c r="F811" s="82"/>
      <c r="G811" s="82"/>
      <c r="H811" s="82"/>
      <c r="I811" s="82"/>
    </row>
    <row r="812" spans="1:9" x14ac:dyDescent="0.25">
      <c r="A812" s="114"/>
      <c r="B812" s="5" t="s">
        <v>822</v>
      </c>
      <c r="C812" s="3" t="s">
        <v>825</v>
      </c>
      <c r="D812" s="3" t="s">
        <v>546</v>
      </c>
      <c r="E812" s="36" t="s">
        <v>546</v>
      </c>
      <c r="F812" s="36" t="s">
        <v>308</v>
      </c>
      <c r="G812" s="29">
        <v>0</v>
      </c>
      <c r="H812" s="11">
        <v>162.9</v>
      </c>
      <c r="I812" s="11">
        <v>162.9</v>
      </c>
    </row>
    <row r="813" spans="1:9" x14ac:dyDescent="0.25">
      <c r="H813"/>
    </row>
    <row r="814" spans="1:9" x14ac:dyDescent="0.25">
      <c r="H814"/>
    </row>
    <row r="815" spans="1:9" x14ac:dyDescent="0.25">
      <c r="H815"/>
    </row>
    <row r="816" spans="1:9" x14ac:dyDescent="0.25">
      <c r="H816"/>
    </row>
    <row r="817" spans="8:8" x14ac:dyDescent="0.25">
      <c r="H817"/>
    </row>
    <row r="818" spans="8:8" x14ac:dyDescent="0.25">
      <c r="H818"/>
    </row>
    <row r="819" spans="8:8" x14ac:dyDescent="0.25">
      <c r="H819"/>
    </row>
    <row r="820" spans="8:8" x14ac:dyDescent="0.25">
      <c r="H820"/>
    </row>
    <row r="821" spans="8:8" x14ac:dyDescent="0.25">
      <c r="H821"/>
    </row>
    <row r="822" spans="8:8" x14ac:dyDescent="0.25">
      <c r="H822"/>
    </row>
    <row r="823" spans="8:8" x14ac:dyDescent="0.25">
      <c r="H823"/>
    </row>
    <row r="824" spans="8:8" x14ac:dyDescent="0.25">
      <c r="H824"/>
    </row>
    <row r="825" spans="8:8" x14ac:dyDescent="0.25">
      <c r="H825"/>
    </row>
    <row r="826" spans="8:8" x14ac:dyDescent="0.25">
      <c r="H826"/>
    </row>
    <row r="827" spans="8:8" x14ac:dyDescent="0.25">
      <c r="H827"/>
    </row>
    <row r="828" spans="8:8" x14ac:dyDescent="0.25">
      <c r="H828"/>
    </row>
    <row r="829" spans="8:8" x14ac:dyDescent="0.25">
      <c r="H829"/>
    </row>
    <row r="830" spans="8:8" x14ac:dyDescent="0.25">
      <c r="H830"/>
    </row>
    <row r="831" spans="8:8" x14ac:dyDescent="0.25">
      <c r="H831"/>
    </row>
    <row r="832" spans="8:8" x14ac:dyDescent="0.25">
      <c r="H832"/>
    </row>
    <row r="833" spans="8:8" x14ac:dyDescent="0.25">
      <c r="H833"/>
    </row>
    <row r="834" spans="8:8" x14ac:dyDescent="0.25">
      <c r="H834"/>
    </row>
    <row r="835" spans="8:8" x14ac:dyDescent="0.25">
      <c r="H835"/>
    </row>
    <row r="836" spans="8:8" x14ac:dyDescent="0.25">
      <c r="H836"/>
    </row>
    <row r="837" spans="8:8" x14ac:dyDescent="0.25">
      <c r="H837"/>
    </row>
    <row r="838" spans="8:8" x14ac:dyDescent="0.25">
      <c r="H838"/>
    </row>
    <row r="839" spans="8:8" x14ac:dyDescent="0.25">
      <c r="H839"/>
    </row>
    <row r="840" spans="8:8" x14ac:dyDescent="0.25">
      <c r="H840"/>
    </row>
    <row r="841" spans="8:8" x14ac:dyDescent="0.25">
      <c r="H841"/>
    </row>
    <row r="842" spans="8:8" x14ac:dyDescent="0.25">
      <c r="H842"/>
    </row>
    <row r="843" spans="8:8" x14ac:dyDescent="0.25">
      <c r="H843"/>
    </row>
    <row r="844" spans="8:8" x14ac:dyDescent="0.25">
      <c r="H844"/>
    </row>
    <row r="845" spans="8:8" x14ac:dyDescent="0.25">
      <c r="H845"/>
    </row>
    <row r="846" spans="8:8" x14ac:dyDescent="0.25">
      <c r="H846"/>
    </row>
    <row r="847" spans="8:8" x14ac:dyDescent="0.25">
      <c r="H847"/>
    </row>
    <row r="848" spans="8:8" x14ac:dyDescent="0.25">
      <c r="H848"/>
    </row>
    <row r="849" spans="8:8" x14ac:dyDescent="0.25">
      <c r="H849"/>
    </row>
    <row r="850" spans="8:8" x14ac:dyDescent="0.25">
      <c r="H850"/>
    </row>
    <row r="851" spans="8:8" x14ac:dyDescent="0.25">
      <c r="H851"/>
    </row>
    <row r="852" spans="8:8" x14ac:dyDescent="0.25">
      <c r="H852"/>
    </row>
    <row r="853" spans="8:8" x14ac:dyDescent="0.25">
      <c r="H853"/>
    </row>
    <row r="854" spans="8:8" x14ac:dyDescent="0.25">
      <c r="H854"/>
    </row>
    <row r="855" spans="8:8" x14ac:dyDescent="0.25">
      <c r="H855"/>
    </row>
    <row r="856" spans="8:8" x14ac:dyDescent="0.25">
      <c r="H856"/>
    </row>
    <row r="857" spans="8:8" x14ac:dyDescent="0.25">
      <c r="H857"/>
    </row>
    <row r="858" spans="8:8" x14ac:dyDescent="0.25">
      <c r="H858"/>
    </row>
    <row r="859" spans="8:8" x14ac:dyDescent="0.25">
      <c r="H859"/>
    </row>
    <row r="860" spans="8:8" x14ac:dyDescent="0.25">
      <c r="H860"/>
    </row>
    <row r="861" spans="8:8" x14ac:dyDescent="0.25">
      <c r="H861"/>
    </row>
    <row r="862" spans="8:8" x14ac:dyDescent="0.25">
      <c r="H862"/>
    </row>
    <row r="863" spans="8:8" x14ac:dyDescent="0.25">
      <c r="H863"/>
    </row>
    <row r="864" spans="8:8" x14ac:dyDescent="0.25">
      <c r="H864"/>
    </row>
    <row r="865" spans="8:8" x14ac:dyDescent="0.25">
      <c r="H865"/>
    </row>
    <row r="866" spans="8:8" x14ac:dyDescent="0.25">
      <c r="H866"/>
    </row>
    <row r="867" spans="8:8" x14ac:dyDescent="0.25">
      <c r="H867"/>
    </row>
    <row r="868" spans="8:8" x14ac:dyDescent="0.25">
      <c r="H868"/>
    </row>
    <row r="869" spans="8:8" x14ac:dyDescent="0.25">
      <c r="H869"/>
    </row>
    <row r="870" spans="8:8" x14ac:dyDescent="0.25">
      <c r="H870"/>
    </row>
    <row r="871" spans="8:8" x14ac:dyDescent="0.25">
      <c r="H871"/>
    </row>
    <row r="872" spans="8:8" x14ac:dyDescent="0.25">
      <c r="H872"/>
    </row>
    <row r="873" spans="8:8" x14ac:dyDescent="0.25">
      <c r="H873"/>
    </row>
    <row r="874" spans="8:8" x14ac:dyDescent="0.25">
      <c r="H874"/>
    </row>
    <row r="875" spans="8:8" x14ac:dyDescent="0.25">
      <c r="H875"/>
    </row>
    <row r="876" spans="8:8" x14ac:dyDescent="0.25">
      <c r="H876"/>
    </row>
    <row r="877" spans="8:8" x14ac:dyDescent="0.25">
      <c r="H877"/>
    </row>
    <row r="878" spans="8:8" x14ac:dyDescent="0.25">
      <c r="H878"/>
    </row>
    <row r="879" spans="8:8" x14ac:dyDescent="0.25">
      <c r="H879"/>
    </row>
    <row r="880" spans="8:8" x14ac:dyDescent="0.25">
      <c r="H880"/>
    </row>
    <row r="881" spans="8:8" x14ac:dyDescent="0.25">
      <c r="H881"/>
    </row>
    <row r="882" spans="8:8" x14ac:dyDescent="0.25">
      <c r="H882"/>
    </row>
    <row r="883" spans="8:8" x14ac:dyDescent="0.25">
      <c r="H883"/>
    </row>
    <row r="884" spans="8:8" x14ac:dyDescent="0.25">
      <c r="H884"/>
    </row>
    <row r="885" spans="8:8" x14ac:dyDescent="0.25">
      <c r="H885"/>
    </row>
    <row r="886" spans="8:8" x14ac:dyDescent="0.25">
      <c r="H886"/>
    </row>
    <row r="887" spans="8:8" x14ac:dyDescent="0.25">
      <c r="H887"/>
    </row>
    <row r="888" spans="8:8" x14ac:dyDescent="0.25">
      <c r="H888"/>
    </row>
    <row r="889" spans="8:8" x14ac:dyDescent="0.25">
      <c r="H889"/>
    </row>
    <row r="890" spans="8:8" x14ac:dyDescent="0.25">
      <c r="H890"/>
    </row>
    <row r="891" spans="8:8" x14ac:dyDescent="0.25">
      <c r="H891"/>
    </row>
    <row r="892" spans="8:8" x14ac:dyDescent="0.25">
      <c r="H892"/>
    </row>
    <row r="893" spans="8:8" x14ac:dyDescent="0.25">
      <c r="H893"/>
    </row>
    <row r="894" spans="8:8" x14ac:dyDescent="0.25">
      <c r="H894"/>
    </row>
    <row r="895" spans="8:8" x14ac:dyDescent="0.25">
      <c r="H895"/>
    </row>
    <row r="896" spans="8:8" x14ac:dyDescent="0.25">
      <c r="H896"/>
    </row>
    <row r="897" spans="8:8" x14ac:dyDescent="0.25">
      <c r="H897"/>
    </row>
    <row r="898" spans="8:8" x14ac:dyDescent="0.25">
      <c r="H898"/>
    </row>
    <row r="899" spans="8:8" x14ac:dyDescent="0.25">
      <c r="H899"/>
    </row>
    <row r="900" spans="8:8" x14ac:dyDescent="0.25">
      <c r="H900"/>
    </row>
    <row r="901" spans="8:8" x14ac:dyDescent="0.25">
      <c r="H901"/>
    </row>
    <row r="902" spans="8:8" x14ac:dyDescent="0.25">
      <c r="H902"/>
    </row>
    <row r="903" spans="8:8" x14ac:dyDescent="0.25">
      <c r="H903"/>
    </row>
    <row r="904" spans="8:8" x14ac:dyDescent="0.25">
      <c r="H904"/>
    </row>
    <row r="905" spans="8:8" x14ac:dyDescent="0.25">
      <c r="H905"/>
    </row>
    <row r="906" spans="8:8" x14ac:dyDescent="0.25">
      <c r="H906"/>
    </row>
    <row r="907" spans="8:8" x14ac:dyDescent="0.25">
      <c r="H907"/>
    </row>
    <row r="908" spans="8:8" x14ac:dyDescent="0.25">
      <c r="H908"/>
    </row>
    <row r="909" spans="8:8" x14ac:dyDescent="0.25">
      <c r="H909"/>
    </row>
    <row r="910" spans="8:8" x14ac:dyDescent="0.25">
      <c r="H910"/>
    </row>
    <row r="911" spans="8:8" x14ac:dyDescent="0.25">
      <c r="H911"/>
    </row>
    <row r="912" spans="8:8" x14ac:dyDescent="0.25">
      <c r="H912"/>
    </row>
    <row r="913" spans="8:8" x14ac:dyDescent="0.25">
      <c r="H913"/>
    </row>
    <row r="914" spans="8:8" x14ac:dyDescent="0.25">
      <c r="H914"/>
    </row>
    <row r="915" spans="8:8" x14ac:dyDescent="0.25">
      <c r="H915"/>
    </row>
    <row r="916" spans="8:8" x14ac:dyDescent="0.25">
      <c r="H916"/>
    </row>
    <row r="917" spans="8:8" x14ac:dyDescent="0.25">
      <c r="H917"/>
    </row>
    <row r="918" spans="8:8" x14ac:dyDescent="0.25">
      <c r="H918"/>
    </row>
    <row r="919" spans="8:8" x14ac:dyDescent="0.25">
      <c r="H919"/>
    </row>
    <row r="920" spans="8:8" x14ac:dyDescent="0.25">
      <c r="H920"/>
    </row>
    <row r="921" spans="8:8" x14ac:dyDescent="0.25">
      <c r="H921"/>
    </row>
    <row r="922" spans="8:8" x14ac:dyDescent="0.25">
      <c r="H922"/>
    </row>
    <row r="923" spans="8:8" x14ac:dyDescent="0.25">
      <c r="H923"/>
    </row>
    <row r="924" spans="8:8" x14ac:dyDescent="0.25">
      <c r="H924"/>
    </row>
    <row r="925" spans="8:8" x14ac:dyDescent="0.25">
      <c r="H925"/>
    </row>
    <row r="926" spans="8:8" x14ac:dyDescent="0.25">
      <c r="H926"/>
    </row>
    <row r="927" spans="8:8" x14ac:dyDescent="0.25">
      <c r="H927"/>
    </row>
    <row r="928" spans="8:8" x14ac:dyDescent="0.25">
      <c r="H928"/>
    </row>
    <row r="929" spans="8:8" x14ac:dyDescent="0.25">
      <c r="H929"/>
    </row>
    <row r="930" spans="8:8" x14ac:dyDescent="0.25">
      <c r="H930"/>
    </row>
    <row r="931" spans="8:8" x14ac:dyDescent="0.25">
      <c r="H931"/>
    </row>
    <row r="932" spans="8:8" x14ac:dyDescent="0.25">
      <c r="H932"/>
    </row>
    <row r="933" spans="8:8" x14ac:dyDescent="0.25">
      <c r="H933"/>
    </row>
    <row r="934" spans="8:8" x14ac:dyDescent="0.25">
      <c r="H934"/>
    </row>
    <row r="935" spans="8:8" x14ac:dyDescent="0.25">
      <c r="H935"/>
    </row>
    <row r="936" spans="8:8" x14ac:dyDescent="0.25">
      <c r="H936"/>
    </row>
    <row r="937" spans="8:8" x14ac:dyDescent="0.25">
      <c r="H937"/>
    </row>
    <row r="938" spans="8:8" x14ac:dyDescent="0.25">
      <c r="H938"/>
    </row>
    <row r="939" spans="8:8" x14ac:dyDescent="0.25">
      <c r="H939"/>
    </row>
    <row r="940" spans="8:8" x14ac:dyDescent="0.25">
      <c r="H940"/>
    </row>
    <row r="941" spans="8:8" x14ac:dyDescent="0.25">
      <c r="H941"/>
    </row>
    <row r="942" spans="8:8" x14ac:dyDescent="0.25">
      <c r="H942"/>
    </row>
    <row r="943" spans="8:8" x14ac:dyDescent="0.25">
      <c r="H943"/>
    </row>
    <row r="944" spans="8:8" x14ac:dyDescent="0.25">
      <c r="H944"/>
    </row>
    <row r="945" spans="8:8" x14ac:dyDescent="0.25">
      <c r="H945"/>
    </row>
    <row r="946" spans="8:8" x14ac:dyDescent="0.25">
      <c r="H946"/>
    </row>
    <row r="947" spans="8:8" x14ac:dyDescent="0.25">
      <c r="H947"/>
    </row>
    <row r="948" spans="8:8" x14ac:dyDescent="0.25">
      <c r="H948"/>
    </row>
    <row r="949" spans="8:8" x14ac:dyDescent="0.25">
      <c r="H949"/>
    </row>
    <row r="950" spans="8:8" x14ac:dyDescent="0.25">
      <c r="H950"/>
    </row>
    <row r="951" spans="8:8" x14ac:dyDescent="0.25">
      <c r="H951"/>
    </row>
    <row r="952" spans="8:8" x14ac:dyDescent="0.25">
      <c r="H952"/>
    </row>
    <row r="953" spans="8:8" x14ac:dyDescent="0.25">
      <c r="H953"/>
    </row>
    <row r="954" spans="8:8" x14ac:dyDescent="0.25">
      <c r="H954"/>
    </row>
    <row r="955" spans="8:8" x14ac:dyDescent="0.25">
      <c r="H955"/>
    </row>
    <row r="956" spans="8:8" x14ac:dyDescent="0.25">
      <c r="H956"/>
    </row>
    <row r="957" spans="8:8" x14ac:dyDescent="0.25">
      <c r="H957"/>
    </row>
    <row r="958" spans="8:8" x14ac:dyDescent="0.25">
      <c r="H958"/>
    </row>
    <row r="959" spans="8:8" x14ac:dyDescent="0.25">
      <c r="H959"/>
    </row>
    <row r="960" spans="8:8" x14ac:dyDescent="0.25">
      <c r="H960"/>
    </row>
    <row r="961" spans="8:8" x14ac:dyDescent="0.25">
      <c r="H961"/>
    </row>
    <row r="962" spans="8:8" x14ac:dyDescent="0.25">
      <c r="H962"/>
    </row>
    <row r="963" spans="8:8" x14ac:dyDescent="0.25">
      <c r="H963"/>
    </row>
    <row r="964" spans="8:8" x14ac:dyDescent="0.25">
      <c r="H964"/>
    </row>
    <row r="965" spans="8:8" x14ac:dyDescent="0.25">
      <c r="H965"/>
    </row>
    <row r="966" spans="8:8" x14ac:dyDescent="0.25">
      <c r="H966"/>
    </row>
    <row r="967" spans="8:8" x14ac:dyDescent="0.25">
      <c r="H967"/>
    </row>
    <row r="968" spans="8:8" x14ac:dyDescent="0.25">
      <c r="H968"/>
    </row>
    <row r="969" spans="8:8" x14ac:dyDescent="0.25">
      <c r="H969"/>
    </row>
    <row r="970" spans="8:8" x14ac:dyDescent="0.25">
      <c r="H970"/>
    </row>
    <row r="971" spans="8:8" x14ac:dyDescent="0.25">
      <c r="H971"/>
    </row>
    <row r="972" spans="8:8" x14ac:dyDescent="0.25">
      <c r="H972"/>
    </row>
    <row r="973" spans="8:8" x14ac:dyDescent="0.25">
      <c r="H973"/>
    </row>
    <row r="974" spans="8:8" x14ac:dyDescent="0.25">
      <c r="H974"/>
    </row>
    <row r="975" spans="8:8" x14ac:dyDescent="0.25">
      <c r="H975"/>
    </row>
    <row r="976" spans="8:8" x14ac:dyDescent="0.25">
      <c r="H976"/>
    </row>
    <row r="977" spans="8:8" x14ac:dyDescent="0.25">
      <c r="H977"/>
    </row>
    <row r="978" spans="8:8" x14ac:dyDescent="0.25">
      <c r="H978"/>
    </row>
    <row r="979" spans="8:8" x14ac:dyDescent="0.25">
      <c r="H979"/>
    </row>
    <row r="980" spans="8:8" x14ac:dyDescent="0.25">
      <c r="H980"/>
    </row>
    <row r="981" spans="8:8" x14ac:dyDescent="0.25">
      <c r="H981"/>
    </row>
    <row r="982" spans="8:8" x14ac:dyDescent="0.25">
      <c r="H982"/>
    </row>
    <row r="983" spans="8:8" x14ac:dyDescent="0.25">
      <c r="H983"/>
    </row>
    <row r="984" spans="8:8" x14ac:dyDescent="0.25">
      <c r="H984"/>
    </row>
    <row r="985" spans="8:8" x14ac:dyDescent="0.25">
      <c r="H985"/>
    </row>
    <row r="986" spans="8:8" x14ac:dyDescent="0.25">
      <c r="H986"/>
    </row>
    <row r="987" spans="8:8" x14ac:dyDescent="0.25">
      <c r="H987"/>
    </row>
    <row r="988" spans="8:8" x14ac:dyDescent="0.25">
      <c r="H988"/>
    </row>
    <row r="989" spans="8:8" x14ac:dyDescent="0.25">
      <c r="H989"/>
    </row>
    <row r="990" spans="8:8" x14ac:dyDescent="0.25">
      <c r="H990"/>
    </row>
    <row r="991" spans="8:8" x14ac:dyDescent="0.25">
      <c r="H991"/>
    </row>
    <row r="992" spans="8:8" x14ac:dyDescent="0.25">
      <c r="H992"/>
    </row>
    <row r="993" spans="8:8" x14ac:dyDescent="0.25">
      <c r="H993"/>
    </row>
    <row r="994" spans="8:8" x14ac:dyDescent="0.25">
      <c r="H994"/>
    </row>
    <row r="995" spans="8:8" x14ac:dyDescent="0.25">
      <c r="H995"/>
    </row>
    <row r="996" spans="8:8" x14ac:dyDescent="0.25">
      <c r="H996"/>
    </row>
    <row r="997" spans="8:8" x14ac:dyDescent="0.25">
      <c r="H997"/>
    </row>
    <row r="998" spans="8:8" x14ac:dyDescent="0.25">
      <c r="H998"/>
    </row>
    <row r="999" spans="8:8" x14ac:dyDescent="0.25">
      <c r="H999"/>
    </row>
    <row r="1000" spans="8:8" x14ac:dyDescent="0.25">
      <c r="H1000"/>
    </row>
    <row r="1001" spans="8:8" x14ac:dyDescent="0.25">
      <c r="H1001"/>
    </row>
    <row r="1002" spans="8:8" x14ac:dyDescent="0.25">
      <c r="H1002"/>
    </row>
    <row r="1003" spans="8:8" x14ac:dyDescent="0.25">
      <c r="H1003"/>
    </row>
    <row r="1004" spans="8:8" x14ac:dyDescent="0.25">
      <c r="H1004"/>
    </row>
    <row r="1005" spans="8:8" x14ac:dyDescent="0.25">
      <c r="H1005"/>
    </row>
    <row r="1006" spans="8:8" x14ac:dyDescent="0.25">
      <c r="H1006"/>
    </row>
    <row r="1007" spans="8:8" x14ac:dyDescent="0.25">
      <c r="H1007"/>
    </row>
    <row r="1008" spans="8:8" x14ac:dyDescent="0.25">
      <c r="H1008"/>
    </row>
    <row r="1009" spans="8:8" x14ac:dyDescent="0.25">
      <c r="H1009"/>
    </row>
    <row r="1010" spans="8:8" x14ac:dyDescent="0.25">
      <c r="H1010"/>
    </row>
    <row r="1011" spans="8:8" x14ac:dyDescent="0.25">
      <c r="H1011"/>
    </row>
    <row r="1012" spans="8:8" x14ac:dyDescent="0.25">
      <c r="H1012"/>
    </row>
    <row r="1013" spans="8:8" x14ac:dyDescent="0.25">
      <c r="H1013"/>
    </row>
    <row r="1014" spans="8:8" x14ac:dyDescent="0.25">
      <c r="H1014"/>
    </row>
    <row r="1015" spans="8:8" x14ac:dyDescent="0.25">
      <c r="H1015"/>
    </row>
    <row r="1016" spans="8:8" x14ac:dyDescent="0.25">
      <c r="H1016"/>
    </row>
    <row r="1017" spans="8:8" x14ac:dyDescent="0.25">
      <c r="H1017"/>
    </row>
    <row r="1018" spans="8:8" x14ac:dyDescent="0.25">
      <c r="H1018"/>
    </row>
    <row r="1019" spans="8:8" x14ac:dyDescent="0.25">
      <c r="H1019"/>
    </row>
    <row r="1020" spans="8:8" x14ac:dyDescent="0.25">
      <c r="H1020"/>
    </row>
    <row r="1021" spans="8:8" x14ac:dyDescent="0.25">
      <c r="H1021"/>
    </row>
    <row r="1022" spans="8:8" x14ac:dyDescent="0.25">
      <c r="H1022"/>
    </row>
    <row r="1023" spans="8:8" x14ac:dyDescent="0.25">
      <c r="H1023"/>
    </row>
    <row r="1024" spans="8:8" x14ac:dyDescent="0.25">
      <c r="H1024"/>
    </row>
    <row r="1025" spans="8:8" x14ac:dyDescent="0.25">
      <c r="H1025"/>
    </row>
    <row r="1026" spans="8:8" x14ac:dyDescent="0.25">
      <c r="H1026"/>
    </row>
    <row r="1027" spans="8:8" x14ac:dyDescent="0.25">
      <c r="H1027"/>
    </row>
    <row r="1028" spans="8:8" x14ac:dyDescent="0.25">
      <c r="H1028"/>
    </row>
    <row r="1029" spans="8:8" x14ac:dyDescent="0.25">
      <c r="H1029"/>
    </row>
    <row r="1030" spans="8:8" x14ac:dyDescent="0.25">
      <c r="H1030"/>
    </row>
    <row r="1031" spans="8:8" x14ac:dyDescent="0.25">
      <c r="H1031"/>
    </row>
    <row r="1032" spans="8:8" x14ac:dyDescent="0.25">
      <c r="H1032"/>
    </row>
    <row r="1033" spans="8:8" x14ac:dyDescent="0.25">
      <c r="H1033"/>
    </row>
    <row r="1034" spans="8:8" x14ac:dyDescent="0.25">
      <c r="H1034"/>
    </row>
    <row r="1035" spans="8:8" x14ac:dyDescent="0.25">
      <c r="H1035"/>
    </row>
    <row r="1036" spans="8:8" x14ac:dyDescent="0.25">
      <c r="H1036"/>
    </row>
    <row r="1037" spans="8:8" x14ac:dyDescent="0.25">
      <c r="H1037"/>
    </row>
    <row r="1038" spans="8:8" x14ac:dyDescent="0.25">
      <c r="H1038"/>
    </row>
    <row r="1039" spans="8:8" x14ac:dyDescent="0.25">
      <c r="H1039"/>
    </row>
    <row r="1040" spans="8:8" x14ac:dyDescent="0.25">
      <c r="H1040"/>
    </row>
    <row r="1041" spans="8:8" x14ac:dyDescent="0.25">
      <c r="H1041"/>
    </row>
    <row r="1042" spans="8:8" x14ac:dyDescent="0.25">
      <c r="H1042"/>
    </row>
    <row r="1043" spans="8:8" x14ac:dyDescent="0.25">
      <c r="H1043"/>
    </row>
    <row r="1044" spans="8:8" x14ac:dyDescent="0.25">
      <c r="H1044"/>
    </row>
    <row r="1045" spans="8:8" x14ac:dyDescent="0.25">
      <c r="H1045"/>
    </row>
    <row r="1046" spans="8:8" x14ac:dyDescent="0.25">
      <c r="H1046"/>
    </row>
    <row r="1047" spans="8:8" x14ac:dyDescent="0.25">
      <c r="H1047"/>
    </row>
    <row r="1048" spans="8:8" x14ac:dyDescent="0.25">
      <c r="H1048"/>
    </row>
    <row r="1049" spans="8:8" x14ac:dyDescent="0.25">
      <c r="H1049"/>
    </row>
    <row r="1050" spans="8:8" x14ac:dyDescent="0.25">
      <c r="H1050"/>
    </row>
    <row r="1051" spans="8:8" x14ac:dyDescent="0.25">
      <c r="H1051"/>
    </row>
    <row r="1052" spans="8:8" x14ac:dyDescent="0.25">
      <c r="H1052"/>
    </row>
    <row r="1053" spans="8:8" x14ac:dyDescent="0.25">
      <c r="H1053"/>
    </row>
    <row r="1054" spans="8:8" x14ac:dyDescent="0.25">
      <c r="H1054"/>
    </row>
    <row r="1055" spans="8:8" x14ac:dyDescent="0.25">
      <c r="H1055"/>
    </row>
    <row r="1056" spans="8:8" x14ac:dyDescent="0.25">
      <c r="H1056"/>
    </row>
    <row r="1057" spans="8:8" x14ac:dyDescent="0.25">
      <c r="H1057"/>
    </row>
    <row r="1058" spans="8:8" x14ac:dyDescent="0.25">
      <c r="H1058"/>
    </row>
    <row r="1059" spans="8:8" x14ac:dyDescent="0.25">
      <c r="H1059"/>
    </row>
    <row r="1060" spans="8:8" x14ac:dyDescent="0.25">
      <c r="H1060"/>
    </row>
    <row r="1061" spans="8:8" x14ac:dyDescent="0.25">
      <c r="H1061"/>
    </row>
    <row r="1062" spans="8:8" x14ac:dyDescent="0.25">
      <c r="H1062"/>
    </row>
    <row r="1063" spans="8:8" x14ac:dyDescent="0.25">
      <c r="H1063"/>
    </row>
    <row r="1064" spans="8:8" x14ac:dyDescent="0.25">
      <c r="H1064"/>
    </row>
    <row r="1065" spans="8:8" x14ac:dyDescent="0.25">
      <c r="H1065"/>
    </row>
    <row r="1066" spans="8:8" x14ac:dyDescent="0.25">
      <c r="H1066"/>
    </row>
    <row r="1067" spans="8:8" x14ac:dyDescent="0.25">
      <c r="H1067"/>
    </row>
    <row r="1068" spans="8:8" x14ac:dyDescent="0.25">
      <c r="H1068"/>
    </row>
    <row r="1069" spans="8:8" x14ac:dyDescent="0.25">
      <c r="H1069"/>
    </row>
    <row r="1070" spans="8:8" x14ac:dyDescent="0.25">
      <c r="H1070"/>
    </row>
    <row r="1071" spans="8:8" x14ac:dyDescent="0.25">
      <c r="H1071"/>
    </row>
    <row r="1072" spans="8:8" x14ac:dyDescent="0.25">
      <c r="H1072"/>
    </row>
    <row r="1073" spans="8:8" x14ac:dyDescent="0.25">
      <c r="H1073"/>
    </row>
    <row r="1074" spans="8:8" x14ac:dyDescent="0.25">
      <c r="H1074"/>
    </row>
    <row r="1075" spans="8:8" x14ac:dyDescent="0.25">
      <c r="H1075"/>
    </row>
    <row r="1076" spans="8:8" x14ac:dyDescent="0.25">
      <c r="H1076"/>
    </row>
    <row r="1077" spans="8:8" x14ac:dyDescent="0.25">
      <c r="H1077"/>
    </row>
    <row r="1078" spans="8:8" x14ac:dyDescent="0.25">
      <c r="H1078"/>
    </row>
    <row r="1079" spans="8:8" x14ac:dyDescent="0.25">
      <c r="H1079"/>
    </row>
    <row r="1080" spans="8:8" x14ac:dyDescent="0.25">
      <c r="H1080"/>
    </row>
    <row r="1081" spans="8:8" x14ac:dyDescent="0.25">
      <c r="H1081"/>
    </row>
    <row r="1082" spans="8:8" x14ac:dyDescent="0.25">
      <c r="H1082"/>
    </row>
    <row r="1083" spans="8:8" x14ac:dyDescent="0.25">
      <c r="H1083"/>
    </row>
    <row r="1084" spans="8:8" x14ac:dyDescent="0.25">
      <c r="H1084"/>
    </row>
    <row r="1085" spans="8:8" x14ac:dyDescent="0.25">
      <c r="H1085"/>
    </row>
    <row r="1086" spans="8:8" x14ac:dyDescent="0.25">
      <c r="H1086"/>
    </row>
    <row r="1087" spans="8:8" x14ac:dyDescent="0.25">
      <c r="H1087"/>
    </row>
    <row r="1088" spans="8:8" x14ac:dyDescent="0.25">
      <c r="H1088"/>
    </row>
    <row r="1089" spans="8:8" x14ac:dyDescent="0.25">
      <c r="H1089"/>
    </row>
    <row r="1090" spans="8:8" x14ac:dyDescent="0.25">
      <c r="H1090"/>
    </row>
    <row r="1091" spans="8:8" x14ac:dyDescent="0.25">
      <c r="H1091"/>
    </row>
    <row r="1092" spans="8:8" x14ac:dyDescent="0.25">
      <c r="H1092"/>
    </row>
    <row r="1093" spans="8:8" x14ac:dyDescent="0.25">
      <c r="H1093"/>
    </row>
    <row r="1094" spans="8:8" x14ac:dyDescent="0.25">
      <c r="H1094"/>
    </row>
    <row r="1095" spans="8:8" x14ac:dyDescent="0.25">
      <c r="H1095"/>
    </row>
    <row r="1096" spans="8:8" x14ac:dyDescent="0.25">
      <c r="H1096"/>
    </row>
    <row r="1097" spans="8:8" x14ac:dyDescent="0.25">
      <c r="H1097"/>
    </row>
    <row r="1098" spans="8:8" x14ac:dyDescent="0.25">
      <c r="H1098"/>
    </row>
    <row r="1099" spans="8:8" x14ac:dyDescent="0.25">
      <c r="H1099"/>
    </row>
    <row r="1100" spans="8:8" x14ac:dyDescent="0.25">
      <c r="H1100"/>
    </row>
    <row r="1101" spans="8:8" x14ac:dyDescent="0.25">
      <c r="H1101"/>
    </row>
    <row r="1102" spans="8:8" x14ac:dyDescent="0.25">
      <c r="H1102"/>
    </row>
    <row r="1103" spans="8:8" x14ac:dyDescent="0.25">
      <c r="H1103"/>
    </row>
    <row r="1104" spans="8:8" x14ac:dyDescent="0.25">
      <c r="H1104"/>
    </row>
    <row r="1105" spans="8:8" x14ac:dyDescent="0.25">
      <c r="H1105"/>
    </row>
    <row r="1106" spans="8:8" x14ac:dyDescent="0.25">
      <c r="H1106"/>
    </row>
    <row r="1107" spans="8:8" x14ac:dyDescent="0.25">
      <c r="H1107"/>
    </row>
    <row r="1108" spans="8:8" x14ac:dyDescent="0.25">
      <c r="H1108"/>
    </row>
    <row r="1109" spans="8:8" x14ac:dyDescent="0.25">
      <c r="H1109"/>
    </row>
    <row r="1110" spans="8:8" x14ac:dyDescent="0.25">
      <c r="H1110"/>
    </row>
    <row r="1111" spans="8:8" x14ac:dyDescent="0.25">
      <c r="H1111"/>
    </row>
    <row r="1112" spans="8:8" x14ac:dyDescent="0.25">
      <c r="H1112"/>
    </row>
    <row r="1113" spans="8:8" x14ac:dyDescent="0.25">
      <c r="H1113"/>
    </row>
    <row r="1114" spans="8:8" x14ac:dyDescent="0.25">
      <c r="H1114"/>
    </row>
    <row r="1115" spans="8:8" x14ac:dyDescent="0.25">
      <c r="H1115"/>
    </row>
    <row r="1116" spans="8:8" x14ac:dyDescent="0.25">
      <c r="H1116"/>
    </row>
    <row r="1117" spans="8:8" x14ac:dyDescent="0.25">
      <c r="H1117"/>
    </row>
    <row r="1118" spans="8:8" x14ac:dyDescent="0.25">
      <c r="H1118"/>
    </row>
    <row r="1119" spans="8:8" x14ac:dyDescent="0.25">
      <c r="H1119"/>
    </row>
    <row r="1120" spans="8:8" x14ac:dyDescent="0.25">
      <c r="H1120"/>
    </row>
    <row r="1121" spans="8:8" x14ac:dyDescent="0.25">
      <c r="H1121"/>
    </row>
    <row r="1122" spans="8:8" x14ac:dyDescent="0.25">
      <c r="H1122"/>
    </row>
    <row r="1123" spans="8:8" x14ac:dyDescent="0.25">
      <c r="H1123"/>
    </row>
    <row r="1124" spans="8:8" x14ac:dyDescent="0.25">
      <c r="H1124"/>
    </row>
    <row r="1125" spans="8:8" x14ac:dyDescent="0.25">
      <c r="H1125"/>
    </row>
    <row r="1126" spans="8:8" x14ac:dyDescent="0.25">
      <c r="H1126"/>
    </row>
    <row r="1127" spans="8:8" x14ac:dyDescent="0.25">
      <c r="H1127"/>
    </row>
    <row r="1128" spans="8:8" x14ac:dyDescent="0.25">
      <c r="H1128"/>
    </row>
    <row r="1129" spans="8:8" x14ac:dyDescent="0.25">
      <c r="H1129"/>
    </row>
    <row r="1130" spans="8:8" x14ac:dyDescent="0.25">
      <c r="H1130"/>
    </row>
    <row r="1131" spans="8:8" x14ac:dyDescent="0.25">
      <c r="H1131"/>
    </row>
    <row r="1132" spans="8:8" x14ac:dyDescent="0.25">
      <c r="H1132"/>
    </row>
    <row r="1133" spans="8:8" x14ac:dyDescent="0.25">
      <c r="H1133"/>
    </row>
    <row r="1134" spans="8:8" x14ac:dyDescent="0.25">
      <c r="H1134"/>
    </row>
    <row r="1135" spans="8:8" x14ac:dyDescent="0.25">
      <c r="H1135"/>
    </row>
    <row r="1136" spans="8:8" x14ac:dyDescent="0.25">
      <c r="H1136"/>
    </row>
    <row r="1137" spans="8:8" x14ac:dyDescent="0.25">
      <c r="H1137"/>
    </row>
    <row r="1138" spans="8:8" x14ac:dyDescent="0.25">
      <c r="H1138"/>
    </row>
    <row r="1139" spans="8:8" x14ac:dyDescent="0.25">
      <c r="H1139"/>
    </row>
    <row r="1140" spans="8:8" x14ac:dyDescent="0.25">
      <c r="H1140"/>
    </row>
    <row r="1141" spans="8:8" x14ac:dyDescent="0.25">
      <c r="H1141"/>
    </row>
    <row r="1142" spans="8:8" x14ac:dyDescent="0.25">
      <c r="H1142"/>
    </row>
    <row r="1143" spans="8:8" x14ac:dyDescent="0.25">
      <c r="H1143"/>
    </row>
    <row r="1144" spans="8:8" x14ac:dyDescent="0.25">
      <c r="H1144"/>
    </row>
    <row r="1145" spans="8:8" x14ac:dyDescent="0.25">
      <c r="H1145"/>
    </row>
    <row r="1146" spans="8:8" x14ac:dyDescent="0.25">
      <c r="H1146"/>
    </row>
    <row r="1147" spans="8:8" x14ac:dyDescent="0.25">
      <c r="H1147"/>
    </row>
    <row r="1148" spans="8:8" x14ac:dyDescent="0.25">
      <c r="H1148"/>
    </row>
    <row r="1149" spans="8:8" x14ac:dyDescent="0.25">
      <c r="H1149"/>
    </row>
    <row r="1150" spans="8:8" x14ac:dyDescent="0.25">
      <c r="H1150"/>
    </row>
    <row r="1151" spans="8:8" x14ac:dyDescent="0.25">
      <c r="H1151"/>
    </row>
    <row r="1152" spans="8:8" x14ac:dyDescent="0.25">
      <c r="H1152"/>
    </row>
    <row r="1153" spans="8:8" x14ac:dyDescent="0.25">
      <c r="H1153"/>
    </row>
    <row r="1154" spans="8:8" x14ac:dyDescent="0.25">
      <c r="H1154"/>
    </row>
    <row r="1155" spans="8:8" x14ac:dyDescent="0.25">
      <c r="H1155"/>
    </row>
    <row r="1156" spans="8:8" x14ac:dyDescent="0.25">
      <c r="H1156"/>
    </row>
    <row r="1157" spans="8:8" x14ac:dyDescent="0.25">
      <c r="H1157"/>
    </row>
    <row r="1158" spans="8:8" x14ac:dyDescent="0.25">
      <c r="H1158"/>
    </row>
    <row r="1159" spans="8:8" x14ac:dyDescent="0.25">
      <c r="H1159"/>
    </row>
    <row r="1160" spans="8:8" x14ac:dyDescent="0.25">
      <c r="H1160"/>
    </row>
    <row r="1161" spans="8:8" x14ac:dyDescent="0.25">
      <c r="H1161"/>
    </row>
    <row r="1162" spans="8:8" x14ac:dyDescent="0.25">
      <c r="H1162"/>
    </row>
    <row r="1163" spans="8:8" x14ac:dyDescent="0.25">
      <c r="H1163"/>
    </row>
    <row r="1164" spans="8:8" x14ac:dyDescent="0.25">
      <c r="H1164"/>
    </row>
    <row r="1165" spans="8:8" x14ac:dyDescent="0.25">
      <c r="H1165"/>
    </row>
    <row r="1166" spans="8:8" x14ac:dyDescent="0.25">
      <c r="H1166"/>
    </row>
    <row r="1167" spans="8:8" x14ac:dyDescent="0.25">
      <c r="H1167"/>
    </row>
    <row r="1168" spans="8:8" x14ac:dyDescent="0.25">
      <c r="H1168"/>
    </row>
    <row r="1169" spans="8:8" x14ac:dyDescent="0.25">
      <c r="H1169"/>
    </row>
    <row r="1170" spans="8:8" x14ac:dyDescent="0.25">
      <c r="H1170"/>
    </row>
    <row r="1171" spans="8:8" x14ac:dyDescent="0.25">
      <c r="H1171"/>
    </row>
    <row r="1172" spans="8:8" x14ac:dyDescent="0.25">
      <c r="H1172"/>
    </row>
    <row r="1173" spans="8:8" x14ac:dyDescent="0.25">
      <c r="H1173"/>
    </row>
    <row r="1174" spans="8:8" x14ac:dyDescent="0.25">
      <c r="H1174"/>
    </row>
    <row r="1175" spans="8:8" x14ac:dyDescent="0.25">
      <c r="H1175"/>
    </row>
    <row r="1176" spans="8:8" x14ac:dyDescent="0.25">
      <c r="H1176"/>
    </row>
    <row r="1177" spans="8:8" x14ac:dyDescent="0.25">
      <c r="H1177"/>
    </row>
    <row r="1178" spans="8:8" x14ac:dyDescent="0.25">
      <c r="H1178"/>
    </row>
    <row r="1179" spans="8:8" x14ac:dyDescent="0.25">
      <c r="H1179"/>
    </row>
    <row r="1180" spans="8:8" x14ac:dyDescent="0.25">
      <c r="H1180"/>
    </row>
    <row r="1181" spans="8:8" x14ac:dyDescent="0.25">
      <c r="H1181"/>
    </row>
    <row r="1182" spans="8:8" x14ac:dyDescent="0.25">
      <c r="H1182"/>
    </row>
    <row r="1183" spans="8:8" x14ac:dyDescent="0.25">
      <c r="H1183"/>
    </row>
    <row r="1184" spans="8:8" x14ac:dyDescent="0.25">
      <c r="H1184"/>
    </row>
    <row r="1185" spans="8:8" x14ac:dyDescent="0.25">
      <c r="H1185"/>
    </row>
    <row r="1186" spans="8:8" x14ac:dyDescent="0.25">
      <c r="H1186"/>
    </row>
    <row r="1187" spans="8:8" x14ac:dyDescent="0.25">
      <c r="H1187"/>
    </row>
    <row r="1188" spans="8:8" x14ac:dyDescent="0.25">
      <c r="H1188"/>
    </row>
    <row r="1189" spans="8:8" x14ac:dyDescent="0.25">
      <c r="H1189"/>
    </row>
    <row r="1190" spans="8:8" x14ac:dyDescent="0.25">
      <c r="H1190"/>
    </row>
    <row r="1191" spans="8:8" x14ac:dyDescent="0.25">
      <c r="H1191"/>
    </row>
    <row r="1192" spans="8:8" x14ac:dyDescent="0.25">
      <c r="H1192"/>
    </row>
    <row r="1193" spans="8:8" x14ac:dyDescent="0.25">
      <c r="H1193"/>
    </row>
    <row r="1194" spans="8:8" x14ac:dyDescent="0.25">
      <c r="H1194"/>
    </row>
    <row r="1195" spans="8:8" x14ac:dyDescent="0.25">
      <c r="H1195"/>
    </row>
    <row r="1196" spans="8:8" x14ac:dyDescent="0.25">
      <c r="H1196"/>
    </row>
    <row r="1197" spans="8:8" x14ac:dyDescent="0.25">
      <c r="H1197"/>
    </row>
    <row r="1198" spans="8:8" x14ac:dyDescent="0.25">
      <c r="H1198"/>
    </row>
    <row r="1199" spans="8:8" x14ac:dyDescent="0.25">
      <c r="H1199"/>
    </row>
    <row r="1200" spans="8:8" x14ac:dyDescent="0.25">
      <c r="H1200"/>
    </row>
    <row r="1201" spans="8:8" x14ac:dyDescent="0.25">
      <c r="H1201"/>
    </row>
    <row r="1202" spans="8:8" x14ac:dyDescent="0.25">
      <c r="H1202"/>
    </row>
    <row r="1203" spans="8:8" x14ac:dyDescent="0.25">
      <c r="H1203"/>
    </row>
    <row r="1204" spans="8:8" x14ac:dyDescent="0.25">
      <c r="H1204"/>
    </row>
    <row r="1205" spans="8:8" x14ac:dyDescent="0.25">
      <c r="H1205"/>
    </row>
    <row r="1206" spans="8:8" x14ac:dyDescent="0.25">
      <c r="H1206"/>
    </row>
    <row r="1207" spans="8:8" x14ac:dyDescent="0.25">
      <c r="H1207"/>
    </row>
    <row r="1208" spans="8:8" x14ac:dyDescent="0.25">
      <c r="H1208"/>
    </row>
    <row r="1209" spans="8:8" x14ac:dyDescent="0.25">
      <c r="H1209"/>
    </row>
  </sheetData>
  <hyperlinks>
    <hyperlink ref="F4" location="WORKLIGHTS" display="Change distributor discount for net prices" xr:uid="{4A4D4B23-269E-4FF2-8D1B-F2C97045FF51}"/>
    <hyperlink ref="F4:H4" location="'Price overview (EUR)'!A1" display="Change distributor discount for net prices" xr:uid="{24FA0E66-1378-45D5-B316-2A9641C7C50F}"/>
  </hyperlinks>
  <pageMargins left="0.7" right="0.7" top="0.75" bottom="0.75" header="0.3" footer="0.3"/>
  <pageSetup paperSize="9" scale="53" fitToHeight="0" orientation="portrait" horizontalDpi="1200" verticalDpi="120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74FE-20CC-45E0-B9E2-FE0B09C54DFF}">
  <sheetPr>
    <pageSetUpPr fitToPage="1"/>
  </sheetPr>
  <dimension ref="A1:V648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4.28515625" customWidth="1"/>
    <col min="2" max="2" width="12.28515625" style="23" bestFit="1" customWidth="1"/>
    <col min="3" max="3" width="38.140625" bestFit="1" customWidth="1"/>
    <col min="4" max="4" width="14.28515625" bestFit="1" customWidth="1"/>
    <col min="5" max="5" width="11.7109375" bestFit="1" customWidth="1"/>
    <col min="6" max="6" width="16.28515625" bestFit="1" customWidth="1"/>
    <col min="7" max="7" width="16.140625" bestFit="1" customWidth="1"/>
    <col min="8" max="8" width="15.42578125" style="1" customWidth="1"/>
    <col min="9" max="9" width="9.5703125" bestFit="1" customWidth="1"/>
    <col min="10" max="10" width="31.5703125" bestFit="1" customWidth="1"/>
    <col min="11" max="12" width="12.42578125" style="2" bestFit="1" customWidth="1"/>
    <col min="13" max="13" width="12.5703125" style="2" bestFit="1" customWidth="1"/>
    <col min="14" max="14" width="16.5703125" style="2" customWidth="1"/>
    <col min="15" max="15" width="16.28515625" style="2" customWidth="1"/>
    <col min="16" max="16" width="16.42578125" style="2" customWidth="1"/>
    <col min="17" max="17" width="12.28515625" bestFit="1" customWidth="1"/>
    <col min="18" max="18" width="20" style="2" customWidth="1"/>
    <col min="19" max="20" width="15.42578125" style="2" bestFit="1" customWidth="1"/>
    <col min="21" max="21" width="17.28515625" style="2" customWidth="1"/>
    <col min="22" max="22" width="18.140625" style="2" customWidth="1"/>
  </cols>
  <sheetData>
    <row r="1" spans="1:22" s="1" customFormat="1" x14ac:dyDescent="0.25">
      <c r="A1" s="1">
        <v>1</v>
      </c>
      <c r="B1" s="48">
        <v>2</v>
      </c>
      <c r="C1" s="1">
        <v>3</v>
      </c>
      <c r="D1" s="1">
        <v>4</v>
      </c>
      <c r="E1" s="1">
        <v>5</v>
      </c>
      <c r="F1" s="48">
        <v>6</v>
      </c>
      <c r="G1" s="1">
        <v>7</v>
      </c>
      <c r="H1" s="1">
        <v>8</v>
      </c>
      <c r="I1" s="1">
        <v>9</v>
      </c>
      <c r="J1" s="48">
        <v>10</v>
      </c>
      <c r="K1" s="107" t="s">
        <v>1419</v>
      </c>
      <c r="L1" s="107" t="s">
        <v>1420</v>
      </c>
      <c r="M1" s="107" t="s">
        <v>1421</v>
      </c>
      <c r="N1" s="107" t="s">
        <v>1422</v>
      </c>
      <c r="O1" s="107" t="s">
        <v>1423</v>
      </c>
      <c r="P1" s="107" t="s">
        <v>1424</v>
      </c>
      <c r="Q1" s="1">
        <v>17</v>
      </c>
      <c r="R1" s="112">
        <v>18</v>
      </c>
      <c r="S1" s="109">
        <v>18</v>
      </c>
      <c r="T1" s="109">
        <v>19</v>
      </c>
      <c r="U1" s="109">
        <v>20</v>
      </c>
      <c r="V1" s="109">
        <v>21</v>
      </c>
    </row>
    <row r="2" spans="1:22" x14ac:dyDescent="0.25">
      <c r="A2" t="s">
        <v>489</v>
      </c>
      <c r="B2" s="23" t="s">
        <v>488</v>
      </c>
      <c r="C2" s="62" t="s">
        <v>374</v>
      </c>
      <c r="D2" s="62" t="s">
        <v>487</v>
      </c>
      <c r="E2" s="62" t="s">
        <v>480</v>
      </c>
      <c r="F2" s="62" t="s">
        <v>898</v>
      </c>
      <c r="G2" s="62" t="s">
        <v>930</v>
      </c>
      <c r="H2" s="63" t="s">
        <v>375</v>
      </c>
      <c r="I2" s="62" t="s">
        <v>1168</v>
      </c>
      <c r="J2" s="62" t="s">
        <v>311</v>
      </c>
      <c r="K2" s="86" t="s">
        <v>1733</v>
      </c>
      <c r="L2" s="86" t="s">
        <v>1734</v>
      </c>
      <c r="M2" s="86" t="s">
        <v>1735</v>
      </c>
      <c r="N2" s="86" t="s">
        <v>1736</v>
      </c>
      <c r="O2" s="86" t="s">
        <v>1737</v>
      </c>
      <c r="P2" s="2" t="s">
        <v>1738</v>
      </c>
      <c r="Q2" t="s">
        <v>498</v>
      </c>
      <c r="R2" s="108" t="s">
        <v>1856</v>
      </c>
      <c r="S2" s="74" t="s">
        <v>1335</v>
      </c>
      <c r="T2" s="74" t="s">
        <v>1336</v>
      </c>
      <c r="U2" s="75" t="s">
        <v>1330</v>
      </c>
      <c r="V2" s="75" t="s">
        <v>1331</v>
      </c>
    </row>
    <row r="3" spans="1:22" x14ac:dyDescent="0.25">
      <c r="A3" s="23" t="s">
        <v>0</v>
      </c>
      <c r="B3" s="23" t="s">
        <v>0</v>
      </c>
      <c r="C3" t="s">
        <v>534</v>
      </c>
      <c r="D3" t="s">
        <v>305</v>
      </c>
      <c r="E3" t="s">
        <v>483</v>
      </c>
      <c r="F3" t="s">
        <v>918</v>
      </c>
      <c r="G3" t="s">
        <v>923</v>
      </c>
      <c r="H3" s="1" t="s">
        <v>312</v>
      </c>
      <c r="I3">
        <v>144</v>
      </c>
      <c r="J3" t="s">
        <v>546</v>
      </c>
      <c r="K3" s="2">
        <v>8.9</v>
      </c>
      <c r="L3" s="2">
        <v>69.900000000000006</v>
      </c>
      <c r="M3" s="2">
        <v>10.199999999999999</v>
      </c>
      <c r="N3" s="2">
        <f ca="1">Table1[[#This Row],[2026 (EUR)]]*(1-INDIRECT(Table1[[#This Row],[Discount Name]]))</f>
        <v>8.9</v>
      </c>
      <c r="O3" s="2">
        <f ca="1">Table1[[#This Row],[2026 (DKK)]]*(1-INDIRECT(Table1[[#This Row],[Discount Name]]))</f>
        <v>69.900000000000006</v>
      </c>
      <c r="P3" s="2" cm="1">
        <f t="array" aca="1" ref="P3" ca="1">Table1[[#This Row],[2026 (USD)]]*(1-INDIRECT(Table1[[#This Row],[Discount Name]]))</f>
        <v>10.199999999999999</v>
      </c>
      <c r="Q3" s="31">
        <f ca="1">INDIRECT(Table1[[#This Row],[Discount Name]])</f>
        <v>0</v>
      </c>
      <c r="S3" s="2">
        <f t="shared" ref="S3:S66" ca="1" si="0">IF(MAX(U3:U3)=0,+N3,MAX(U3:U3))</f>
        <v>8.9</v>
      </c>
      <c r="T3" s="2">
        <f t="shared" ref="T3:T66" ca="1" si="1">IF(MAX(V3:V3)=0,+O3,MAX(V3:V3))</f>
        <v>69.900000000000006</v>
      </c>
      <c r="U3" s="71" t="str">
        <f>IFERROR(VLOOKUP(Table1[[#This Row],[No_]],'Customer Net Price'!A:F,5,FALSE),"0")</f>
        <v>0</v>
      </c>
      <c r="V3" s="71" t="str">
        <f>IFERROR(VLOOKUP(Table1[[#This Row],[No_]],'Customer Net Price'!A:G,6,FALSE),"0")</f>
        <v>0</v>
      </c>
    </row>
    <row r="4" spans="1:22" x14ac:dyDescent="0.25">
      <c r="A4" s="23" t="s">
        <v>547</v>
      </c>
      <c r="B4" s="23" t="s">
        <v>547</v>
      </c>
      <c r="C4" t="s">
        <v>548</v>
      </c>
      <c r="D4" t="s">
        <v>305</v>
      </c>
      <c r="E4" t="s">
        <v>483</v>
      </c>
      <c r="F4" t="s">
        <v>916</v>
      </c>
      <c r="G4" t="s">
        <v>916</v>
      </c>
      <c r="H4" s="1" t="s">
        <v>549</v>
      </c>
      <c r="I4">
        <v>144</v>
      </c>
      <c r="J4" t="s">
        <v>546</v>
      </c>
      <c r="K4" s="2">
        <v>14.9</v>
      </c>
      <c r="L4" s="2">
        <v>110.9</v>
      </c>
      <c r="M4" s="2">
        <v>17.899999999999999</v>
      </c>
      <c r="N4" s="2">
        <f ca="1">Table1[[#This Row],[2026 (EUR)]]*(1-INDIRECT(Table1[[#This Row],[Discount Name]]))</f>
        <v>14.9</v>
      </c>
      <c r="O4" s="2">
        <f ca="1">Table1[[#This Row],[2026 (DKK)]]*(1-INDIRECT(Table1[[#This Row],[Discount Name]]))</f>
        <v>110.9</v>
      </c>
      <c r="P4" s="2" cm="1">
        <f t="array" aca="1" ref="P4" ca="1">Table1[[#This Row],[2026 (USD)]]*(1-INDIRECT(Table1[[#This Row],[Discount Name]]))</f>
        <v>17.899999999999999</v>
      </c>
      <c r="Q4" s="31">
        <f ca="1">INDIRECT(Table1[[#This Row],[Discount Name]])</f>
        <v>0</v>
      </c>
      <c r="S4" s="2">
        <f t="shared" ca="1" si="0"/>
        <v>14.9</v>
      </c>
      <c r="T4" s="2">
        <f t="shared" ca="1" si="1"/>
        <v>110.9</v>
      </c>
      <c r="U4" s="71" t="str">
        <f>IFERROR(VLOOKUP(Table1[[#This Row],[No_]],'Customer Net Price'!A:F,5,FALSE),"0")</f>
        <v>0</v>
      </c>
      <c r="V4" s="71" t="str">
        <f>IFERROR(VLOOKUP(Table1[[#This Row],[No_]],'Customer Net Price'!A:G,6,FALSE),"0")</f>
        <v>0</v>
      </c>
    </row>
    <row r="5" spans="1:22" x14ac:dyDescent="0.25">
      <c r="A5" t="s">
        <v>1227</v>
      </c>
      <c r="B5" s="23" t="s">
        <v>1227</v>
      </c>
      <c r="C5" t="s">
        <v>548</v>
      </c>
      <c r="D5" t="s">
        <v>305</v>
      </c>
      <c r="E5" t="s">
        <v>483</v>
      </c>
      <c r="F5" t="s">
        <v>916</v>
      </c>
      <c r="G5" t="s">
        <v>916</v>
      </c>
      <c r="H5" s="42" t="s">
        <v>1281</v>
      </c>
      <c r="I5">
        <v>144</v>
      </c>
      <c r="J5" t="s">
        <v>546</v>
      </c>
      <c r="K5" s="2">
        <v>14.9</v>
      </c>
      <c r="L5" s="2">
        <v>109.9</v>
      </c>
      <c r="M5" s="2">
        <v>16.899999999999999</v>
      </c>
      <c r="N5" s="2">
        <f ca="1">Table1[[#This Row],[2026 (EUR)]]*(1-INDIRECT(Table1[[#This Row],[Discount Name]]))</f>
        <v>14.9</v>
      </c>
      <c r="O5" s="2">
        <f ca="1">Table1[[#This Row],[2026 (DKK)]]*(1-INDIRECT(Table1[[#This Row],[Discount Name]]))</f>
        <v>109.9</v>
      </c>
      <c r="P5" s="2" cm="1">
        <f t="array" aca="1" ref="P5" ca="1">Table1[[#This Row],[2026 (USD)]]*(1-INDIRECT(Table1[[#This Row],[Discount Name]]))</f>
        <v>16.899999999999999</v>
      </c>
      <c r="Q5" s="31">
        <f ca="1">INDIRECT(Table1[[#This Row],[Discount Name]])</f>
        <v>0</v>
      </c>
      <c r="S5" s="2">
        <f t="shared" ca="1" si="0"/>
        <v>14.9</v>
      </c>
      <c r="T5" s="2">
        <f t="shared" ca="1" si="1"/>
        <v>109.9</v>
      </c>
      <c r="U5" s="71" t="str">
        <f>IFERROR(VLOOKUP(Table1[[#This Row],[No_]],'Customer Net Price'!A:F,5,FALSE),"0")</f>
        <v>0</v>
      </c>
      <c r="V5" s="71" t="str">
        <f>IFERROR(VLOOKUP(Table1[[#This Row],[No_]],'Customer Net Price'!A:G,6,FALSE),"0")</f>
        <v>0</v>
      </c>
    </row>
    <row r="6" spans="1:22" x14ac:dyDescent="0.25">
      <c r="A6" s="23" t="s">
        <v>41</v>
      </c>
      <c r="B6" s="23" t="s">
        <v>41</v>
      </c>
      <c r="C6" t="s">
        <v>164</v>
      </c>
      <c r="D6" t="s">
        <v>305</v>
      </c>
      <c r="E6" t="s">
        <v>199</v>
      </c>
      <c r="F6" t="s">
        <v>916</v>
      </c>
      <c r="G6" t="s">
        <v>916</v>
      </c>
      <c r="H6" s="1" t="s">
        <v>313</v>
      </c>
      <c r="I6">
        <v>24</v>
      </c>
      <c r="J6" t="s">
        <v>546</v>
      </c>
      <c r="K6" s="2">
        <v>37.9</v>
      </c>
      <c r="L6" s="2">
        <v>279.89999999999998</v>
      </c>
      <c r="M6" s="2">
        <v>46.9</v>
      </c>
      <c r="N6" s="2">
        <f ca="1">Table1[[#This Row],[2026 (EUR)]]*(1-INDIRECT(Table1[[#This Row],[Discount Name]]))</f>
        <v>37.9</v>
      </c>
      <c r="O6" s="2">
        <f ca="1">Table1[[#This Row],[2026 (DKK)]]*(1-INDIRECT(Table1[[#This Row],[Discount Name]]))</f>
        <v>279.89999999999998</v>
      </c>
      <c r="P6" s="2" cm="1">
        <f t="array" aca="1" ref="P6" ca="1">Table1[[#This Row],[2026 (USD)]]*(1-INDIRECT(Table1[[#This Row],[Discount Name]]))</f>
        <v>46.9</v>
      </c>
      <c r="Q6" s="31">
        <f ca="1">INDIRECT(Table1[[#This Row],[Discount Name]])</f>
        <v>0</v>
      </c>
      <c r="S6" s="2">
        <f t="shared" ca="1" si="0"/>
        <v>37.9</v>
      </c>
      <c r="T6" s="2">
        <f t="shared" ca="1" si="1"/>
        <v>279.89999999999998</v>
      </c>
      <c r="U6" s="71" t="str">
        <f>IFERROR(VLOOKUP(Table1[[#This Row],[No_]],'Customer Net Price'!A:F,5,FALSE),"0")</f>
        <v>0</v>
      </c>
      <c r="V6" s="71" t="str">
        <f>IFERROR(VLOOKUP(Table1[[#This Row],[No_]],'Customer Net Price'!A:G,6,FALSE),"0")</f>
        <v>0</v>
      </c>
    </row>
    <row r="7" spans="1:22" x14ac:dyDescent="0.25">
      <c r="A7" s="23" t="s">
        <v>30</v>
      </c>
      <c r="B7" s="23" t="s">
        <v>30</v>
      </c>
      <c r="C7" t="s">
        <v>216</v>
      </c>
      <c r="D7" t="s">
        <v>309</v>
      </c>
      <c r="F7" t="s">
        <v>920</v>
      </c>
      <c r="G7" t="s">
        <v>920</v>
      </c>
      <c r="H7" s="1" t="s">
        <v>370</v>
      </c>
      <c r="I7">
        <v>50</v>
      </c>
      <c r="J7" t="s">
        <v>546</v>
      </c>
      <c r="K7" s="2">
        <v>42.9</v>
      </c>
      <c r="L7" s="2">
        <v>319.89999999999998</v>
      </c>
      <c r="M7" s="2">
        <v>48.9</v>
      </c>
      <c r="N7" s="2">
        <f ca="1">Table1[[#This Row],[2026 (EUR)]]*(1-INDIRECT(Table1[[#This Row],[Discount Name]]))</f>
        <v>42.9</v>
      </c>
      <c r="O7" s="2">
        <f ca="1">Table1[[#This Row],[2026 (DKK)]]*(1-INDIRECT(Table1[[#This Row],[Discount Name]]))</f>
        <v>319.89999999999998</v>
      </c>
      <c r="P7" s="2" cm="1">
        <f t="array" aca="1" ref="P7" ca="1">Table1[[#This Row],[2026 (USD)]]*(1-INDIRECT(Table1[[#This Row],[Discount Name]]))</f>
        <v>48.9</v>
      </c>
      <c r="Q7" s="31">
        <f ca="1">INDIRECT(Table1[[#This Row],[Discount Name]])</f>
        <v>0</v>
      </c>
      <c r="S7" s="2">
        <f t="shared" ca="1" si="0"/>
        <v>42.9</v>
      </c>
      <c r="T7" s="2">
        <f t="shared" ca="1" si="1"/>
        <v>319.89999999999998</v>
      </c>
      <c r="U7" s="71" t="str">
        <f>IFERROR(VLOOKUP(Table1[[#This Row],[No_]],'Customer Net Price'!A:F,5,FALSE),"0")</f>
        <v>0</v>
      </c>
      <c r="V7" s="71" t="str">
        <f>IFERROR(VLOOKUP(Table1[[#This Row],[No_]],'Customer Net Price'!A:G,6,FALSE),"0")</f>
        <v>0</v>
      </c>
    </row>
    <row r="8" spans="1:22" x14ac:dyDescent="0.25">
      <c r="A8" s="23" t="s">
        <v>550</v>
      </c>
      <c r="B8" s="23" t="s">
        <v>550</v>
      </c>
      <c r="C8" t="s">
        <v>551</v>
      </c>
      <c r="D8" t="s">
        <v>1778</v>
      </c>
      <c r="E8" t="s">
        <v>546</v>
      </c>
      <c r="F8" t="s">
        <v>918</v>
      </c>
      <c r="G8" t="s">
        <v>923</v>
      </c>
      <c r="H8" s="1" t="s">
        <v>552</v>
      </c>
      <c r="I8" t="s">
        <v>546</v>
      </c>
      <c r="J8" t="s">
        <v>546</v>
      </c>
      <c r="K8" s="2">
        <v>3.8000000000000003</v>
      </c>
      <c r="L8" s="2">
        <v>27.9</v>
      </c>
      <c r="M8" s="2">
        <v>3.9</v>
      </c>
      <c r="N8" s="2">
        <f ca="1">Table1[[#This Row],[2026 (EUR)]]*(1-INDIRECT(Table1[[#This Row],[Discount Name]]))</f>
        <v>3.8000000000000003</v>
      </c>
      <c r="O8" s="2">
        <f ca="1">Table1[[#This Row],[2026 (DKK)]]*(1-INDIRECT(Table1[[#This Row],[Discount Name]]))</f>
        <v>27.9</v>
      </c>
      <c r="P8" s="2" cm="1">
        <f t="array" aca="1" ref="P8" ca="1">Table1[[#This Row],[2026 (USD)]]*(1-INDIRECT(Table1[[#This Row],[Discount Name]]))</f>
        <v>3.9</v>
      </c>
      <c r="Q8" s="31">
        <f ca="1">INDIRECT(Table1[[#This Row],[Discount Name]])</f>
        <v>0</v>
      </c>
      <c r="S8" s="2">
        <f t="shared" ca="1" si="0"/>
        <v>3.8000000000000003</v>
      </c>
      <c r="T8" s="2">
        <f t="shared" ca="1" si="1"/>
        <v>27.9</v>
      </c>
      <c r="U8" s="71" t="str">
        <f>IFERROR(VLOOKUP(Table1[[#This Row],[No_]],'Customer Net Price'!A:F,5,FALSE),"0")</f>
        <v>0</v>
      </c>
      <c r="V8" s="71" t="str">
        <f>IFERROR(VLOOKUP(Table1[[#This Row],[No_]],'Customer Net Price'!A:G,6,FALSE),"0")</f>
        <v>0</v>
      </c>
    </row>
    <row r="9" spans="1:22" x14ac:dyDescent="0.25">
      <c r="A9" s="23" t="s">
        <v>553</v>
      </c>
      <c r="B9" s="23" t="s">
        <v>553</v>
      </c>
      <c r="C9" t="s">
        <v>554</v>
      </c>
      <c r="D9" t="s">
        <v>1778</v>
      </c>
      <c r="E9" t="s">
        <v>546</v>
      </c>
      <c r="F9" t="s">
        <v>918</v>
      </c>
      <c r="G9" t="s">
        <v>923</v>
      </c>
      <c r="H9" s="1" t="s">
        <v>555</v>
      </c>
      <c r="I9" t="s">
        <v>546</v>
      </c>
      <c r="J9" t="s">
        <v>546</v>
      </c>
      <c r="K9" s="2">
        <v>21.9</v>
      </c>
      <c r="L9" s="2">
        <v>162.9</v>
      </c>
      <c r="M9" s="2">
        <v>23.9</v>
      </c>
      <c r="N9" s="2">
        <f ca="1">Table1[[#This Row],[2026 (EUR)]]*(1-INDIRECT(Table1[[#This Row],[Discount Name]]))</f>
        <v>21.9</v>
      </c>
      <c r="O9" s="2">
        <f ca="1">Table1[[#This Row],[2026 (DKK)]]*(1-INDIRECT(Table1[[#This Row],[Discount Name]]))</f>
        <v>162.9</v>
      </c>
      <c r="P9" s="2" cm="1">
        <f t="array" aca="1" ref="P9" ca="1">Table1[[#This Row],[2026 (USD)]]*(1-INDIRECT(Table1[[#This Row],[Discount Name]]))</f>
        <v>23.9</v>
      </c>
      <c r="Q9" s="31">
        <f ca="1">INDIRECT(Table1[[#This Row],[Discount Name]])</f>
        <v>0</v>
      </c>
      <c r="S9" s="2">
        <f t="shared" ca="1" si="0"/>
        <v>21.9</v>
      </c>
      <c r="T9" s="2">
        <f t="shared" ca="1" si="1"/>
        <v>162.9</v>
      </c>
      <c r="U9" s="71" t="str">
        <f>IFERROR(VLOOKUP(Table1[[#This Row],[No_]],'Customer Net Price'!A:F,5,FALSE),"0")</f>
        <v>0</v>
      </c>
      <c r="V9" s="71" t="str">
        <f>IFERROR(VLOOKUP(Table1[[#This Row],[No_]],'Customer Net Price'!A:G,6,FALSE),"0")</f>
        <v>0</v>
      </c>
    </row>
    <row r="10" spans="1:22" x14ac:dyDescent="0.25">
      <c r="A10" s="23" t="s">
        <v>556</v>
      </c>
      <c r="B10" s="23" t="s">
        <v>556</v>
      </c>
      <c r="C10" t="s">
        <v>557</v>
      </c>
      <c r="D10" t="s">
        <v>1778</v>
      </c>
      <c r="E10" t="s">
        <v>546</v>
      </c>
      <c r="F10" t="s">
        <v>918</v>
      </c>
      <c r="G10" t="s">
        <v>923</v>
      </c>
      <c r="H10" s="1" t="s">
        <v>558</v>
      </c>
      <c r="I10" t="s">
        <v>546</v>
      </c>
      <c r="J10" t="s">
        <v>546</v>
      </c>
      <c r="K10" s="2">
        <v>12.9</v>
      </c>
      <c r="L10" s="2">
        <v>95.9</v>
      </c>
      <c r="M10" s="2">
        <v>13.9</v>
      </c>
      <c r="N10" s="2">
        <f ca="1">Table1[[#This Row],[2026 (EUR)]]*(1-INDIRECT(Table1[[#This Row],[Discount Name]]))</f>
        <v>12.9</v>
      </c>
      <c r="O10" s="2">
        <f ca="1">Table1[[#This Row],[2026 (DKK)]]*(1-INDIRECT(Table1[[#This Row],[Discount Name]]))</f>
        <v>95.9</v>
      </c>
      <c r="P10" s="2" cm="1">
        <f t="array" aca="1" ref="P10" ca="1">Table1[[#This Row],[2026 (USD)]]*(1-INDIRECT(Table1[[#This Row],[Discount Name]]))</f>
        <v>13.9</v>
      </c>
      <c r="Q10" s="31">
        <f ca="1">INDIRECT(Table1[[#This Row],[Discount Name]])</f>
        <v>0</v>
      </c>
      <c r="S10" s="2">
        <f t="shared" ca="1" si="0"/>
        <v>12.9</v>
      </c>
      <c r="T10" s="2">
        <f t="shared" ca="1" si="1"/>
        <v>95.9</v>
      </c>
      <c r="U10" s="71" t="str">
        <f>IFERROR(VLOOKUP(Table1[[#This Row],[No_]],'Customer Net Price'!A:F,5,FALSE),"0")</f>
        <v>0</v>
      </c>
      <c r="V10" s="71" t="str">
        <f>IFERROR(VLOOKUP(Table1[[#This Row],[No_]],'Customer Net Price'!A:G,6,FALSE),"0")</f>
        <v>0</v>
      </c>
    </row>
    <row r="11" spans="1:22" x14ac:dyDescent="0.25">
      <c r="A11" s="23" t="s">
        <v>120</v>
      </c>
      <c r="B11" s="23" t="s">
        <v>120</v>
      </c>
      <c r="C11" t="s">
        <v>217</v>
      </c>
      <c r="D11" t="s">
        <v>309</v>
      </c>
      <c r="F11" t="s">
        <v>920</v>
      </c>
      <c r="G11" t="s">
        <v>920</v>
      </c>
      <c r="H11" s="1" t="s">
        <v>371</v>
      </c>
      <c r="I11">
        <v>50</v>
      </c>
      <c r="J11" t="s">
        <v>546</v>
      </c>
      <c r="K11" s="2">
        <v>54.9</v>
      </c>
      <c r="L11" s="2">
        <v>409.9</v>
      </c>
      <c r="M11" s="2">
        <v>59.9</v>
      </c>
      <c r="N11" s="2">
        <f ca="1">Table1[[#This Row],[2026 (EUR)]]*(1-INDIRECT(Table1[[#This Row],[Discount Name]]))</f>
        <v>54.9</v>
      </c>
      <c r="O11" s="2">
        <f ca="1">Table1[[#This Row],[2026 (DKK)]]*(1-INDIRECT(Table1[[#This Row],[Discount Name]]))</f>
        <v>409.9</v>
      </c>
      <c r="P11" s="2" cm="1">
        <f t="array" aca="1" ref="P11" ca="1">Table1[[#This Row],[2026 (USD)]]*(1-INDIRECT(Table1[[#This Row],[Discount Name]]))</f>
        <v>59.9</v>
      </c>
      <c r="Q11" s="31">
        <f ca="1">INDIRECT(Table1[[#This Row],[Discount Name]])</f>
        <v>0</v>
      </c>
      <c r="S11" s="2">
        <f t="shared" ca="1" si="0"/>
        <v>54.9</v>
      </c>
      <c r="T11" s="2">
        <f t="shared" ca="1" si="1"/>
        <v>409.9</v>
      </c>
      <c r="U11" s="71" t="str">
        <f>IFERROR(VLOOKUP(Table1[[#This Row],[No_]],'Customer Net Price'!A:F,5,FALSE),"0")</f>
        <v>0</v>
      </c>
      <c r="V11" s="71" t="str">
        <f>IFERROR(VLOOKUP(Table1[[#This Row],[No_]],'Customer Net Price'!A:G,6,FALSE),"0")</f>
        <v>0</v>
      </c>
    </row>
    <row r="12" spans="1:22" x14ac:dyDescent="0.25">
      <c r="A12" s="23" t="s">
        <v>559</v>
      </c>
      <c r="B12" s="23" t="s">
        <v>559</v>
      </c>
      <c r="C12" t="s">
        <v>560</v>
      </c>
      <c r="D12" t="s">
        <v>1778</v>
      </c>
      <c r="E12" t="s">
        <v>546</v>
      </c>
      <c r="F12" t="s">
        <v>918</v>
      </c>
      <c r="G12" t="s">
        <v>923</v>
      </c>
      <c r="H12" s="48" t="s">
        <v>561</v>
      </c>
      <c r="I12" t="s">
        <v>546</v>
      </c>
      <c r="J12" t="s">
        <v>546</v>
      </c>
      <c r="K12" s="2">
        <v>10.9</v>
      </c>
      <c r="L12" s="2">
        <v>80.900000000000006</v>
      </c>
      <c r="M12" s="2">
        <v>11.9</v>
      </c>
      <c r="N12" s="2">
        <f ca="1">Table1[[#This Row],[2026 (EUR)]]*(1-INDIRECT(Table1[[#This Row],[Discount Name]]))</f>
        <v>10.9</v>
      </c>
      <c r="O12" s="2">
        <f ca="1">Table1[[#This Row],[2026 (DKK)]]*(1-INDIRECT(Table1[[#This Row],[Discount Name]]))</f>
        <v>80.900000000000006</v>
      </c>
      <c r="P12" s="2" cm="1">
        <f t="array" aca="1" ref="P12" ca="1">Table1[[#This Row],[2026 (USD)]]*(1-INDIRECT(Table1[[#This Row],[Discount Name]]))</f>
        <v>11.9</v>
      </c>
      <c r="Q12" s="31">
        <f ca="1">INDIRECT(Table1[[#This Row],[Discount Name]])</f>
        <v>0</v>
      </c>
      <c r="S12" s="2">
        <f t="shared" ca="1" si="0"/>
        <v>10.9</v>
      </c>
      <c r="T12" s="2">
        <f t="shared" ca="1" si="1"/>
        <v>80.900000000000006</v>
      </c>
      <c r="U12" s="71" t="str">
        <f>IFERROR(VLOOKUP(Table1[[#This Row],[No_]],'Customer Net Price'!A:F,5,FALSE),"0")</f>
        <v>0</v>
      </c>
      <c r="V12" s="71" t="str">
        <f>IFERROR(VLOOKUP(Table1[[#This Row],[No_]],'Customer Net Price'!A:G,6,FALSE),"0")</f>
        <v>0</v>
      </c>
    </row>
    <row r="13" spans="1:22" x14ac:dyDescent="0.25">
      <c r="A13" s="23" t="s">
        <v>563</v>
      </c>
      <c r="B13" s="23" t="s">
        <v>563</v>
      </c>
      <c r="C13" t="s">
        <v>564</v>
      </c>
      <c r="D13" t="s">
        <v>1778</v>
      </c>
      <c r="E13" t="s">
        <v>546</v>
      </c>
      <c r="F13" t="s">
        <v>918</v>
      </c>
      <c r="G13" t="s">
        <v>923</v>
      </c>
      <c r="H13" s="1" t="s">
        <v>835</v>
      </c>
      <c r="I13" t="s">
        <v>546</v>
      </c>
      <c r="J13" t="s">
        <v>546</v>
      </c>
      <c r="K13" s="2">
        <v>4.3</v>
      </c>
      <c r="L13" s="2">
        <v>31.9</v>
      </c>
      <c r="M13" s="2">
        <v>4.9000000000000004</v>
      </c>
      <c r="N13" s="2">
        <f ca="1">Table1[[#This Row],[2026 (EUR)]]*(1-INDIRECT(Table1[[#This Row],[Discount Name]]))</f>
        <v>4.3</v>
      </c>
      <c r="O13" s="2">
        <f ca="1">Table1[[#This Row],[2026 (DKK)]]*(1-INDIRECT(Table1[[#This Row],[Discount Name]]))</f>
        <v>31.9</v>
      </c>
      <c r="P13" s="2" cm="1">
        <f t="array" aca="1" ref="P13" ca="1">Table1[[#This Row],[2026 (USD)]]*(1-INDIRECT(Table1[[#This Row],[Discount Name]]))</f>
        <v>4.9000000000000004</v>
      </c>
      <c r="Q13" s="31">
        <f ca="1">INDIRECT(Table1[[#This Row],[Discount Name]])</f>
        <v>0</v>
      </c>
      <c r="S13" s="2">
        <f t="shared" ca="1" si="0"/>
        <v>4.3</v>
      </c>
      <c r="T13" s="2">
        <f t="shared" ca="1" si="1"/>
        <v>31.9</v>
      </c>
      <c r="U13" s="71" t="str">
        <f>IFERROR(VLOOKUP(Table1[[#This Row],[No_]],'Customer Net Price'!A:F,5,FALSE),"0")</f>
        <v>0</v>
      </c>
      <c r="V13" s="71" t="str">
        <f>IFERROR(VLOOKUP(Table1[[#This Row],[No_]],'Customer Net Price'!A:G,6,FALSE),"0")</f>
        <v>0</v>
      </c>
    </row>
    <row r="14" spans="1:22" x14ac:dyDescent="0.25">
      <c r="A14" s="23" t="s">
        <v>4</v>
      </c>
      <c r="B14" s="23" t="s">
        <v>4</v>
      </c>
      <c r="C14" t="s">
        <v>166</v>
      </c>
      <c r="D14" t="s">
        <v>305</v>
      </c>
      <c r="E14" t="s">
        <v>483</v>
      </c>
      <c r="F14" t="s">
        <v>916</v>
      </c>
      <c r="G14" t="s">
        <v>916</v>
      </c>
      <c r="H14" s="1" t="s">
        <v>314</v>
      </c>
      <c r="I14">
        <v>48</v>
      </c>
      <c r="J14" t="s">
        <v>546</v>
      </c>
      <c r="K14" s="2">
        <v>29.9</v>
      </c>
      <c r="L14" s="2">
        <v>222.9</v>
      </c>
      <c r="M14" s="2">
        <v>36.9</v>
      </c>
      <c r="N14" s="2">
        <f ca="1">Table1[[#This Row],[2026 (EUR)]]*(1-INDIRECT(Table1[[#This Row],[Discount Name]]))</f>
        <v>29.9</v>
      </c>
      <c r="O14" s="2">
        <f ca="1">Table1[[#This Row],[2026 (DKK)]]*(1-INDIRECT(Table1[[#This Row],[Discount Name]]))</f>
        <v>222.9</v>
      </c>
      <c r="P14" s="2" cm="1">
        <f t="array" aca="1" ref="P14" ca="1">Table1[[#This Row],[2026 (USD)]]*(1-INDIRECT(Table1[[#This Row],[Discount Name]]))</f>
        <v>36.9</v>
      </c>
      <c r="Q14" s="31">
        <f ca="1">INDIRECT(Table1[[#This Row],[Discount Name]])</f>
        <v>0</v>
      </c>
      <c r="S14" s="2">
        <f t="shared" ca="1" si="0"/>
        <v>29.9</v>
      </c>
      <c r="T14" s="2">
        <f t="shared" ca="1" si="1"/>
        <v>222.9</v>
      </c>
      <c r="U14" s="71" t="str">
        <f>IFERROR(VLOOKUP(Table1[[#This Row],[No_]],'Customer Net Price'!A:F,5,FALSE),"0")</f>
        <v>0</v>
      </c>
      <c r="V14" s="71" t="str">
        <f>IFERROR(VLOOKUP(Table1[[#This Row],[No_]],'Customer Net Price'!A:G,6,FALSE),"0")</f>
        <v>0</v>
      </c>
    </row>
    <row r="15" spans="1:22" x14ac:dyDescent="0.25">
      <c r="A15" s="23" t="s">
        <v>565</v>
      </c>
      <c r="B15" s="23" t="s">
        <v>565</v>
      </c>
      <c r="C15" t="s">
        <v>566</v>
      </c>
      <c r="D15" t="s">
        <v>1778</v>
      </c>
      <c r="E15" t="s">
        <v>546</v>
      </c>
      <c r="F15" t="s">
        <v>918</v>
      </c>
      <c r="G15" t="s">
        <v>923</v>
      </c>
      <c r="H15" s="1" t="s">
        <v>836</v>
      </c>
      <c r="I15" t="s">
        <v>546</v>
      </c>
      <c r="J15" t="s">
        <v>546</v>
      </c>
      <c r="K15" s="2">
        <v>19.3</v>
      </c>
      <c r="L15" s="2">
        <v>143.9</v>
      </c>
      <c r="M15" s="2">
        <v>21.9</v>
      </c>
      <c r="N15" s="2">
        <f ca="1">Table1[[#This Row],[2026 (EUR)]]*(1-INDIRECT(Table1[[#This Row],[Discount Name]]))</f>
        <v>19.3</v>
      </c>
      <c r="O15" s="2">
        <f ca="1">Table1[[#This Row],[2026 (DKK)]]*(1-INDIRECT(Table1[[#This Row],[Discount Name]]))</f>
        <v>143.9</v>
      </c>
      <c r="P15" s="2" cm="1">
        <f t="array" aca="1" ref="P15" ca="1">Table1[[#This Row],[2026 (USD)]]*(1-INDIRECT(Table1[[#This Row],[Discount Name]]))</f>
        <v>21.9</v>
      </c>
      <c r="Q15" s="31">
        <f ca="1">INDIRECT(Table1[[#This Row],[Discount Name]])</f>
        <v>0</v>
      </c>
      <c r="S15" s="2">
        <f t="shared" ca="1" si="0"/>
        <v>19.3</v>
      </c>
      <c r="T15" s="2">
        <f t="shared" ca="1" si="1"/>
        <v>143.9</v>
      </c>
      <c r="U15" s="71" t="str">
        <f>IFERROR(VLOOKUP(Table1[[#This Row],[No_]],'Customer Net Price'!A:F,5,FALSE),"0")</f>
        <v>0</v>
      </c>
      <c r="V15" s="71" t="str">
        <f>IFERROR(VLOOKUP(Table1[[#This Row],[No_]],'Customer Net Price'!A:G,6,FALSE),"0")</f>
        <v>0</v>
      </c>
    </row>
    <row r="16" spans="1:22" x14ac:dyDescent="0.25">
      <c r="A16" s="23" t="s">
        <v>501</v>
      </c>
      <c r="B16" s="23" t="s">
        <v>501</v>
      </c>
      <c r="C16" t="s">
        <v>502</v>
      </c>
      <c r="D16" t="s">
        <v>305</v>
      </c>
      <c r="E16" t="s">
        <v>483</v>
      </c>
      <c r="F16" t="s">
        <v>916</v>
      </c>
      <c r="G16" t="s">
        <v>916</v>
      </c>
      <c r="H16" s="1" t="s">
        <v>503</v>
      </c>
      <c r="I16">
        <v>24</v>
      </c>
      <c r="J16" t="s">
        <v>546</v>
      </c>
      <c r="K16" s="2">
        <v>29.9</v>
      </c>
      <c r="L16" s="2">
        <v>219.89999999999998</v>
      </c>
      <c r="M16" s="2">
        <v>35.9</v>
      </c>
      <c r="N16" s="2">
        <f ca="1">Table1[[#This Row],[2026 (EUR)]]*(1-INDIRECT(Table1[[#This Row],[Discount Name]]))</f>
        <v>29.9</v>
      </c>
      <c r="O16" s="2">
        <f ca="1">Table1[[#This Row],[2026 (DKK)]]*(1-INDIRECT(Table1[[#This Row],[Discount Name]]))</f>
        <v>219.89999999999998</v>
      </c>
      <c r="P16" s="2" cm="1">
        <f t="array" aca="1" ref="P16" ca="1">Table1[[#This Row],[2026 (USD)]]*(1-INDIRECT(Table1[[#This Row],[Discount Name]]))</f>
        <v>35.9</v>
      </c>
      <c r="Q16" s="31">
        <f ca="1">INDIRECT(Table1[[#This Row],[Discount Name]])</f>
        <v>0</v>
      </c>
      <c r="S16" s="2">
        <f t="shared" ca="1" si="0"/>
        <v>29.9</v>
      </c>
      <c r="T16" s="2">
        <f t="shared" ca="1" si="1"/>
        <v>219.89999999999998</v>
      </c>
      <c r="U16" s="71" t="str">
        <f>IFERROR(VLOOKUP(Table1[[#This Row],[No_]],'Customer Net Price'!A:F,5,FALSE),"0")</f>
        <v>0</v>
      </c>
      <c r="V16" s="71" t="str">
        <f>IFERROR(VLOOKUP(Table1[[#This Row],[No_]],'Customer Net Price'!A:G,6,FALSE),"0")</f>
        <v>0</v>
      </c>
    </row>
    <row r="17" spans="1:22" x14ac:dyDescent="0.25">
      <c r="A17" s="23" t="s">
        <v>1263</v>
      </c>
      <c r="B17" s="23" t="s">
        <v>1263</v>
      </c>
      <c r="C17" t="s">
        <v>502</v>
      </c>
      <c r="D17" t="s">
        <v>305</v>
      </c>
      <c r="E17" t="s">
        <v>483</v>
      </c>
      <c r="F17" t="s">
        <v>916</v>
      </c>
      <c r="G17" t="s">
        <v>916</v>
      </c>
      <c r="H17" s="23" t="s">
        <v>1283</v>
      </c>
      <c r="I17">
        <v>24</v>
      </c>
      <c r="J17" t="s">
        <v>546</v>
      </c>
      <c r="K17" s="2">
        <v>29.9</v>
      </c>
      <c r="L17" s="2">
        <v>219.9</v>
      </c>
      <c r="M17" s="2">
        <v>35.9</v>
      </c>
      <c r="N17" s="2">
        <f ca="1">Table1[[#This Row],[2026 (EUR)]]*(1-INDIRECT(Table1[[#This Row],[Discount Name]]))</f>
        <v>29.9</v>
      </c>
      <c r="O17" s="2">
        <f ca="1">Table1[[#This Row],[2026 (DKK)]]*(1-INDIRECT(Table1[[#This Row],[Discount Name]]))</f>
        <v>219.9</v>
      </c>
      <c r="P17" s="2" cm="1">
        <f t="array" aca="1" ref="P17" ca="1">Table1[[#This Row],[2026 (USD)]]*(1-INDIRECT(Table1[[#This Row],[Discount Name]]))</f>
        <v>35.9</v>
      </c>
      <c r="Q17" s="31">
        <f ca="1">INDIRECT(Table1[[#This Row],[Discount Name]])</f>
        <v>0</v>
      </c>
      <c r="S17" s="2">
        <f t="shared" ca="1" si="0"/>
        <v>29.9</v>
      </c>
      <c r="T17" s="2">
        <f t="shared" ca="1" si="1"/>
        <v>219.9</v>
      </c>
      <c r="U17" s="71" t="str">
        <f>IFERROR(VLOOKUP(Table1[[#This Row],[No_]],'Customer Net Price'!A:F,5,FALSE),"0")</f>
        <v>0</v>
      </c>
      <c r="V17" s="71" t="str">
        <f>IFERROR(VLOOKUP(Table1[[#This Row],[No_]],'Customer Net Price'!A:G,6,FALSE),"0")</f>
        <v>0</v>
      </c>
    </row>
    <row r="18" spans="1:22" x14ac:dyDescent="0.25">
      <c r="A18" s="23" t="s">
        <v>567</v>
      </c>
      <c r="B18" s="23" t="s">
        <v>567</v>
      </c>
      <c r="C18" t="s">
        <v>568</v>
      </c>
      <c r="D18" t="s">
        <v>1778</v>
      </c>
      <c r="E18" t="s">
        <v>546</v>
      </c>
      <c r="F18" t="s">
        <v>918</v>
      </c>
      <c r="G18" t="s">
        <v>923</v>
      </c>
      <c r="H18" s="1" t="s">
        <v>569</v>
      </c>
      <c r="I18" t="s">
        <v>546</v>
      </c>
      <c r="J18" t="s">
        <v>546</v>
      </c>
      <c r="K18" s="2">
        <v>15.9</v>
      </c>
      <c r="L18" s="2">
        <v>117.9</v>
      </c>
      <c r="M18" s="2">
        <v>17.899999999999999</v>
      </c>
      <c r="N18" s="2">
        <f ca="1">Table1[[#This Row],[2026 (EUR)]]*(1-INDIRECT(Table1[[#This Row],[Discount Name]]))</f>
        <v>15.9</v>
      </c>
      <c r="O18" s="2">
        <f ca="1">Table1[[#This Row],[2026 (DKK)]]*(1-INDIRECT(Table1[[#This Row],[Discount Name]]))</f>
        <v>117.9</v>
      </c>
      <c r="P18" s="2" cm="1">
        <f t="array" aca="1" ref="P18" ca="1">Table1[[#This Row],[2026 (USD)]]*(1-INDIRECT(Table1[[#This Row],[Discount Name]]))</f>
        <v>17.899999999999999</v>
      </c>
      <c r="Q18" s="31">
        <f ca="1">INDIRECT(Table1[[#This Row],[Discount Name]])</f>
        <v>0</v>
      </c>
      <c r="S18" s="2">
        <f t="shared" ca="1" si="0"/>
        <v>15.9</v>
      </c>
      <c r="T18" s="2">
        <f t="shared" ca="1" si="1"/>
        <v>117.9</v>
      </c>
      <c r="U18" s="71" t="str">
        <f>IFERROR(VLOOKUP(Table1[[#This Row],[No_]],'Customer Net Price'!A:F,5,FALSE),"0")</f>
        <v>0</v>
      </c>
      <c r="V18" s="71" t="str">
        <f>IFERROR(VLOOKUP(Table1[[#This Row],[No_]],'Customer Net Price'!A:G,6,FALSE),"0")</f>
        <v>0</v>
      </c>
    </row>
    <row r="19" spans="1:22" x14ac:dyDescent="0.25">
      <c r="A19" s="23" t="s">
        <v>294</v>
      </c>
      <c r="B19" s="23" t="s">
        <v>294</v>
      </c>
      <c r="C19" t="s">
        <v>301</v>
      </c>
      <c r="D19" t="s">
        <v>305</v>
      </c>
      <c r="E19" t="s">
        <v>483</v>
      </c>
      <c r="F19" t="s">
        <v>916</v>
      </c>
      <c r="G19" t="s">
        <v>916</v>
      </c>
      <c r="H19" s="1" t="s">
        <v>315</v>
      </c>
      <c r="I19">
        <v>48</v>
      </c>
      <c r="J19" t="s">
        <v>546</v>
      </c>
      <c r="K19" s="2">
        <v>19.899999999999999</v>
      </c>
      <c r="L19" s="2">
        <v>149.9</v>
      </c>
      <c r="M19" s="2">
        <v>23.9</v>
      </c>
      <c r="N19" s="2">
        <f ca="1">Table1[[#This Row],[2026 (EUR)]]*(1-INDIRECT(Table1[[#This Row],[Discount Name]]))</f>
        <v>19.899999999999999</v>
      </c>
      <c r="O19" s="2">
        <f ca="1">Table1[[#This Row],[2026 (DKK)]]*(1-INDIRECT(Table1[[#This Row],[Discount Name]]))</f>
        <v>149.9</v>
      </c>
      <c r="P19" s="2" cm="1">
        <f t="array" aca="1" ref="P19" ca="1">Table1[[#This Row],[2026 (USD)]]*(1-INDIRECT(Table1[[#This Row],[Discount Name]]))</f>
        <v>23.9</v>
      </c>
      <c r="Q19" s="31">
        <f ca="1">INDIRECT(Table1[[#This Row],[Discount Name]])</f>
        <v>0</v>
      </c>
      <c r="S19" s="2">
        <f t="shared" ca="1" si="0"/>
        <v>19.899999999999999</v>
      </c>
      <c r="T19" s="2">
        <f t="shared" ca="1" si="1"/>
        <v>149.9</v>
      </c>
      <c r="U19" s="71" t="str">
        <f>IFERROR(VLOOKUP(Table1[[#This Row],[No_]],'Customer Net Price'!A:F,5,FALSE),"0")</f>
        <v>0</v>
      </c>
      <c r="V19" s="71" t="str">
        <f>IFERROR(VLOOKUP(Table1[[#This Row],[No_]],'Customer Net Price'!A:G,6,FALSE),"0")</f>
        <v>0</v>
      </c>
    </row>
    <row r="20" spans="1:22" x14ac:dyDescent="0.25">
      <c r="A20" s="23" t="s">
        <v>295</v>
      </c>
      <c r="B20" s="23" t="s">
        <v>295</v>
      </c>
      <c r="C20" t="s">
        <v>163</v>
      </c>
      <c r="D20" t="s">
        <v>305</v>
      </c>
      <c r="E20" t="s">
        <v>483</v>
      </c>
      <c r="F20" t="s">
        <v>916</v>
      </c>
      <c r="G20" t="s">
        <v>916</v>
      </c>
      <c r="H20" s="1" t="s">
        <v>316</v>
      </c>
      <c r="I20">
        <v>48</v>
      </c>
      <c r="J20" t="s">
        <v>546</v>
      </c>
      <c r="K20" s="2">
        <v>27.9</v>
      </c>
      <c r="L20" s="2">
        <v>209.9</v>
      </c>
      <c r="M20" s="2">
        <v>33.9</v>
      </c>
      <c r="N20" s="2">
        <f ca="1">Table1[[#This Row],[2026 (EUR)]]*(1-INDIRECT(Table1[[#This Row],[Discount Name]]))</f>
        <v>27.9</v>
      </c>
      <c r="O20" s="2">
        <f ca="1">Table1[[#This Row],[2026 (DKK)]]*(1-INDIRECT(Table1[[#This Row],[Discount Name]]))</f>
        <v>209.9</v>
      </c>
      <c r="P20" s="2" cm="1">
        <f t="array" aca="1" ref="P20" ca="1">Table1[[#This Row],[2026 (USD)]]*(1-INDIRECT(Table1[[#This Row],[Discount Name]]))</f>
        <v>33.9</v>
      </c>
      <c r="Q20" s="31">
        <f ca="1">INDIRECT(Table1[[#This Row],[Discount Name]])</f>
        <v>0</v>
      </c>
      <c r="S20" s="2">
        <f t="shared" ca="1" si="0"/>
        <v>27.9</v>
      </c>
      <c r="T20" s="2">
        <f t="shared" ca="1" si="1"/>
        <v>209.9</v>
      </c>
      <c r="U20" s="71" t="str">
        <f>IFERROR(VLOOKUP(Table1[[#This Row],[No_]],'Customer Net Price'!A:F,5,FALSE),"0")</f>
        <v>0</v>
      </c>
      <c r="V20" s="71" t="str">
        <f>IFERROR(VLOOKUP(Table1[[#This Row],[No_]],'Customer Net Price'!A:G,6,FALSE),"0")</f>
        <v>0</v>
      </c>
    </row>
    <row r="21" spans="1:22" x14ac:dyDescent="0.25">
      <c r="A21" s="23" t="s">
        <v>296</v>
      </c>
      <c r="B21" s="23" t="s">
        <v>296</v>
      </c>
      <c r="C21" t="s">
        <v>162</v>
      </c>
      <c r="D21" t="s">
        <v>305</v>
      </c>
      <c r="E21" t="s">
        <v>483</v>
      </c>
      <c r="F21" t="s">
        <v>916</v>
      </c>
      <c r="G21" t="s">
        <v>916</v>
      </c>
      <c r="H21" s="1" t="s">
        <v>317</v>
      </c>
      <c r="I21">
        <v>24</v>
      </c>
      <c r="J21" t="s">
        <v>546</v>
      </c>
      <c r="K21" s="2">
        <v>34.9</v>
      </c>
      <c r="L21" s="2">
        <v>259.89999999999998</v>
      </c>
      <c r="M21" s="2">
        <v>41.9</v>
      </c>
      <c r="N21" s="2">
        <f ca="1">Table1[[#This Row],[2026 (EUR)]]*(1-INDIRECT(Table1[[#This Row],[Discount Name]]))</f>
        <v>34.9</v>
      </c>
      <c r="O21" s="2">
        <f ca="1">Table1[[#This Row],[2026 (DKK)]]*(1-INDIRECT(Table1[[#This Row],[Discount Name]]))</f>
        <v>259.89999999999998</v>
      </c>
      <c r="P21" s="2" cm="1">
        <f t="array" aca="1" ref="P21" ca="1">Table1[[#This Row],[2026 (USD)]]*(1-INDIRECT(Table1[[#This Row],[Discount Name]]))</f>
        <v>41.9</v>
      </c>
      <c r="Q21" s="31">
        <f ca="1">INDIRECT(Table1[[#This Row],[Discount Name]])</f>
        <v>0</v>
      </c>
      <c r="S21" s="2">
        <f t="shared" ca="1" si="0"/>
        <v>34.9</v>
      </c>
      <c r="T21" s="2">
        <f t="shared" ca="1" si="1"/>
        <v>259.89999999999998</v>
      </c>
      <c r="U21" s="71" t="str">
        <f>IFERROR(VLOOKUP(Table1[[#This Row],[No_]],'Customer Net Price'!A:F,5,FALSE),"0")</f>
        <v>0</v>
      </c>
      <c r="V21" s="71" t="str">
        <f>IFERROR(VLOOKUP(Table1[[#This Row],[No_]],'Customer Net Price'!A:G,6,FALSE),"0")</f>
        <v>0</v>
      </c>
    </row>
    <row r="22" spans="1:22" x14ac:dyDescent="0.25">
      <c r="A22" s="23" t="s">
        <v>297</v>
      </c>
      <c r="B22" s="23" t="s">
        <v>297</v>
      </c>
      <c r="C22" t="s">
        <v>302</v>
      </c>
      <c r="D22" t="s">
        <v>305</v>
      </c>
      <c r="E22" t="s">
        <v>483</v>
      </c>
      <c r="F22" t="s">
        <v>916</v>
      </c>
      <c r="G22" t="s">
        <v>916</v>
      </c>
      <c r="H22" s="1" t="s">
        <v>318</v>
      </c>
      <c r="I22">
        <v>24</v>
      </c>
      <c r="J22" t="s">
        <v>546</v>
      </c>
      <c r="K22" s="2">
        <v>44.9</v>
      </c>
      <c r="L22" s="2">
        <v>333.9</v>
      </c>
      <c r="M22" s="2">
        <v>53.9</v>
      </c>
      <c r="N22" s="2">
        <f ca="1">Table1[[#This Row],[2026 (EUR)]]*(1-INDIRECT(Table1[[#This Row],[Discount Name]]))</f>
        <v>44.9</v>
      </c>
      <c r="O22" s="2">
        <f ca="1">Table1[[#This Row],[2026 (DKK)]]*(1-INDIRECT(Table1[[#This Row],[Discount Name]]))</f>
        <v>333.9</v>
      </c>
      <c r="P22" s="2" cm="1">
        <f t="array" aca="1" ref="P22" ca="1">Table1[[#This Row],[2026 (USD)]]*(1-INDIRECT(Table1[[#This Row],[Discount Name]]))</f>
        <v>53.9</v>
      </c>
      <c r="Q22" s="31">
        <f ca="1">INDIRECT(Table1[[#This Row],[Discount Name]])</f>
        <v>0</v>
      </c>
      <c r="S22" s="2">
        <f t="shared" ca="1" si="0"/>
        <v>44.9</v>
      </c>
      <c r="T22" s="2">
        <f t="shared" ca="1" si="1"/>
        <v>333.9</v>
      </c>
      <c r="U22" s="71" t="str">
        <f>IFERROR(VLOOKUP(Table1[[#This Row],[No_]],'Customer Net Price'!A:F,5,FALSE),"0")</f>
        <v>0</v>
      </c>
      <c r="V22" s="71" t="str">
        <f>IFERROR(VLOOKUP(Table1[[#This Row],[No_]],'Customer Net Price'!A:G,6,FALSE),"0")</f>
        <v>0</v>
      </c>
    </row>
    <row r="23" spans="1:22" x14ac:dyDescent="0.25">
      <c r="A23" s="23" t="s">
        <v>943</v>
      </c>
      <c r="B23" s="23" t="s">
        <v>943</v>
      </c>
      <c r="C23" t="s">
        <v>958</v>
      </c>
      <c r="D23" t="s">
        <v>1778</v>
      </c>
      <c r="E23" t="s">
        <v>546</v>
      </c>
      <c r="F23" t="s">
        <v>918</v>
      </c>
      <c r="G23" t="s">
        <v>923</v>
      </c>
      <c r="H23" s="1" t="s">
        <v>1066</v>
      </c>
      <c r="I23" t="s">
        <v>546</v>
      </c>
      <c r="J23" t="s">
        <v>546</v>
      </c>
      <c r="K23" s="2">
        <v>14.5</v>
      </c>
      <c r="L23" s="2">
        <v>107.9</v>
      </c>
      <c r="M23" s="2">
        <v>15.9</v>
      </c>
      <c r="N23" s="2">
        <f ca="1">Table1[[#This Row],[2026 (EUR)]]*(1-INDIRECT(Table1[[#This Row],[Discount Name]]))</f>
        <v>14.5</v>
      </c>
      <c r="O23" s="2">
        <f ca="1">Table1[[#This Row],[2026 (DKK)]]*(1-INDIRECT(Table1[[#This Row],[Discount Name]]))</f>
        <v>107.9</v>
      </c>
      <c r="P23" s="2" cm="1">
        <f t="array" aca="1" ref="P23" ca="1">Table1[[#This Row],[2026 (USD)]]*(1-INDIRECT(Table1[[#This Row],[Discount Name]]))</f>
        <v>15.9</v>
      </c>
      <c r="Q23" s="31">
        <f ca="1">INDIRECT(Table1[[#This Row],[Discount Name]])</f>
        <v>0</v>
      </c>
      <c r="S23" s="2">
        <f t="shared" ca="1" si="0"/>
        <v>14.5</v>
      </c>
      <c r="T23" s="2">
        <f t="shared" ca="1" si="1"/>
        <v>107.9</v>
      </c>
      <c r="U23" s="71" t="str">
        <f>IFERROR(VLOOKUP(Table1[[#This Row],[No_]],'Customer Net Price'!A:F,5,FALSE),"0")</f>
        <v>0</v>
      </c>
      <c r="V23" s="71" t="str">
        <f>IFERROR(VLOOKUP(Table1[[#This Row],[No_]],'Customer Net Price'!A:G,6,FALSE),"0")</f>
        <v>0</v>
      </c>
    </row>
    <row r="24" spans="1:22" x14ac:dyDescent="0.25">
      <c r="A24" s="23" t="s">
        <v>298</v>
      </c>
      <c r="B24" s="23" t="s">
        <v>298</v>
      </c>
      <c r="C24" t="s">
        <v>165</v>
      </c>
      <c r="D24" t="s">
        <v>305</v>
      </c>
      <c r="E24" t="s">
        <v>483</v>
      </c>
      <c r="F24" t="s">
        <v>916</v>
      </c>
      <c r="G24" t="s">
        <v>916</v>
      </c>
      <c r="H24" s="46" t="s">
        <v>319</v>
      </c>
      <c r="I24" s="17">
        <v>24</v>
      </c>
      <c r="J24" t="s">
        <v>546</v>
      </c>
      <c r="K24" s="2">
        <v>39.9</v>
      </c>
      <c r="L24" s="2">
        <v>299.89999999999998</v>
      </c>
      <c r="M24" s="2">
        <v>47.9</v>
      </c>
      <c r="N24" s="2">
        <f ca="1">Table1[[#This Row],[2026 (EUR)]]*(1-INDIRECT(Table1[[#This Row],[Discount Name]]))</f>
        <v>39.9</v>
      </c>
      <c r="O24" s="2">
        <f ca="1">Table1[[#This Row],[2026 (DKK)]]*(1-INDIRECT(Table1[[#This Row],[Discount Name]]))</f>
        <v>299.89999999999998</v>
      </c>
      <c r="P24" s="2" cm="1">
        <f t="array" aca="1" ref="P24" ca="1">Table1[[#This Row],[2026 (USD)]]*(1-INDIRECT(Table1[[#This Row],[Discount Name]]))</f>
        <v>47.9</v>
      </c>
      <c r="Q24" s="31">
        <f ca="1">INDIRECT(Table1[[#This Row],[Discount Name]])</f>
        <v>0</v>
      </c>
      <c r="S24" s="2">
        <f t="shared" ca="1" si="0"/>
        <v>39.9</v>
      </c>
      <c r="T24" s="2">
        <f t="shared" ca="1" si="1"/>
        <v>299.89999999999998</v>
      </c>
      <c r="U24" s="71" t="str">
        <f>IFERROR(VLOOKUP(Table1[[#This Row],[No_]],'Customer Net Price'!A:F,5,FALSE),"0")</f>
        <v>0</v>
      </c>
      <c r="V24" s="71" t="str">
        <f>IFERROR(VLOOKUP(Table1[[#This Row],[No_]],'Customer Net Price'!A:G,6,FALSE),"0")</f>
        <v>0</v>
      </c>
    </row>
    <row r="25" spans="1:22" x14ac:dyDescent="0.25">
      <c r="A25" s="23" t="s">
        <v>299</v>
      </c>
      <c r="B25" s="23" t="s">
        <v>299</v>
      </c>
      <c r="C25" t="s">
        <v>303</v>
      </c>
      <c r="D25" t="s">
        <v>305</v>
      </c>
      <c r="E25" t="s">
        <v>483</v>
      </c>
      <c r="F25" t="s">
        <v>916</v>
      </c>
      <c r="G25" t="s">
        <v>916</v>
      </c>
      <c r="H25" s="1" t="s">
        <v>320</v>
      </c>
      <c r="I25">
        <v>24</v>
      </c>
      <c r="J25" t="s">
        <v>546</v>
      </c>
      <c r="K25" s="2">
        <v>59.9</v>
      </c>
      <c r="L25" s="2">
        <v>439.9</v>
      </c>
      <c r="M25" s="2">
        <v>64.900000000000006</v>
      </c>
      <c r="N25" s="2">
        <f ca="1">Table1[[#This Row],[2026 (EUR)]]*(1-INDIRECT(Table1[[#This Row],[Discount Name]]))</f>
        <v>59.9</v>
      </c>
      <c r="O25" s="2">
        <f ca="1">Table1[[#This Row],[2026 (DKK)]]*(1-INDIRECT(Table1[[#This Row],[Discount Name]]))</f>
        <v>439.9</v>
      </c>
      <c r="P25" s="2" cm="1">
        <f t="array" aca="1" ref="P25" ca="1">Table1[[#This Row],[2026 (USD)]]*(1-INDIRECT(Table1[[#This Row],[Discount Name]]))</f>
        <v>64.900000000000006</v>
      </c>
      <c r="Q25" s="31">
        <f ca="1">INDIRECT(Table1[[#This Row],[Discount Name]])</f>
        <v>0</v>
      </c>
      <c r="S25" s="2">
        <f t="shared" ca="1" si="0"/>
        <v>59.9</v>
      </c>
      <c r="T25" s="2">
        <f t="shared" ca="1" si="1"/>
        <v>439.9</v>
      </c>
      <c r="U25" s="71" t="str">
        <f>IFERROR(VLOOKUP(Table1[[#This Row],[No_]],'Customer Net Price'!A:F,5,FALSE),"0")</f>
        <v>0</v>
      </c>
      <c r="V25" s="71" t="str">
        <f>IFERROR(VLOOKUP(Table1[[#This Row],[No_]],'Customer Net Price'!A:G,6,FALSE),"0")</f>
        <v>0</v>
      </c>
    </row>
    <row r="26" spans="1:22" x14ac:dyDescent="0.25">
      <c r="A26" s="23" t="s">
        <v>300</v>
      </c>
      <c r="B26" s="23" t="s">
        <v>300</v>
      </c>
      <c r="C26" t="s">
        <v>304</v>
      </c>
      <c r="D26" t="s">
        <v>305</v>
      </c>
      <c r="E26" t="s">
        <v>483</v>
      </c>
      <c r="F26" t="s">
        <v>916</v>
      </c>
      <c r="G26" t="s">
        <v>916</v>
      </c>
      <c r="H26" s="1" t="s">
        <v>321</v>
      </c>
      <c r="I26">
        <v>24</v>
      </c>
      <c r="J26" t="s">
        <v>546</v>
      </c>
      <c r="K26" s="2">
        <v>69.900000000000006</v>
      </c>
      <c r="L26" s="2">
        <v>519.9</v>
      </c>
      <c r="M26" s="2">
        <v>84.9</v>
      </c>
      <c r="N26" s="2">
        <f ca="1">Table1[[#This Row],[2026 (EUR)]]*(1-INDIRECT(Table1[[#This Row],[Discount Name]]))</f>
        <v>69.900000000000006</v>
      </c>
      <c r="O26" s="2">
        <f ca="1">Table1[[#This Row],[2026 (DKK)]]*(1-INDIRECT(Table1[[#This Row],[Discount Name]]))</f>
        <v>519.9</v>
      </c>
      <c r="P26" s="2" cm="1">
        <f t="array" aca="1" ref="P26" ca="1">Table1[[#This Row],[2026 (USD)]]*(1-INDIRECT(Table1[[#This Row],[Discount Name]]))</f>
        <v>84.9</v>
      </c>
      <c r="Q26" s="31">
        <f ca="1">INDIRECT(Table1[[#This Row],[Discount Name]])</f>
        <v>0</v>
      </c>
      <c r="S26" s="2">
        <f t="shared" ca="1" si="0"/>
        <v>69.900000000000006</v>
      </c>
      <c r="T26" s="2">
        <f t="shared" ca="1" si="1"/>
        <v>519.9</v>
      </c>
      <c r="U26" s="71" t="str">
        <f>IFERROR(VLOOKUP(Table1[[#This Row],[No_]],'Customer Net Price'!A:F,5,FALSE),"0")</f>
        <v>0</v>
      </c>
      <c r="V26" s="71" t="str">
        <f>IFERROR(VLOOKUP(Table1[[#This Row],[No_]],'Customer Net Price'!A:G,6,FALSE),"0")</f>
        <v>0</v>
      </c>
    </row>
    <row r="27" spans="1:22" x14ac:dyDescent="0.25">
      <c r="A27" s="23" t="s">
        <v>1264</v>
      </c>
      <c r="B27" s="23" t="s">
        <v>1264</v>
      </c>
      <c r="C27" t="s">
        <v>304</v>
      </c>
      <c r="D27" t="s">
        <v>305</v>
      </c>
      <c r="E27" t="s">
        <v>483</v>
      </c>
      <c r="F27" t="s">
        <v>916</v>
      </c>
      <c r="G27" t="s">
        <v>916</v>
      </c>
      <c r="H27" s="23" t="s">
        <v>1284</v>
      </c>
      <c r="I27">
        <v>24</v>
      </c>
      <c r="J27" t="s">
        <v>546</v>
      </c>
      <c r="K27" s="2">
        <v>69.900000000000006</v>
      </c>
      <c r="L27" s="2">
        <v>519.9</v>
      </c>
      <c r="M27" s="2">
        <v>84.9</v>
      </c>
      <c r="N27" s="2">
        <f ca="1">Table1[[#This Row],[2026 (EUR)]]*(1-INDIRECT(Table1[[#This Row],[Discount Name]]))</f>
        <v>69.900000000000006</v>
      </c>
      <c r="O27" s="2">
        <f ca="1">Table1[[#This Row],[2026 (DKK)]]*(1-INDIRECT(Table1[[#This Row],[Discount Name]]))</f>
        <v>519.9</v>
      </c>
      <c r="P27" s="2" cm="1">
        <f t="array" aca="1" ref="P27" ca="1">Table1[[#This Row],[2026 (USD)]]*(1-INDIRECT(Table1[[#This Row],[Discount Name]]))</f>
        <v>84.9</v>
      </c>
      <c r="Q27" s="31">
        <f ca="1">INDIRECT(Table1[[#This Row],[Discount Name]])</f>
        <v>0</v>
      </c>
      <c r="S27" s="2">
        <f t="shared" ca="1" si="0"/>
        <v>69.900000000000006</v>
      </c>
      <c r="T27" s="2">
        <f t="shared" ca="1" si="1"/>
        <v>519.9</v>
      </c>
      <c r="U27" s="71" t="str">
        <f>IFERROR(VLOOKUP(Table1[[#This Row],[No_]],'Customer Net Price'!A:F,5,FALSE),"0")</f>
        <v>0</v>
      </c>
      <c r="V27" s="71" t="str">
        <f>IFERROR(VLOOKUP(Table1[[#This Row],[No_]],'Customer Net Price'!A:G,6,FALSE),"0")</f>
        <v>0</v>
      </c>
    </row>
    <row r="28" spans="1:22" x14ac:dyDescent="0.25">
      <c r="A28" s="23" t="s">
        <v>1343</v>
      </c>
      <c r="B28" s="23" t="s">
        <v>1343</v>
      </c>
      <c r="C28" t="s">
        <v>1350</v>
      </c>
      <c r="D28" t="s">
        <v>1778</v>
      </c>
      <c r="E28" t="s">
        <v>546</v>
      </c>
      <c r="F28" t="s">
        <v>918</v>
      </c>
      <c r="G28" t="s">
        <v>923</v>
      </c>
      <c r="H28" s="48" t="s">
        <v>1357</v>
      </c>
      <c r="I28" t="s">
        <v>546</v>
      </c>
      <c r="J28" t="s">
        <v>546</v>
      </c>
      <c r="K28" s="2">
        <v>14</v>
      </c>
      <c r="L28" s="2">
        <v>104</v>
      </c>
      <c r="M28" s="2">
        <v>15.9</v>
      </c>
      <c r="N28" s="2">
        <f ca="1">Table1[[#This Row],[2026 (EUR)]]*(1-INDIRECT(Table1[[#This Row],[Discount Name]]))</f>
        <v>14</v>
      </c>
      <c r="O28" s="2">
        <f ca="1">Table1[[#This Row],[2026 (DKK)]]*(1-INDIRECT(Table1[[#This Row],[Discount Name]]))</f>
        <v>104</v>
      </c>
      <c r="P28" s="2" cm="1">
        <f t="array" aca="1" ref="P28" ca="1">Table1[[#This Row],[2026 (USD)]]*(1-INDIRECT(Table1[[#This Row],[Discount Name]]))</f>
        <v>15.9</v>
      </c>
      <c r="Q28" s="31">
        <f ca="1">INDIRECT(Table1[[#This Row],[Discount Name]])</f>
        <v>0</v>
      </c>
      <c r="S28" s="77">
        <f t="shared" ca="1" si="0"/>
        <v>14</v>
      </c>
      <c r="T28" s="77">
        <f t="shared" ca="1" si="1"/>
        <v>104</v>
      </c>
      <c r="U28" s="78" t="str">
        <f>IFERROR(VLOOKUP(Table1[[#This Row],[No_]],'Customer Net Price'!A:F,5,FALSE),"0")</f>
        <v>0</v>
      </c>
      <c r="V28" s="78" t="str">
        <f>IFERROR(VLOOKUP(Table1[[#This Row],[No_]],'Customer Net Price'!A:G,6,FALSE),"0")</f>
        <v>0</v>
      </c>
    </row>
    <row r="29" spans="1:22" x14ac:dyDescent="0.25">
      <c r="A29" s="23" t="s">
        <v>1398</v>
      </c>
      <c r="B29" s="23" t="s">
        <v>1398</v>
      </c>
      <c r="C29" t="s">
        <v>1400</v>
      </c>
      <c r="D29" t="s">
        <v>1778</v>
      </c>
      <c r="E29" t="s">
        <v>546</v>
      </c>
      <c r="F29" t="s">
        <v>918</v>
      </c>
      <c r="G29" t="s">
        <v>923</v>
      </c>
      <c r="H29" s="48" t="s">
        <v>1399</v>
      </c>
      <c r="I29" t="s">
        <v>546</v>
      </c>
      <c r="J29" t="s">
        <v>546</v>
      </c>
      <c r="K29" s="2">
        <v>11.9</v>
      </c>
      <c r="L29" s="2">
        <v>89.9</v>
      </c>
      <c r="M29" s="2">
        <v>12.9</v>
      </c>
      <c r="N29" s="2">
        <f ca="1">Table1[[#This Row],[2026 (EUR)]]*(1-INDIRECT(Table1[[#This Row],[Discount Name]]))</f>
        <v>11.9</v>
      </c>
      <c r="O29" s="2">
        <f ca="1">Table1[[#This Row],[2026 (DKK)]]*(1-INDIRECT(Table1[[#This Row],[Discount Name]]))</f>
        <v>89.9</v>
      </c>
      <c r="P29" s="2" cm="1">
        <f t="array" aca="1" ref="P29" ca="1">Table1[[#This Row],[2026 (USD)]]*(1-INDIRECT(Table1[[#This Row],[Discount Name]]))</f>
        <v>12.9</v>
      </c>
      <c r="Q29" s="31">
        <f ca="1">INDIRECT(Table1[[#This Row],[Discount Name]])</f>
        <v>0</v>
      </c>
      <c r="S29" s="77">
        <f t="shared" ca="1" si="0"/>
        <v>11.9</v>
      </c>
      <c r="T29" s="77">
        <f t="shared" ca="1" si="1"/>
        <v>89.9</v>
      </c>
      <c r="U29" s="78" t="str">
        <f>IFERROR(VLOOKUP(Table1[[#This Row],[No_]],'Customer Net Price'!A:F,5,FALSE),"0")</f>
        <v>0</v>
      </c>
      <c r="V29" s="78" t="str">
        <f>IFERROR(VLOOKUP(Table1[[#This Row],[No_]],'Customer Net Price'!A:G,6,FALSE),"0")</f>
        <v>0</v>
      </c>
    </row>
    <row r="30" spans="1:22" x14ac:dyDescent="0.25">
      <c r="A30" s="23" t="s">
        <v>3</v>
      </c>
      <c r="B30" s="23" t="s">
        <v>3</v>
      </c>
      <c r="C30" t="s">
        <v>167</v>
      </c>
      <c r="D30" t="s">
        <v>310</v>
      </c>
      <c r="E30" t="s">
        <v>546</v>
      </c>
      <c r="F30" t="s">
        <v>918</v>
      </c>
      <c r="G30" t="s">
        <v>923</v>
      </c>
      <c r="H30" s="1" t="s">
        <v>383</v>
      </c>
      <c r="I30">
        <v>1</v>
      </c>
      <c r="J30" t="s">
        <v>570</v>
      </c>
      <c r="K30" s="2">
        <v>6.5</v>
      </c>
      <c r="L30" s="2">
        <v>49.9</v>
      </c>
      <c r="M30" s="2">
        <v>6.9</v>
      </c>
      <c r="N30" s="2">
        <f ca="1">Table1[[#This Row],[2026 (EUR)]]*(1-INDIRECT(Table1[[#This Row],[Discount Name]]))</f>
        <v>6.5</v>
      </c>
      <c r="O30" s="2">
        <f ca="1">Table1[[#This Row],[2026 (DKK)]]*(1-INDIRECT(Table1[[#This Row],[Discount Name]]))</f>
        <v>49.9</v>
      </c>
      <c r="P30" s="2" cm="1">
        <f t="array" aca="1" ref="P30" ca="1">Table1[[#This Row],[2026 (USD)]]*(1-INDIRECT(Table1[[#This Row],[Discount Name]]))</f>
        <v>6.9</v>
      </c>
      <c r="Q30" s="31">
        <f ca="1">INDIRECT(Table1[[#This Row],[Discount Name]])</f>
        <v>0</v>
      </c>
      <c r="S30" s="2">
        <f t="shared" ca="1" si="0"/>
        <v>6.5</v>
      </c>
      <c r="T30" s="2">
        <f t="shared" ca="1" si="1"/>
        <v>49.9</v>
      </c>
      <c r="U30" s="71" t="str">
        <f>IFERROR(VLOOKUP(Table1[[#This Row],[No_]],'Customer Net Price'!A:F,5,FALSE),"0")</f>
        <v>0</v>
      </c>
      <c r="V30" s="71" t="str">
        <f>IFERROR(VLOOKUP(Table1[[#This Row],[No_]],'Customer Net Price'!A:G,6,FALSE),"0")</f>
        <v>0</v>
      </c>
    </row>
    <row r="31" spans="1:22" x14ac:dyDescent="0.25">
      <c r="A31" s="23" t="s">
        <v>5</v>
      </c>
      <c r="B31" s="23" t="s">
        <v>5</v>
      </c>
      <c r="C31" t="s">
        <v>168</v>
      </c>
      <c r="D31" t="s">
        <v>310</v>
      </c>
      <c r="E31" t="s">
        <v>546</v>
      </c>
      <c r="F31" t="s">
        <v>918</v>
      </c>
      <c r="G31" t="s">
        <v>923</v>
      </c>
      <c r="H31" s="1" t="s">
        <v>384</v>
      </c>
      <c r="I31">
        <v>1</v>
      </c>
      <c r="J31" t="s">
        <v>562</v>
      </c>
      <c r="K31" s="2">
        <v>6.5</v>
      </c>
      <c r="L31" s="2">
        <v>49.9</v>
      </c>
      <c r="M31" s="2">
        <v>6.9</v>
      </c>
      <c r="N31" s="2">
        <f ca="1">Table1[[#This Row],[2026 (EUR)]]*(1-INDIRECT(Table1[[#This Row],[Discount Name]]))</f>
        <v>6.5</v>
      </c>
      <c r="O31" s="2">
        <f ca="1">Table1[[#This Row],[2026 (DKK)]]*(1-INDIRECT(Table1[[#This Row],[Discount Name]]))</f>
        <v>49.9</v>
      </c>
      <c r="P31" s="2" cm="1">
        <f t="array" aca="1" ref="P31" ca="1">Table1[[#This Row],[2026 (USD)]]*(1-INDIRECT(Table1[[#This Row],[Discount Name]]))</f>
        <v>6.9</v>
      </c>
      <c r="Q31" s="31">
        <f ca="1">INDIRECT(Table1[[#This Row],[Discount Name]])</f>
        <v>0</v>
      </c>
      <c r="S31" s="2">
        <f t="shared" ca="1" si="0"/>
        <v>6.5</v>
      </c>
      <c r="T31" s="2">
        <f t="shared" ca="1" si="1"/>
        <v>49.9</v>
      </c>
      <c r="U31" s="71" t="str">
        <f>IFERROR(VLOOKUP(Table1[[#This Row],[No_]],'Customer Net Price'!A:F,5,FALSE),"0")</f>
        <v>0</v>
      </c>
      <c r="V31" s="71" t="str">
        <f>IFERROR(VLOOKUP(Table1[[#This Row],[No_]],'Customer Net Price'!A:G,6,FALSE),"0")</f>
        <v>0</v>
      </c>
    </row>
    <row r="32" spans="1:22" x14ac:dyDescent="0.25">
      <c r="A32" s="23" t="s">
        <v>130</v>
      </c>
      <c r="B32" s="23" t="s">
        <v>130</v>
      </c>
      <c r="C32" t="s">
        <v>169</v>
      </c>
      <c r="D32" t="s">
        <v>310</v>
      </c>
      <c r="E32" t="s">
        <v>546</v>
      </c>
      <c r="F32" t="s">
        <v>918</v>
      </c>
      <c r="G32" t="s">
        <v>923</v>
      </c>
      <c r="H32" s="1" t="s">
        <v>385</v>
      </c>
      <c r="I32">
        <v>1</v>
      </c>
      <c r="J32" t="s">
        <v>571</v>
      </c>
      <c r="K32" s="2">
        <v>6.5</v>
      </c>
      <c r="L32" s="2">
        <v>49.9</v>
      </c>
      <c r="M32" s="2">
        <v>6.9</v>
      </c>
      <c r="N32" s="2">
        <f ca="1">Table1[[#This Row],[2026 (EUR)]]*(1-INDIRECT(Table1[[#This Row],[Discount Name]]))</f>
        <v>6.5</v>
      </c>
      <c r="O32" s="2">
        <f ca="1">Table1[[#This Row],[2026 (DKK)]]*(1-INDIRECT(Table1[[#This Row],[Discount Name]]))</f>
        <v>49.9</v>
      </c>
      <c r="P32" s="2" cm="1">
        <f t="array" aca="1" ref="P32" ca="1">Table1[[#This Row],[2026 (USD)]]*(1-INDIRECT(Table1[[#This Row],[Discount Name]]))</f>
        <v>6.9</v>
      </c>
      <c r="Q32" s="31">
        <f ca="1">INDIRECT(Table1[[#This Row],[Discount Name]])</f>
        <v>0</v>
      </c>
      <c r="S32" s="2">
        <f t="shared" ca="1" si="0"/>
        <v>6.5</v>
      </c>
      <c r="T32" s="2">
        <f t="shared" ca="1" si="1"/>
        <v>49.9</v>
      </c>
      <c r="U32" s="71" t="str">
        <f>IFERROR(VLOOKUP(Table1[[#This Row],[No_]],'Customer Net Price'!A:F,5,FALSE),"0")</f>
        <v>0</v>
      </c>
      <c r="V32" s="71" t="str">
        <f>IFERROR(VLOOKUP(Table1[[#This Row],[No_]],'Customer Net Price'!A:G,6,FALSE),"0")</f>
        <v>0</v>
      </c>
    </row>
    <row r="33" spans="1:22" x14ac:dyDescent="0.25">
      <c r="A33" s="23" t="s">
        <v>6</v>
      </c>
      <c r="B33" s="23" t="s">
        <v>6</v>
      </c>
      <c r="C33" t="s">
        <v>170</v>
      </c>
      <c r="D33" t="s">
        <v>310</v>
      </c>
      <c r="E33" t="s">
        <v>546</v>
      </c>
      <c r="F33" t="s">
        <v>918</v>
      </c>
      <c r="G33" t="s">
        <v>923</v>
      </c>
      <c r="H33" s="1" t="s">
        <v>386</v>
      </c>
      <c r="I33">
        <v>1</v>
      </c>
      <c r="J33" t="s">
        <v>546</v>
      </c>
      <c r="K33" s="2">
        <v>6.5</v>
      </c>
      <c r="L33" s="2">
        <v>49.9</v>
      </c>
      <c r="M33" s="2">
        <v>6.9</v>
      </c>
      <c r="N33" s="2">
        <f ca="1">Table1[[#This Row],[2026 (EUR)]]*(1-INDIRECT(Table1[[#This Row],[Discount Name]]))</f>
        <v>6.5</v>
      </c>
      <c r="O33" s="2">
        <f ca="1">Table1[[#This Row],[2026 (DKK)]]*(1-INDIRECT(Table1[[#This Row],[Discount Name]]))</f>
        <v>49.9</v>
      </c>
      <c r="P33" s="2" cm="1">
        <f t="array" aca="1" ref="P33" ca="1">Table1[[#This Row],[2026 (USD)]]*(1-INDIRECT(Table1[[#This Row],[Discount Name]]))</f>
        <v>6.9</v>
      </c>
      <c r="Q33" s="31">
        <f ca="1">INDIRECT(Table1[[#This Row],[Discount Name]])</f>
        <v>0</v>
      </c>
      <c r="S33" s="2">
        <f t="shared" ca="1" si="0"/>
        <v>6.5</v>
      </c>
      <c r="T33" s="2">
        <f t="shared" ca="1" si="1"/>
        <v>49.9</v>
      </c>
      <c r="U33" s="71" t="str">
        <f>IFERROR(VLOOKUP(Table1[[#This Row],[No_]],'Customer Net Price'!A:F,5,FALSE),"0")</f>
        <v>0</v>
      </c>
      <c r="V33" s="71" t="str">
        <f>IFERROR(VLOOKUP(Table1[[#This Row],[No_]],'Customer Net Price'!A:G,6,FALSE),"0")</f>
        <v>0</v>
      </c>
    </row>
    <row r="34" spans="1:22" x14ac:dyDescent="0.25">
      <c r="A34" s="23" t="s">
        <v>7</v>
      </c>
      <c r="B34" s="23" t="s">
        <v>7</v>
      </c>
      <c r="C34" t="s">
        <v>171</v>
      </c>
      <c r="D34" t="s">
        <v>305</v>
      </c>
      <c r="E34" t="s">
        <v>484</v>
      </c>
      <c r="F34" t="s">
        <v>916</v>
      </c>
      <c r="G34" t="s">
        <v>916</v>
      </c>
      <c r="H34" s="1" t="s">
        <v>322</v>
      </c>
      <c r="I34">
        <v>1</v>
      </c>
      <c r="J34" t="s">
        <v>572</v>
      </c>
      <c r="K34" s="2">
        <v>1514.9</v>
      </c>
      <c r="L34" s="2">
        <v>11269.9</v>
      </c>
      <c r="M34" s="2">
        <v>1859.9</v>
      </c>
      <c r="N34" s="2">
        <f ca="1">Table1[[#This Row],[2026 (EUR)]]*(1-INDIRECT(Table1[[#This Row],[Discount Name]]))</f>
        <v>1514.9</v>
      </c>
      <c r="O34" s="2">
        <f ca="1">Table1[[#This Row],[2026 (DKK)]]*(1-INDIRECT(Table1[[#This Row],[Discount Name]]))</f>
        <v>11269.9</v>
      </c>
      <c r="P34" s="2" cm="1">
        <f t="array" aca="1" ref="P34" ca="1">Table1[[#This Row],[2026 (USD)]]*(1-INDIRECT(Table1[[#This Row],[Discount Name]]))</f>
        <v>1859.9</v>
      </c>
      <c r="Q34" s="31">
        <f ca="1">INDIRECT(Table1[[#This Row],[Discount Name]])</f>
        <v>0</v>
      </c>
      <c r="S34" s="2">
        <f t="shared" ca="1" si="0"/>
        <v>1514.9</v>
      </c>
      <c r="T34" s="2">
        <f t="shared" ca="1" si="1"/>
        <v>11269.9</v>
      </c>
      <c r="U34" s="71" t="str">
        <f>IFERROR(VLOOKUP(Table1[[#This Row],[No_]],'Customer Net Price'!A:F,5,FALSE),"0")</f>
        <v>0</v>
      </c>
      <c r="V34" s="71" t="str">
        <f>IFERROR(VLOOKUP(Table1[[#This Row],[No_]],'Customer Net Price'!A:G,6,FALSE),"0")</f>
        <v>0</v>
      </c>
    </row>
    <row r="35" spans="1:22" x14ac:dyDescent="0.25">
      <c r="A35" s="23" t="s">
        <v>573</v>
      </c>
      <c r="B35" s="23" t="s">
        <v>7</v>
      </c>
      <c r="C35" t="s">
        <v>171</v>
      </c>
      <c r="D35" t="s">
        <v>305</v>
      </c>
      <c r="E35" t="s">
        <v>484</v>
      </c>
      <c r="F35" t="s">
        <v>916</v>
      </c>
      <c r="G35" t="s">
        <v>916</v>
      </c>
      <c r="H35" s="1" t="s">
        <v>574</v>
      </c>
      <c r="I35" t="s">
        <v>546</v>
      </c>
      <c r="J35" t="s">
        <v>575</v>
      </c>
      <c r="K35" s="2">
        <v>1514.9</v>
      </c>
      <c r="L35" s="2">
        <v>11269.9</v>
      </c>
      <c r="M35" s="2">
        <v>1859.9</v>
      </c>
      <c r="N35" s="2">
        <f ca="1">Table1[[#This Row],[2026 (EUR)]]*(1-INDIRECT(Table1[[#This Row],[Discount Name]]))</f>
        <v>1514.9</v>
      </c>
      <c r="O35" s="2">
        <f ca="1">Table1[[#This Row],[2026 (DKK)]]*(1-INDIRECT(Table1[[#This Row],[Discount Name]]))</f>
        <v>11269.9</v>
      </c>
      <c r="P35" s="2" cm="1">
        <f t="array" aca="1" ref="P35" ca="1">Table1[[#This Row],[2026 (USD)]]*(1-INDIRECT(Table1[[#This Row],[Discount Name]]))</f>
        <v>1859.9</v>
      </c>
      <c r="Q35" s="31">
        <f ca="1">INDIRECT(Table1[[#This Row],[Discount Name]])</f>
        <v>0</v>
      </c>
      <c r="S35" s="2">
        <f t="shared" ca="1" si="0"/>
        <v>1514.9</v>
      </c>
      <c r="T35" s="2">
        <f t="shared" ca="1" si="1"/>
        <v>11269.9</v>
      </c>
      <c r="U35" s="71" t="str">
        <f>IFERROR(VLOOKUP(Table1[[#This Row],[No_]],'Customer Net Price'!A:F,5,FALSE),"0")</f>
        <v>0</v>
      </c>
      <c r="V35" s="71" t="str">
        <f>IFERROR(VLOOKUP(Table1[[#This Row],[No_]],'Customer Net Price'!A:G,6,FALSE),"0")</f>
        <v>0</v>
      </c>
    </row>
    <row r="36" spans="1:22" x14ac:dyDescent="0.25">
      <c r="A36" s="23" t="s">
        <v>1090</v>
      </c>
      <c r="B36" s="23" t="s">
        <v>7</v>
      </c>
      <c r="C36" t="s">
        <v>171</v>
      </c>
      <c r="D36" t="s">
        <v>305</v>
      </c>
      <c r="E36" t="s">
        <v>484</v>
      </c>
      <c r="F36" t="s">
        <v>916</v>
      </c>
      <c r="G36" t="s">
        <v>916</v>
      </c>
      <c r="H36" s="1" t="s">
        <v>323</v>
      </c>
      <c r="I36">
        <v>1</v>
      </c>
      <c r="J36" t="s">
        <v>1091</v>
      </c>
      <c r="K36" s="2">
        <v>1514.9</v>
      </c>
      <c r="L36" s="2">
        <v>11269.9</v>
      </c>
      <c r="M36" s="2">
        <v>1859.9</v>
      </c>
      <c r="N36" s="2">
        <f ca="1">Table1[[#This Row],[2026 (EUR)]]*(1-INDIRECT(Table1[[#This Row],[Discount Name]]))</f>
        <v>1514.9</v>
      </c>
      <c r="O36" s="2">
        <f ca="1">Table1[[#This Row],[2026 (DKK)]]*(1-INDIRECT(Table1[[#This Row],[Discount Name]]))</f>
        <v>11269.9</v>
      </c>
      <c r="P36" s="2" cm="1">
        <f t="array" aca="1" ref="P36" ca="1">Table1[[#This Row],[2026 (USD)]]*(1-INDIRECT(Table1[[#This Row],[Discount Name]]))</f>
        <v>1859.9</v>
      </c>
      <c r="Q36" s="31">
        <f ca="1">INDIRECT(Table1[[#This Row],[Discount Name]])</f>
        <v>0</v>
      </c>
      <c r="S36" s="2">
        <f t="shared" ca="1" si="0"/>
        <v>1514.9</v>
      </c>
      <c r="T36" s="2">
        <f t="shared" ca="1" si="1"/>
        <v>11269.9</v>
      </c>
      <c r="U36" s="71" t="str">
        <f>IFERROR(VLOOKUP(Table1[[#This Row],[No_]],'Customer Net Price'!A:F,5,FALSE),"0")</f>
        <v>0</v>
      </c>
      <c r="V36" s="71" t="str">
        <f>IFERROR(VLOOKUP(Table1[[#This Row],[No_]],'Customer Net Price'!A:G,6,FALSE),"0")</f>
        <v>0</v>
      </c>
    </row>
    <row r="37" spans="1:22" x14ac:dyDescent="0.25">
      <c r="A37" s="23" t="s">
        <v>131</v>
      </c>
      <c r="B37" s="23" t="s">
        <v>7</v>
      </c>
      <c r="C37" t="s">
        <v>171</v>
      </c>
      <c r="D37" t="s">
        <v>305</v>
      </c>
      <c r="E37" t="s">
        <v>484</v>
      </c>
      <c r="F37" t="s">
        <v>916</v>
      </c>
      <c r="G37" t="s">
        <v>916</v>
      </c>
      <c r="H37" s="1" t="s">
        <v>324</v>
      </c>
      <c r="I37">
        <v>1</v>
      </c>
      <c r="J37" t="s">
        <v>562</v>
      </c>
      <c r="K37" s="2">
        <v>1514.9</v>
      </c>
      <c r="L37" s="2">
        <v>11269.9</v>
      </c>
      <c r="M37" s="2">
        <v>1859.9</v>
      </c>
      <c r="N37" s="2">
        <f ca="1">Table1[[#This Row],[2026 (EUR)]]*(1-INDIRECT(Table1[[#This Row],[Discount Name]]))</f>
        <v>1514.9</v>
      </c>
      <c r="O37" s="2">
        <f ca="1">Table1[[#This Row],[2026 (DKK)]]*(1-INDIRECT(Table1[[#This Row],[Discount Name]]))</f>
        <v>11269.9</v>
      </c>
      <c r="P37" s="2" cm="1">
        <f t="array" aca="1" ref="P37" ca="1">Table1[[#This Row],[2026 (USD)]]*(1-INDIRECT(Table1[[#This Row],[Discount Name]]))</f>
        <v>1859.9</v>
      </c>
      <c r="Q37" s="31">
        <f ca="1">INDIRECT(Table1[[#This Row],[Discount Name]])</f>
        <v>0</v>
      </c>
      <c r="S37" s="2">
        <f t="shared" ca="1" si="0"/>
        <v>1514.9</v>
      </c>
      <c r="T37" s="2">
        <f t="shared" ca="1" si="1"/>
        <v>11269.9</v>
      </c>
      <c r="U37" s="71" t="str">
        <f>IFERROR(VLOOKUP(Table1[[#This Row],[No_]],'Customer Net Price'!A:F,5,FALSE),"0")</f>
        <v>0</v>
      </c>
      <c r="V37" s="71" t="str">
        <f>IFERROR(VLOOKUP(Table1[[#This Row],[No_]],'Customer Net Price'!A:G,6,FALSE),"0")</f>
        <v>0</v>
      </c>
    </row>
    <row r="38" spans="1:22" x14ac:dyDescent="0.25">
      <c r="A38" s="23" t="s">
        <v>8</v>
      </c>
      <c r="B38" s="23" t="s">
        <v>8</v>
      </c>
      <c r="C38" t="s">
        <v>172</v>
      </c>
      <c r="D38" t="s">
        <v>305</v>
      </c>
      <c r="E38" t="s">
        <v>484</v>
      </c>
      <c r="F38" t="s">
        <v>916</v>
      </c>
      <c r="G38" t="s">
        <v>916</v>
      </c>
      <c r="H38" s="1" t="s">
        <v>325</v>
      </c>
      <c r="I38">
        <v>1</v>
      </c>
      <c r="J38" t="s">
        <v>572</v>
      </c>
      <c r="K38" s="2">
        <v>1009.9</v>
      </c>
      <c r="L38" s="2">
        <v>7513.9</v>
      </c>
      <c r="M38" s="2">
        <v>1239.9000000000001</v>
      </c>
      <c r="N38" s="2">
        <f ca="1">Table1[[#This Row],[2026 (EUR)]]*(1-INDIRECT(Table1[[#This Row],[Discount Name]]))</f>
        <v>1009.9</v>
      </c>
      <c r="O38" s="2">
        <f ca="1">Table1[[#This Row],[2026 (DKK)]]*(1-INDIRECT(Table1[[#This Row],[Discount Name]]))</f>
        <v>7513.9</v>
      </c>
      <c r="P38" s="2" cm="1">
        <f t="array" aca="1" ref="P38" ca="1">Table1[[#This Row],[2026 (USD)]]*(1-INDIRECT(Table1[[#This Row],[Discount Name]]))</f>
        <v>1239.9000000000001</v>
      </c>
      <c r="Q38" s="31">
        <f ca="1">INDIRECT(Table1[[#This Row],[Discount Name]])</f>
        <v>0</v>
      </c>
      <c r="S38" s="2">
        <f t="shared" ca="1" si="0"/>
        <v>1009.9</v>
      </c>
      <c r="T38" s="2">
        <f t="shared" ca="1" si="1"/>
        <v>7513.9</v>
      </c>
      <c r="U38" s="71" t="str">
        <f>IFERROR(VLOOKUP(Table1[[#This Row],[No_]],'Customer Net Price'!A:F,5,FALSE),"0")</f>
        <v>0</v>
      </c>
      <c r="V38" s="71" t="str">
        <f>IFERROR(VLOOKUP(Table1[[#This Row],[No_]],'Customer Net Price'!A:G,6,FALSE),"0")</f>
        <v>0</v>
      </c>
    </row>
    <row r="39" spans="1:22" x14ac:dyDescent="0.25">
      <c r="A39" s="23" t="s">
        <v>576</v>
      </c>
      <c r="B39" s="23" t="s">
        <v>8</v>
      </c>
      <c r="C39" t="s">
        <v>172</v>
      </c>
      <c r="D39" t="s">
        <v>305</v>
      </c>
      <c r="E39" t="s">
        <v>484</v>
      </c>
      <c r="F39" t="s">
        <v>916</v>
      </c>
      <c r="G39" t="s">
        <v>916</v>
      </c>
      <c r="H39" s="1" t="s">
        <v>577</v>
      </c>
      <c r="I39" t="s">
        <v>546</v>
      </c>
      <c r="J39" t="s">
        <v>575</v>
      </c>
      <c r="K39" s="2">
        <v>1009.9</v>
      </c>
      <c r="L39" s="2">
        <v>7513.9</v>
      </c>
      <c r="M39" s="2">
        <v>1239.9000000000001</v>
      </c>
      <c r="N39" s="2">
        <f ca="1">Table1[[#This Row],[2026 (EUR)]]*(1-INDIRECT(Table1[[#This Row],[Discount Name]]))</f>
        <v>1009.9</v>
      </c>
      <c r="O39" s="2">
        <f ca="1">Table1[[#This Row],[2026 (DKK)]]*(1-INDIRECT(Table1[[#This Row],[Discount Name]]))</f>
        <v>7513.9</v>
      </c>
      <c r="P39" s="2" cm="1">
        <f t="array" aca="1" ref="P39" ca="1">Table1[[#This Row],[2026 (USD)]]*(1-INDIRECT(Table1[[#This Row],[Discount Name]]))</f>
        <v>1239.9000000000001</v>
      </c>
      <c r="Q39" s="31">
        <f ca="1">INDIRECT(Table1[[#This Row],[Discount Name]])</f>
        <v>0</v>
      </c>
      <c r="S39" s="2">
        <f t="shared" ca="1" si="0"/>
        <v>1009.9</v>
      </c>
      <c r="T39" s="2">
        <f t="shared" ca="1" si="1"/>
        <v>7513.9</v>
      </c>
      <c r="U39" s="71" t="str">
        <f>IFERROR(VLOOKUP(Table1[[#This Row],[No_]],'Customer Net Price'!A:F,5,FALSE),"0")</f>
        <v>0</v>
      </c>
      <c r="V39" s="71" t="str">
        <f>IFERROR(VLOOKUP(Table1[[#This Row],[No_]],'Customer Net Price'!A:G,6,FALSE),"0")</f>
        <v>0</v>
      </c>
    </row>
    <row r="40" spans="1:22" x14ac:dyDescent="0.25">
      <c r="A40" s="23" t="s">
        <v>1089</v>
      </c>
      <c r="B40" s="23" t="s">
        <v>8</v>
      </c>
      <c r="C40" t="s">
        <v>172</v>
      </c>
      <c r="D40" t="s">
        <v>305</v>
      </c>
      <c r="E40" t="s">
        <v>484</v>
      </c>
      <c r="F40" t="s">
        <v>916</v>
      </c>
      <c r="G40" t="s">
        <v>916</v>
      </c>
      <c r="H40" s="1" t="s">
        <v>326</v>
      </c>
      <c r="I40">
        <v>1</v>
      </c>
      <c r="J40" t="s">
        <v>1091</v>
      </c>
      <c r="K40" s="2">
        <v>1009.9</v>
      </c>
      <c r="L40" s="2">
        <v>7513.9</v>
      </c>
      <c r="M40" s="2">
        <v>1239.9000000000001</v>
      </c>
      <c r="N40" s="2">
        <f ca="1">Table1[[#This Row],[2026 (EUR)]]*(1-INDIRECT(Table1[[#This Row],[Discount Name]]))</f>
        <v>1009.9</v>
      </c>
      <c r="O40" s="2">
        <f ca="1">Table1[[#This Row],[2026 (DKK)]]*(1-INDIRECT(Table1[[#This Row],[Discount Name]]))</f>
        <v>7513.9</v>
      </c>
      <c r="P40" s="2" cm="1">
        <f t="array" aca="1" ref="P40" ca="1">Table1[[#This Row],[2026 (USD)]]*(1-INDIRECT(Table1[[#This Row],[Discount Name]]))</f>
        <v>1239.9000000000001</v>
      </c>
      <c r="Q40" s="31">
        <f ca="1">INDIRECT(Table1[[#This Row],[Discount Name]])</f>
        <v>0</v>
      </c>
      <c r="S40" s="2">
        <f t="shared" ca="1" si="0"/>
        <v>1009.9</v>
      </c>
      <c r="T40" s="2">
        <f t="shared" ca="1" si="1"/>
        <v>7513.9</v>
      </c>
      <c r="U40" s="71" t="str">
        <f>IFERROR(VLOOKUP(Table1[[#This Row],[No_]],'Customer Net Price'!A:F,5,FALSE),"0")</f>
        <v>0</v>
      </c>
      <c r="V40" s="71" t="str">
        <f>IFERROR(VLOOKUP(Table1[[#This Row],[No_]],'Customer Net Price'!A:G,6,FALSE),"0")</f>
        <v>0</v>
      </c>
    </row>
    <row r="41" spans="1:22" x14ac:dyDescent="0.25">
      <c r="A41" s="23" t="s">
        <v>132</v>
      </c>
      <c r="B41" s="23" t="s">
        <v>8</v>
      </c>
      <c r="C41" t="s">
        <v>172</v>
      </c>
      <c r="D41" t="s">
        <v>305</v>
      </c>
      <c r="E41" t="s">
        <v>484</v>
      </c>
      <c r="F41" t="s">
        <v>916</v>
      </c>
      <c r="G41" t="s">
        <v>916</v>
      </c>
      <c r="H41" s="1" t="s">
        <v>327</v>
      </c>
      <c r="I41">
        <v>1</v>
      </c>
      <c r="J41" t="s">
        <v>562</v>
      </c>
      <c r="K41" s="2">
        <v>1009.9</v>
      </c>
      <c r="L41" s="2">
        <v>7513.9</v>
      </c>
      <c r="M41" s="2">
        <v>1239.9000000000001</v>
      </c>
      <c r="N41" s="2">
        <f ca="1">Table1[[#This Row],[2026 (EUR)]]*(1-INDIRECT(Table1[[#This Row],[Discount Name]]))</f>
        <v>1009.9</v>
      </c>
      <c r="O41" s="2">
        <f ca="1">Table1[[#This Row],[2026 (DKK)]]*(1-INDIRECT(Table1[[#This Row],[Discount Name]]))</f>
        <v>7513.9</v>
      </c>
      <c r="P41" s="2" cm="1">
        <f t="array" aca="1" ref="P41" ca="1">Table1[[#This Row],[2026 (USD)]]*(1-INDIRECT(Table1[[#This Row],[Discount Name]]))</f>
        <v>1239.9000000000001</v>
      </c>
      <c r="Q41" s="31">
        <f ca="1">INDIRECT(Table1[[#This Row],[Discount Name]])</f>
        <v>0</v>
      </c>
      <c r="S41" s="2">
        <f t="shared" ca="1" si="0"/>
        <v>1009.9</v>
      </c>
      <c r="T41" s="2">
        <f t="shared" ca="1" si="1"/>
        <v>7513.9</v>
      </c>
      <c r="U41" s="71" t="str">
        <f>IFERROR(VLOOKUP(Table1[[#This Row],[No_]],'Customer Net Price'!A:F,5,FALSE),"0")</f>
        <v>0</v>
      </c>
      <c r="V41" s="71" t="str">
        <f>IFERROR(VLOOKUP(Table1[[#This Row],[No_]],'Customer Net Price'!A:G,6,FALSE),"0")</f>
        <v>0</v>
      </c>
    </row>
    <row r="42" spans="1:22" x14ac:dyDescent="0.25">
      <c r="A42" s="23" t="s">
        <v>9</v>
      </c>
      <c r="B42" s="23" t="s">
        <v>9</v>
      </c>
      <c r="C42" t="s">
        <v>173</v>
      </c>
      <c r="D42" t="s">
        <v>305</v>
      </c>
      <c r="E42" t="s">
        <v>484</v>
      </c>
      <c r="F42" t="s">
        <v>916</v>
      </c>
      <c r="G42" t="s">
        <v>916</v>
      </c>
      <c r="H42" s="1" t="s">
        <v>328</v>
      </c>
      <c r="I42">
        <v>1</v>
      </c>
      <c r="J42" t="s">
        <v>572</v>
      </c>
      <c r="K42" s="2">
        <v>393.9</v>
      </c>
      <c r="L42" s="2">
        <v>2929.9</v>
      </c>
      <c r="M42" s="2">
        <v>482.9</v>
      </c>
      <c r="N42" s="2">
        <f ca="1">Table1[[#This Row],[2026 (EUR)]]*(1-INDIRECT(Table1[[#This Row],[Discount Name]]))</f>
        <v>393.9</v>
      </c>
      <c r="O42" s="2">
        <f ca="1">Table1[[#This Row],[2026 (DKK)]]*(1-INDIRECT(Table1[[#This Row],[Discount Name]]))</f>
        <v>2929.9</v>
      </c>
      <c r="P42" s="2" cm="1">
        <f t="array" aca="1" ref="P42" ca="1">Table1[[#This Row],[2026 (USD)]]*(1-INDIRECT(Table1[[#This Row],[Discount Name]]))</f>
        <v>482.9</v>
      </c>
      <c r="Q42" s="31">
        <f ca="1">INDIRECT(Table1[[#This Row],[Discount Name]])</f>
        <v>0</v>
      </c>
      <c r="S42" s="2">
        <f t="shared" ca="1" si="0"/>
        <v>393.9</v>
      </c>
      <c r="T42" s="2">
        <f t="shared" ca="1" si="1"/>
        <v>2929.9</v>
      </c>
      <c r="U42" s="71" t="str">
        <f>IFERROR(VLOOKUP(Table1[[#This Row],[No_]],'Customer Net Price'!A:F,5,FALSE),"0")</f>
        <v>0</v>
      </c>
      <c r="V42" s="71" t="str">
        <f>IFERROR(VLOOKUP(Table1[[#This Row],[No_]],'Customer Net Price'!A:G,6,FALSE),"0")</f>
        <v>0</v>
      </c>
    </row>
    <row r="43" spans="1:22" x14ac:dyDescent="0.25">
      <c r="A43" s="23" t="s">
        <v>1088</v>
      </c>
      <c r="B43" s="23" t="s">
        <v>9</v>
      </c>
      <c r="C43" t="s">
        <v>173</v>
      </c>
      <c r="D43" t="s">
        <v>305</v>
      </c>
      <c r="E43" t="s">
        <v>484</v>
      </c>
      <c r="F43" t="s">
        <v>916</v>
      </c>
      <c r="G43" t="s">
        <v>916</v>
      </c>
      <c r="H43" s="1" t="s">
        <v>329</v>
      </c>
      <c r="I43">
        <v>1</v>
      </c>
      <c r="J43" t="s">
        <v>1091</v>
      </c>
      <c r="K43" s="2">
        <v>393.9</v>
      </c>
      <c r="L43" s="2">
        <v>2929.9</v>
      </c>
      <c r="M43" s="2">
        <v>482.9</v>
      </c>
      <c r="N43" s="2">
        <f ca="1">Table1[[#This Row],[2026 (EUR)]]*(1-INDIRECT(Table1[[#This Row],[Discount Name]]))</f>
        <v>393.9</v>
      </c>
      <c r="O43" s="2">
        <f ca="1">Table1[[#This Row],[2026 (DKK)]]*(1-INDIRECT(Table1[[#This Row],[Discount Name]]))</f>
        <v>2929.9</v>
      </c>
      <c r="P43" s="2" cm="1">
        <f t="array" aca="1" ref="P43" ca="1">Table1[[#This Row],[2026 (USD)]]*(1-INDIRECT(Table1[[#This Row],[Discount Name]]))</f>
        <v>482.9</v>
      </c>
      <c r="Q43" s="31">
        <f ca="1">INDIRECT(Table1[[#This Row],[Discount Name]])</f>
        <v>0</v>
      </c>
      <c r="S43" s="2">
        <f t="shared" ca="1" si="0"/>
        <v>393.9</v>
      </c>
      <c r="T43" s="2">
        <f t="shared" ca="1" si="1"/>
        <v>2929.9</v>
      </c>
      <c r="U43" s="71" t="str">
        <f>IFERROR(VLOOKUP(Table1[[#This Row],[No_]],'Customer Net Price'!A:F,5,FALSE),"0")</f>
        <v>0</v>
      </c>
      <c r="V43" s="71" t="str">
        <f>IFERROR(VLOOKUP(Table1[[#This Row],[No_]],'Customer Net Price'!A:G,6,FALSE),"0")</f>
        <v>0</v>
      </c>
    </row>
    <row r="44" spans="1:22" x14ac:dyDescent="0.25">
      <c r="A44" s="23" t="s">
        <v>133</v>
      </c>
      <c r="B44" s="23" t="s">
        <v>9</v>
      </c>
      <c r="C44" t="s">
        <v>173</v>
      </c>
      <c r="D44" t="s">
        <v>305</v>
      </c>
      <c r="E44" t="s">
        <v>484</v>
      </c>
      <c r="F44" t="s">
        <v>916</v>
      </c>
      <c r="G44" t="s">
        <v>916</v>
      </c>
      <c r="H44" s="1" t="s">
        <v>330</v>
      </c>
      <c r="I44">
        <v>1</v>
      </c>
      <c r="J44" t="s">
        <v>562</v>
      </c>
      <c r="K44" s="2">
        <v>393.9</v>
      </c>
      <c r="L44" s="2">
        <v>2929.9</v>
      </c>
      <c r="M44" s="2">
        <v>482.9</v>
      </c>
      <c r="N44" s="2">
        <f ca="1">Table1[[#This Row],[2026 (EUR)]]*(1-INDIRECT(Table1[[#This Row],[Discount Name]]))</f>
        <v>393.9</v>
      </c>
      <c r="O44" s="2">
        <f ca="1">Table1[[#This Row],[2026 (DKK)]]*(1-INDIRECT(Table1[[#This Row],[Discount Name]]))</f>
        <v>2929.9</v>
      </c>
      <c r="P44" s="2" cm="1">
        <f t="array" aca="1" ref="P44" ca="1">Table1[[#This Row],[2026 (USD)]]*(1-INDIRECT(Table1[[#This Row],[Discount Name]]))</f>
        <v>482.9</v>
      </c>
      <c r="Q44" s="31">
        <f ca="1">INDIRECT(Table1[[#This Row],[Discount Name]])</f>
        <v>0</v>
      </c>
      <c r="S44" s="2">
        <f t="shared" ca="1" si="0"/>
        <v>393.9</v>
      </c>
      <c r="T44" s="2">
        <f t="shared" ca="1" si="1"/>
        <v>2929.9</v>
      </c>
      <c r="U44" s="71" t="str">
        <f>IFERROR(VLOOKUP(Table1[[#This Row],[No_]],'Customer Net Price'!A:F,5,FALSE),"0")</f>
        <v>0</v>
      </c>
      <c r="V44" s="71" t="str">
        <f>IFERROR(VLOOKUP(Table1[[#This Row],[No_]],'Customer Net Price'!A:G,6,FALSE),"0")</f>
        <v>0</v>
      </c>
    </row>
    <row r="45" spans="1:22" x14ac:dyDescent="0.25">
      <c r="A45" s="23" t="s">
        <v>10</v>
      </c>
      <c r="B45" s="23" t="s">
        <v>10</v>
      </c>
      <c r="C45" t="s">
        <v>174</v>
      </c>
      <c r="D45" t="s">
        <v>305</v>
      </c>
      <c r="E45" t="s">
        <v>484</v>
      </c>
      <c r="F45" t="s">
        <v>916</v>
      </c>
      <c r="G45" t="s">
        <v>916</v>
      </c>
      <c r="H45" s="1" t="s">
        <v>331</v>
      </c>
      <c r="I45">
        <v>1</v>
      </c>
      <c r="J45" t="s">
        <v>572</v>
      </c>
      <c r="K45" s="2">
        <v>241.9</v>
      </c>
      <c r="L45" s="2">
        <v>1799.9</v>
      </c>
      <c r="M45" s="2">
        <v>296.89999999999998</v>
      </c>
      <c r="N45" s="2">
        <f ca="1">Table1[[#This Row],[2026 (EUR)]]*(1-INDIRECT(Table1[[#This Row],[Discount Name]]))</f>
        <v>241.9</v>
      </c>
      <c r="O45" s="2">
        <f ca="1">Table1[[#This Row],[2026 (DKK)]]*(1-INDIRECT(Table1[[#This Row],[Discount Name]]))</f>
        <v>1799.9</v>
      </c>
      <c r="P45" s="2" cm="1">
        <f t="array" aca="1" ref="P45" ca="1">Table1[[#This Row],[2026 (USD)]]*(1-INDIRECT(Table1[[#This Row],[Discount Name]]))</f>
        <v>296.89999999999998</v>
      </c>
      <c r="Q45" s="31">
        <f ca="1">INDIRECT(Table1[[#This Row],[Discount Name]])</f>
        <v>0</v>
      </c>
      <c r="S45" s="2">
        <f t="shared" ca="1" si="0"/>
        <v>241.9</v>
      </c>
      <c r="T45" s="2">
        <f t="shared" ca="1" si="1"/>
        <v>1799.9</v>
      </c>
      <c r="U45" s="71" t="str">
        <f>IFERROR(VLOOKUP(Table1[[#This Row],[No_]],'Customer Net Price'!A:F,5,FALSE),"0")</f>
        <v>0</v>
      </c>
      <c r="V45" s="71" t="str">
        <f>IFERROR(VLOOKUP(Table1[[#This Row],[No_]],'Customer Net Price'!A:G,6,FALSE),"0")</f>
        <v>0</v>
      </c>
    </row>
    <row r="46" spans="1:22" x14ac:dyDescent="0.25">
      <c r="A46" s="23" t="s">
        <v>1087</v>
      </c>
      <c r="B46" s="23" t="s">
        <v>10</v>
      </c>
      <c r="C46" t="s">
        <v>174</v>
      </c>
      <c r="D46" t="s">
        <v>305</v>
      </c>
      <c r="E46" t="s">
        <v>484</v>
      </c>
      <c r="F46" t="s">
        <v>916</v>
      </c>
      <c r="G46" t="s">
        <v>916</v>
      </c>
      <c r="H46" s="1" t="s">
        <v>332</v>
      </c>
      <c r="I46" t="s">
        <v>546</v>
      </c>
      <c r="J46" t="s">
        <v>1091</v>
      </c>
      <c r="K46" s="2">
        <v>241.9</v>
      </c>
      <c r="L46" s="2">
        <v>1799.9</v>
      </c>
      <c r="M46" s="2">
        <v>296.89999999999998</v>
      </c>
      <c r="N46" s="2">
        <f ca="1">Table1[[#This Row],[2026 (EUR)]]*(1-INDIRECT(Table1[[#This Row],[Discount Name]]))</f>
        <v>241.9</v>
      </c>
      <c r="O46" s="2">
        <f ca="1">Table1[[#This Row],[2026 (DKK)]]*(1-INDIRECT(Table1[[#This Row],[Discount Name]]))</f>
        <v>1799.9</v>
      </c>
      <c r="P46" s="2" cm="1">
        <f t="array" aca="1" ref="P46" ca="1">Table1[[#This Row],[2026 (USD)]]*(1-INDIRECT(Table1[[#This Row],[Discount Name]]))</f>
        <v>296.89999999999998</v>
      </c>
      <c r="Q46" s="31">
        <f ca="1">INDIRECT(Table1[[#This Row],[Discount Name]])</f>
        <v>0</v>
      </c>
      <c r="S46" s="2">
        <f t="shared" ca="1" si="0"/>
        <v>241.9</v>
      </c>
      <c r="T46" s="2">
        <f t="shared" ca="1" si="1"/>
        <v>1799.9</v>
      </c>
      <c r="U46" s="71" t="str">
        <f>IFERROR(VLOOKUP(Table1[[#This Row],[No_]],'Customer Net Price'!A:F,5,FALSE),"0")</f>
        <v>0</v>
      </c>
      <c r="V46" s="71" t="str">
        <f>IFERROR(VLOOKUP(Table1[[#This Row],[No_]],'Customer Net Price'!A:G,6,FALSE),"0")</f>
        <v>0</v>
      </c>
    </row>
    <row r="47" spans="1:22" x14ac:dyDescent="0.25">
      <c r="A47" s="23" t="s">
        <v>134</v>
      </c>
      <c r="B47" s="23" t="s">
        <v>10</v>
      </c>
      <c r="C47" t="s">
        <v>174</v>
      </c>
      <c r="D47" t="s">
        <v>305</v>
      </c>
      <c r="E47" t="s">
        <v>484</v>
      </c>
      <c r="F47" t="s">
        <v>916</v>
      </c>
      <c r="G47" t="s">
        <v>916</v>
      </c>
      <c r="H47" s="1" t="s">
        <v>333</v>
      </c>
      <c r="I47">
        <v>1</v>
      </c>
      <c r="J47" t="s">
        <v>562</v>
      </c>
      <c r="K47" s="2">
        <v>241.9</v>
      </c>
      <c r="L47" s="2">
        <v>1799.9</v>
      </c>
      <c r="M47" s="2">
        <v>296.89999999999998</v>
      </c>
      <c r="N47" s="2">
        <f ca="1">Table1[[#This Row],[2026 (EUR)]]*(1-INDIRECT(Table1[[#This Row],[Discount Name]]))</f>
        <v>241.9</v>
      </c>
      <c r="O47" s="2">
        <f ca="1">Table1[[#This Row],[2026 (DKK)]]*(1-INDIRECT(Table1[[#This Row],[Discount Name]]))</f>
        <v>1799.9</v>
      </c>
      <c r="P47" s="2" cm="1">
        <f t="array" aca="1" ref="P47" ca="1">Table1[[#This Row],[2026 (USD)]]*(1-INDIRECT(Table1[[#This Row],[Discount Name]]))</f>
        <v>296.89999999999998</v>
      </c>
      <c r="Q47" s="31">
        <f ca="1">INDIRECT(Table1[[#This Row],[Discount Name]])</f>
        <v>0</v>
      </c>
      <c r="S47" s="2">
        <f t="shared" ca="1" si="0"/>
        <v>241.9</v>
      </c>
      <c r="T47" s="2">
        <f t="shared" ca="1" si="1"/>
        <v>1799.9</v>
      </c>
      <c r="U47" s="71" t="str">
        <f>IFERROR(VLOOKUP(Table1[[#This Row],[No_]],'Customer Net Price'!A:F,5,FALSE),"0")</f>
        <v>0</v>
      </c>
      <c r="V47" s="71" t="str">
        <f>IFERROR(VLOOKUP(Table1[[#This Row],[No_]],'Customer Net Price'!A:G,6,FALSE),"0")</f>
        <v>0</v>
      </c>
    </row>
    <row r="48" spans="1:22" x14ac:dyDescent="0.25">
      <c r="A48" s="23" t="s">
        <v>934</v>
      </c>
      <c r="B48" s="23" t="s">
        <v>934</v>
      </c>
      <c r="C48" t="s">
        <v>935</v>
      </c>
      <c r="D48" t="s">
        <v>310</v>
      </c>
      <c r="E48" t="s">
        <v>546</v>
      </c>
      <c r="F48" t="s">
        <v>918</v>
      </c>
      <c r="G48" t="s">
        <v>923</v>
      </c>
      <c r="H48" s="46" t="s">
        <v>936</v>
      </c>
      <c r="I48" s="17">
        <v>1</v>
      </c>
      <c r="J48" t="s">
        <v>546</v>
      </c>
      <c r="K48" s="2">
        <v>4.1999999999999993</v>
      </c>
      <c r="L48" s="2">
        <v>29.9</v>
      </c>
      <c r="M48" s="2">
        <v>5</v>
      </c>
      <c r="N48" s="2">
        <f ca="1">Table1[[#This Row],[2026 (EUR)]]*(1-INDIRECT(Table1[[#This Row],[Discount Name]]))</f>
        <v>4.1999999999999993</v>
      </c>
      <c r="O48" s="2">
        <f ca="1">Table1[[#This Row],[2026 (DKK)]]*(1-INDIRECT(Table1[[#This Row],[Discount Name]]))</f>
        <v>29.9</v>
      </c>
      <c r="P48" s="2" cm="1">
        <f t="array" aca="1" ref="P48" ca="1">Table1[[#This Row],[2026 (USD)]]*(1-INDIRECT(Table1[[#This Row],[Discount Name]]))</f>
        <v>5</v>
      </c>
      <c r="Q48" s="31">
        <f ca="1">INDIRECT(Table1[[#This Row],[Discount Name]])</f>
        <v>0</v>
      </c>
      <c r="S48" s="2">
        <f t="shared" ca="1" si="0"/>
        <v>4.1999999999999993</v>
      </c>
      <c r="T48" s="2">
        <f t="shared" ca="1" si="1"/>
        <v>29.9</v>
      </c>
      <c r="U48" s="71" t="str">
        <f>IFERROR(VLOOKUP(Table1[[#This Row],[No_]],'Customer Net Price'!A:F,5,FALSE),"0")</f>
        <v>0</v>
      </c>
      <c r="V48" s="71" t="str">
        <f>IFERROR(VLOOKUP(Table1[[#This Row],[No_]],'Customer Net Price'!A:G,6,FALSE),"0")</f>
        <v>0</v>
      </c>
    </row>
    <row r="49" spans="1:22" x14ac:dyDescent="0.25">
      <c r="A49" s="23" t="s">
        <v>11</v>
      </c>
      <c r="B49" s="23" t="s">
        <v>11</v>
      </c>
      <c r="C49" t="s">
        <v>175</v>
      </c>
      <c r="D49" t="s">
        <v>310</v>
      </c>
      <c r="E49" t="s">
        <v>546</v>
      </c>
      <c r="F49" t="s">
        <v>918</v>
      </c>
      <c r="G49" t="s">
        <v>923</v>
      </c>
      <c r="H49" s="1" t="s">
        <v>334</v>
      </c>
      <c r="I49">
        <v>1</v>
      </c>
      <c r="J49" t="s">
        <v>546</v>
      </c>
      <c r="K49" s="2">
        <v>6.6999999999999993</v>
      </c>
      <c r="L49" s="2">
        <v>49.9</v>
      </c>
      <c r="M49" s="2">
        <v>7.9</v>
      </c>
      <c r="N49" s="2">
        <f ca="1">Table1[[#This Row],[2026 (EUR)]]*(1-INDIRECT(Table1[[#This Row],[Discount Name]]))</f>
        <v>6.6999999999999993</v>
      </c>
      <c r="O49" s="2">
        <f ca="1">Table1[[#This Row],[2026 (DKK)]]*(1-INDIRECT(Table1[[#This Row],[Discount Name]]))</f>
        <v>49.9</v>
      </c>
      <c r="P49" s="2" cm="1">
        <f t="array" aca="1" ref="P49" ca="1">Table1[[#This Row],[2026 (USD)]]*(1-INDIRECT(Table1[[#This Row],[Discount Name]]))</f>
        <v>7.9</v>
      </c>
      <c r="Q49" s="31">
        <f ca="1">INDIRECT(Table1[[#This Row],[Discount Name]])</f>
        <v>0</v>
      </c>
      <c r="S49" s="2">
        <f t="shared" ca="1" si="0"/>
        <v>6.6999999999999993</v>
      </c>
      <c r="T49" s="2">
        <f t="shared" ca="1" si="1"/>
        <v>49.9</v>
      </c>
      <c r="U49" s="71" t="str">
        <f>IFERROR(VLOOKUP(Table1[[#This Row],[No_]],'Customer Net Price'!A:F,5,FALSE),"0")</f>
        <v>0</v>
      </c>
      <c r="V49" s="71" t="str">
        <f>IFERROR(VLOOKUP(Table1[[#This Row],[No_]],'Customer Net Price'!A:G,6,FALSE),"0")</f>
        <v>0</v>
      </c>
    </row>
    <row r="50" spans="1:22" x14ac:dyDescent="0.25">
      <c r="A50" s="23" t="s">
        <v>12</v>
      </c>
      <c r="B50" s="23" t="s">
        <v>12</v>
      </c>
      <c r="C50" t="s">
        <v>176</v>
      </c>
      <c r="D50" t="s">
        <v>310</v>
      </c>
      <c r="E50" t="s">
        <v>546</v>
      </c>
      <c r="F50" t="s">
        <v>918</v>
      </c>
      <c r="G50" t="s">
        <v>923</v>
      </c>
      <c r="H50" s="1" t="s">
        <v>335</v>
      </c>
      <c r="I50">
        <v>1</v>
      </c>
      <c r="J50" t="s">
        <v>546</v>
      </c>
      <c r="K50" s="2">
        <v>8.5</v>
      </c>
      <c r="L50" s="2">
        <v>62.9</v>
      </c>
      <c r="M50" s="2">
        <v>9.9</v>
      </c>
      <c r="N50" s="2">
        <f ca="1">Table1[[#This Row],[2026 (EUR)]]*(1-INDIRECT(Table1[[#This Row],[Discount Name]]))</f>
        <v>8.5</v>
      </c>
      <c r="O50" s="2">
        <f ca="1">Table1[[#This Row],[2026 (DKK)]]*(1-INDIRECT(Table1[[#This Row],[Discount Name]]))</f>
        <v>62.9</v>
      </c>
      <c r="P50" s="2" cm="1">
        <f t="array" aca="1" ref="P50" ca="1">Table1[[#This Row],[2026 (USD)]]*(1-INDIRECT(Table1[[#This Row],[Discount Name]]))</f>
        <v>9.9</v>
      </c>
      <c r="Q50" s="31">
        <f ca="1">INDIRECT(Table1[[#This Row],[Discount Name]])</f>
        <v>0</v>
      </c>
      <c r="S50" s="2">
        <f t="shared" ca="1" si="0"/>
        <v>8.5</v>
      </c>
      <c r="T50" s="2">
        <f t="shared" ca="1" si="1"/>
        <v>62.9</v>
      </c>
      <c r="U50" s="71" t="str">
        <f>IFERROR(VLOOKUP(Table1[[#This Row],[No_]],'Customer Net Price'!A:F,5,FALSE),"0")</f>
        <v>0</v>
      </c>
      <c r="V50" s="71" t="str">
        <f>IFERROR(VLOOKUP(Table1[[#This Row],[No_]],'Customer Net Price'!A:G,6,FALSE),"0")</f>
        <v>0</v>
      </c>
    </row>
    <row r="51" spans="1:22" x14ac:dyDescent="0.25">
      <c r="A51" s="23" t="s">
        <v>13</v>
      </c>
      <c r="B51" s="23" t="s">
        <v>13</v>
      </c>
      <c r="C51" t="s">
        <v>230</v>
      </c>
      <c r="D51" t="s">
        <v>310</v>
      </c>
      <c r="E51" t="s">
        <v>546</v>
      </c>
      <c r="F51" t="s">
        <v>918</v>
      </c>
      <c r="G51" t="s">
        <v>923</v>
      </c>
      <c r="H51" s="1" t="s">
        <v>336</v>
      </c>
      <c r="I51">
        <v>1</v>
      </c>
      <c r="J51" t="s">
        <v>546</v>
      </c>
      <c r="K51" s="2">
        <v>23.9</v>
      </c>
      <c r="L51" s="2">
        <v>177.9</v>
      </c>
      <c r="M51" s="2">
        <v>25.9</v>
      </c>
      <c r="N51" s="2">
        <f ca="1">Table1[[#This Row],[2026 (EUR)]]*(1-INDIRECT(Table1[[#This Row],[Discount Name]]))</f>
        <v>23.9</v>
      </c>
      <c r="O51" s="2">
        <f ca="1">Table1[[#This Row],[2026 (DKK)]]*(1-INDIRECT(Table1[[#This Row],[Discount Name]]))</f>
        <v>177.9</v>
      </c>
      <c r="P51" s="2" cm="1">
        <f t="array" aca="1" ref="P51" ca="1">Table1[[#This Row],[2026 (USD)]]*(1-INDIRECT(Table1[[#This Row],[Discount Name]]))</f>
        <v>25.9</v>
      </c>
      <c r="Q51" s="31">
        <f ca="1">INDIRECT(Table1[[#This Row],[Discount Name]])</f>
        <v>0</v>
      </c>
      <c r="S51" s="2">
        <f t="shared" ca="1" si="0"/>
        <v>23.9</v>
      </c>
      <c r="T51" s="2">
        <f t="shared" ca="1" si="1"/>
        <v>177.9</v>
      </c>
      <c r="U51" s="71" t="str">
        <f>IFERROR(VLOOKUP(Table1[[#This Row],[No_]],'Customer Net Price'!A:F,5,FALSE),"0")</f>
        <v>0</v>
      </c>
      <c r="V51" s="71" t="str">
        <f>IFERROR(VLOOKUP(Table1[[#This Row],[No_]],'Customer Net Price'!A:G,6,FALSE),"0")</f>
        <v>0</v>
      </c>
    </row>
    <row r="52" spans="1:22" x14ac:dyDescent="0.25">
      <c r="A52" s="23" t="s">
        <v>14</v>
      </c>
      <c r="B52" s="23" t="s">
        <v>14</v>
      </c>
      <c r="C52" t="s">
        <v>177</v>
      </c>
      <c r="D52" t="s">
        <v>310</v>
      </c>
      <c r="E52" t="s">
        <v>546</v>
      </c>
      <c r="F52" t="s">
        <v>918</v>
      </c>
      <c r="G52" t="s">
        <v>923</v>
      </c>
      <c r="H52" s="1" t="s">
        <v>337</v>
      </c>
      <c r="I52">
        <v>1</v>
      </c>
      <c r="J52" t="s">
        <v>546</v>
      </c>
      <c r="K52" s="2">
        <v>31.9</v>
      </c>
      <c r="L52" s="2">
        <v>236.9</v>
      </c>
      <c r="M52" s="2">
        <v>36.9</v>
      </c>
      <c r="N52" s="2">
        <f ca="1">Table1[[#This Row],[2026 (EUR)]]*(1-INDIRECT(Table1[[#This Row],[Discount Name]]))</f>
        <v>31.9</v>
      </c>
      <c r="O52" s="2">
        <f ca="1">Table1[[#This Row],[2026 (DKK)]]*(1-INDIRECT(Table1[[#This Row],[Discount Name]]))</f>
        <v>236.9</v>
      </c>
      <c r="P52" s="2" cm="1">
        <f t="array" aca="1" ref="P52" ca="1">Table1[[#This Row],[2026 (USD)]]*(1-INDIRECT(Table1[[#This Row],[Discount Name]]))</f>
        <v>36.9</v>
      </c>
      <c r="Q52" s="31">
        <f ca="1">INDIRECT(Table1[[#This Row],[Discount Name]])</f>
        <v>0</v>
      </c>
      <c r="S52" s="2">
        <f t="shared" ca="1" si="0"/>
        <v>31.9</v>
      </c>
      <c r="T52" s="2">
        <f t="shared" ca="1" si="1"/>
        <v>236.9</v>
      </c>
      <c r="U52" s="71" t="str">
        <f>IFERROR(VLOOKUP(Table1[[#This Row],[No_]],'Customer Net Price'!A:F,5,FALSE),"0")</f>
        <v>0</v>
      </c>
      <c r="V52" s="71" t="str">
        <f>IFERROR(VLOOKUP(Table1[[#This Row],[No_]],'Customer Net Price'!A:G,6,FALSE),"0")</f>
        <v>0</v>
      </c>
    </row>
    <row r="53" spans="1:22" x14ac:dyDescent="0.25">
      <c r="A53" s="23" t="s">
        <v>15</v>
      </c>
      <c r="B53" s="23" t="s">
        <v>15</v>
      </c>
      <c r="C53" t="s">
        <v>178</v>
      </c>
      <c r="D53" t="s">
        <v>310</v>
      </c>
      <c r="E53" t="s">
        <v>546</v>
      </c>
      <c r="F53" t="s">
        <v>918</v>
      </c>
      <c r="G53" t="s">
        <v>923</v>
      </c>
      <c r="H53" s="1" t="s">
        <v>338</v>
      </c>
      <c r="I53">
        <v>1</v>
      </c>
      <c r="J53" t="s">
        <v>546</v>
      </c>
      <c r="K53" s="2">
        <v>26.9</v>
      </c>
      <c r="L53" s="2">
        <v>199.9</v>
      </c>
      <c r="M53" s="2">
        <v>30.9</v>
      </c>
      <c r="N53" s="2">
        <f ca="1">Table1[[#This Row],[2026 (EUR)]]*(1-INDIRECT(Table1[[#This Row],[Discount Name]]))</f>
        <v>26.9</v>
      </c>
      <c r="O53" s="2">
        <f ca="1">Table1[[#This Row],[2026 (DKK)]]*(1-INDIRECT(Table1[[#This Row],[Discount Name]]))</f>
        <v>199.9</v>
      </c>
      <c r="P53" s="2" cm="1">
        <f t="array" aca="1" ref="P53" ca="1">Table1[[#This Row],[2026 (USD)]]*(1-INDIRECT(Table1[[#This Row],[Discount Name]]))</f>
        <v>30.9</v>
      </c>
      <c r="Q53" s="31">
        <f ca="1">INDIRECT(Table1[[#This Row],[Discount Name]])</f>
        <v>0</v>
      </c>
      <c r="S53" s="2">
        <f t="shared" ca="1" si="0"/>
        <v>26.9</v>
      </c>
      <c r="T53" s="2">
        <f t="shared" ca="1" si="1"/>
        <v>199.9</v>
      </c>
      <c r="U53" s="71" t="str">
        <f>IFERROR(VLOOKUP(Table1[[#This Row],[No_]],'Customer Net Price'!A:F,5,FALSE),"0")</f>
        <v>0</v>
      </c>
      <c r="V53" s="71" t="str">
        <f>IFERROR(VLOOKUP(Table1[[#This Row],[No_]],'Customer Net Price'!A:G,6,FALSE),"0")</f>
        <v>0</v>
      </c>
    </row>
    <row r="54" spans="1:22" x14ac:dyDescent="0.25">
      <c r="A54" s="23" t="s">
        <v>16</v>
      </c>
      <c r="B54" s="23" t="s">
        <v>16</v>
      </c>
      <c r="C54" t="s">
        <v>179</v>
      </c>
      <c r="D54" t="s">
        <v>305</v>
      </c>
      <c r="E54" t="s">
        <v>484</v>
      </c>
      <c r="F54" t="s">
        <v>916</v>
      </c>
      <c r="G54" t="s">
        <v>916</v>
      </c>
      <c r="H54" s="1" t="s">
        <v>339</v>
      </c>
      <c r="I54">
        <v>1</v>
      </c>
      <c r="J54" t="s">
        <v>546</v>
      </c>
      <c r="K54" s="2">
        <v>120.89999999999999</v>
      </c>
      <c r="L54" s="2">
        <v>899.9</v>
      </c>
      <c r="M54" s="2">
        <v>148.9</v>
      </c>
      <c r="N54" s="2">
        <f ca="1">Table1[[#This Row],[2026 (EUR)]]*(1-INDIRECT(Table1[[#This Row],[Discount Name]]))</f>
        <v>120.89999999999999</v>
      </c>
      <c r="O54" s="2">
        <f ca="1">Table1[[#This Row],[2026 (DKK)]]*(1-INDIRECT(Table1[[#This Row],[Discount Name]]))</f>
        <v>899.9</v>
      </c>
      <c r="P54" s="2" cm="1">
        <f t="array" aca="1" ref="P54" ca="1">Table1[[#This Row],[2026 (USD)]]*(1-INDIRECT(Table1[[#This Row],[Discount Name]]))</f>
        <v>148.9</v>
      </c>
      <c r="Q54" s="31">
        <f ca="1">INDIRECT(Table1[[#This Row],[Discount Name]])</f>
        <v>0</v>
      </c>
      <c r="S54" s="2">
        <f t="shared" ca="1" si="0"/>
        <v>120.89999999999999</v>
      </c>
      <c r="T54" s="2">
        <f t="shared" ca="1" si="1"/>
        <v>899.9</v>
      </c>
      <c r="U54" s="71" t="str">
        <f>IFERROR(VLOOKUP(Table1[[#This Row],[No_]],'Customer Net Price'!A:F,5,FALSE),"0")</f>
        <v>0</v>
      </c>
      <c r="V54" s="71" t="str">
        <f>IFERROR(VLOOKUP(Table1[[#This Row],[No_]],'Customer Net Price'!A:G,6,FALSE),"0")</f>
        <v>0</v>
      </c>
    </row>
    <row r="55" spans="1:22" x14ac:dyDescent="0.25">
      <c r="A55" s="23" t="s">
        <v>17</v>
      </c>
      <c r="B55" s="23" t="s">
        <v>17</v>
      </c>
      <c r="C55" t="s">
        <v>180</v>
      </c>
      <c r="D55" t="s">
        <v>305</v>
      </c>
      <c r="E55" t="s">
        <v>484</v>
      </c>
      <c r="F55" t="s">
        <v>916</v>
      </c>
      <c r="G55" t="s">
        <v>916</v>
      </c>
      <c r="H55" s="1" t="s">
        <v>340</v>
      </c>
      <c r="I55">
        <v>1</v>
      </c>
      <c r="J55" t="s">
        <v>546</v>
      </c>
      <c r="K55" s="2">
        <v>201.9</v>
      </c>
      <c r="L55" s="2">
        <v>1499.9</v>
      </c>
      <c r="M55" s="2">
        <v>247.9</v>
      </c>
      <c r="N55" s="2">
        <f ca="1">Table1[[#This Row],[2026 (EUR)]]*(1-INDIRECT(Table1[[#This Row],[Discount Name]]))</f>
        <v>201.9</v>
      </c>
      <c r="O55" s="2">
        <f ca="1">Table1[[#This Row],[2026 (DKK)]]*(1-INDIRECT(Table1[[#This Row],[Discount Name]]))</f>
        <v>1499.9</v>
      </c>
      <c r="P55" s="2" cm="1">
        <f t="array" aca="1" ref="P55" ca="1">Table1[[#This Row],[2026 (USD)]]*(1-INDIRECT(Table1[[#This Row],[Discount Name]]))</f>
        <v>247.9</v>
      </c>
      <c r="Q55" s="31">
        <f ca="1">INDIRECT(Table1[[#This Row],[Discount Name]])</f>
        <v>0</v>
      </c>
      <c r="S55" s="2">
        <f t="shared" ca="1" si="0"/>
        <v>201.9</v>
      </c>
      <c r="T55" s="2">
        <f t="shared" ca="1" si="1"/>
        <v>1499.9</v>
      </c>
      <c r="U55" s="71" t="str">
        <f>IFERROR(VLOOKUP(Table1[[#This Row],[No_]],'Customer Net Price'!A:F,5,FALSE),"0")</f>
        <v>0</v>
      </c>
      <c r="V55" s="71" t="str">
        <f>IFERROR(VLOOKUP(Table1[[#This Row],[No_]],'Customer Net Price'!A:G,6,FALSE),"0")</f>
        <v>0</v>
      </c>
    </row>
    <row r="56" spans="1:22" x14ac:dyDescent="0.25">
      <c r="A56" s="23" t="s">
        <v>18</v>
      </c>
      <c r="B56" s="23" t="s">
        <v>18</v>
      </c>
      <c r="C56" t="s">
        <v>181</v>
      </c>
      <c r="D56" t="s">
        <v>305</v>
      </c>
      <c r="E56" t="s">
        <v>484</v>
      </c>
      <c r="F56" t="s">
        <v>916</v>
      </c>
      <c r="G56" t="s">
        <v>916</v>
      </c>
      <c r="H56" s="1" t="s">
        <v>341</v>
      </c>
      <c r="I56">
        <v>1</v>
      </c>
      <c r="J56" t="s">
        <v>546</v>
      </c>
      <c r="K56" s="2">
        <v>231.89999999999998</v>
      </c>
      <c r="L56" s="2">
        <v>1724.9</v>
      </c>
      <c r="M56" s="2">
        <v>284.89999999999998</v>
      </c>
      <c r="N56" s="2">
        <f ca="1">Table1[[#This Row],[2026 (EUR)]]*(1-INDIRECT(Table1[[#This Row],[Discount Name]]))</f>
        <v>231.89999999999998</v>
      </c>
      <c r="O56" s="2">
        <f ca="1">Table1[[#This Row],[2026 (DKK)]]*(1-INDIRECT(Table1[[#This Row],[Discount Name]]))</f>
        <v>1724.9</v>
      </c>
      <c r="P56" s="2" cm="1">
        <f t="array" aca="1" ref="P56" ca="1">Table1[[#This Row],[2026 (USD)]]*(1-INDIRECT(Table1[[#This Row],[Discount Name]]))</f>
        <v>284.89999999999998</v>
      </c>
      <c r="Q56" s="31">
        <f ca="1">INDIRECT(Table1[[#This Row],[Discount Name]])</f>
        <v>0</v>
      </c>
      <c r="S56" s="2">
        <f t="shared" ca="1" si="0"/>
        <v>231.89999999999998</v>
      </c>
      <c r="T56" s="2">
        <f t="shared" ca="1" si="1"/>
        <v>1724.9</v>
      </c>
      <c r="U56" s="71" t="str">
        <f>IFERROR(VLOOKUP(Table1[[#This Row],[No_]],'Customer Net Price'!A:F,5,FALSE),"0")</f>
        <v>0</v>
      </c>
      <c r="V56" s="71" t="str">
        <f>IFERROR(VLOOKUP(Table1[[#This Row],[No_]],'Customer Net Price'!A:G,6,FALSE),"0")</f>
        <v>0</v>
      </c>
    </row>
    <row r="57" spans="1:22" x14ac:dyDescent="0.25">
      <c r="A57" s="23" t="s">
        <v>19</v>
      </c>
      <c r="B57" s="23" t="s">
        <v>19</v>
      </c>
      <c r="C57" t="s">
        <v>182</v>
      </c>
      <c r="D57" t="s">
        <v>305</v>
      </c>
      <c r="E57" t="s">
        <v>484</v>
      </c>
      <c r="F57" t="s">
        <v>916</v>
      </c>
      <c r="G57" t="s">
        <v>916</v>
      </c>
      <c r="H57" s="1" t="s">
        <v>342</v>
      </c>
      <c r="I57">
        <v>1</v>
      </c>
      <c r="J57" t="s">
        <v>546</v>
      </c>
      <c r="K57" s="2">
        <v>272.90000000000003</v>
      </c>
      <c r="L57" s="2">
        <v>2029.9</v>
      </c>
      <c r="M57" s="2">
        <v>334.9</v>
      </c>
      <c r="N57" s="2">
        <f ca="1">Table1[[#This Row],[2026 (EUR)]]*(1-INDIRECT(Table1[[#This Row],[Discount Name]]))</f>
        <v>272.90000000000003</v>
      </c>
      <c r="O57" s="2">
        <f ca="1">Table1[[#This Row],[2026 (DKK)]]*(1-INDIRECT(Table1[[#This Row],[Discount Name]]))</f>
        <v>2029.9</v>
      </c>
      <c r="P57" s="2" cm="1">
        <f t="array" aca="1" ref="P57" ca="1">Table1[[#This Row],[2026 (USD)]]*(1-INDIRECT(Table1[[#This Row],[Discount Name]]))</f>
        <v>334.9</v>
      </c>
      <c r="Q57" s="31">
        <f ca="1">INDIRECT(Table1[[#This Row],[Discount Name]])</f>
        <v>0</v>
      </c>
      <c r="S57" s="2">
        <f t="shared" ca="1" si="0"/>
        <v>272.90000000000003</v>
      </c>
      <c r="T57" s="2">
        <f t="shared" ca="1" si="1"/>
        <v>2029.9</v>
      </c>
      <c r="U57" s="71" t="str">
        <f>IFERROR(VLOOKUP(Table1[[#This Row],[No_]],'Customer Net Price'!A:F,5,FALSE),"0")</f>
        <v>0</v>
      </c>
      <c r="V57" s="71" t="str">
        <f>IFERROR(VLOOKUP(Table1[[#This Row],[No_]],'Customer Net Price'!A:G,6,FALSE),"0")</f>
        <v>0</v>
      </c>
    </row>
    <row r="58" spans="1:22" x14ac:dyDescent="0.25">
      <c r="A58" s="23" t="s">
        <v>20</v>
      </c>
      <c r="B58" s="23" t="s">
        <v>20</v>
      </c>
      <c r="C58" t="s">
        <v>183</v>
      </c>
      <c r="D58" t="s">
        <v>305</v>
      </c>
      <c r="E58" t="s">
        <v>484</v>
      </c>
      <c r="F58" t="s">
        <v>916</v>
      </c>
      <c r="G58" t="s">
        <v>916</v>
      </c>
      <c r="H58" s="1" t="s">
        <v>343</v>
      </c>
      <c r="I58">
        <v>1</v>
      </c>
      <c r="J58" t="s">
        <v>572</v>
      </c>
      <c r="K58" s="2">
        <v>403.90000000000003</v>
      </c>
      <c r="L58" s="2">
        <v>2999.9</v>
      </c>
      <c r="M58" s="2">
        <v>495.9</v>
      </c>
      <c r="N58" s="2">
        <f ca="1">Table1[[#This Row],[2026 (EUR)]]*(1-INDIRECT(Table1[[#This Row],[Discount Name]]))</f>
        <v>403.90000000000003</v>
      </c>
      <c r="O58" s="2">
        <f ca="1">Table1[[#This Row],[2026 (DKK)]]*(1-INDIRECT(Table1[[#This Row],[Discount Name]]))</f>
        <v>2999.9</v>
      </c>
      <c r="P58" s="2" cm="1">
        <f t="array" aca="1" ref="P58" ca="1">Table1[[#This Row],[2026 (USD)]]*(1-INDIRECT(Table1[[#This Row],[Discount Name]]))</f>
        <v>495.9</v>
      </c>
      <c r="Q58" s="31">
        <f ca="1">INDIRECT(Table1[[#This Row],[Discount Name]])</f>
        <v>0</v>
      </c>
      <c r="S58" s="2">
        <f t="shared" ca="1" si="0"/>
        <v>403.90000000000003</v>
      </c>
      <c r="T58" s="2">
        <f t="shared" ca="1" si="1"/>
        <v>2999.9</v>
      </c>
      <c r="U58" s="71" t="str">
        <f>IFERROR(VLOOKUP(Table1[[#This Row],[No_]],'Customer Net Price'!A:F,5,FALSE),"0")</f>
        <v>0</v>
      </c>
      <c r="V58" s="71" t="str">
        <f>IFERROR(VLOOKUP(Table1[[#This Row],[No_]],'Customer Net Price'!A:G,6,FALSE),"0")</f>
        <v>0</v>
      </c>
    </row>
    <row r="59" spans="1:22" x14ac:dyDescent="0.25">
      <c r="A59" s="23" t="s">
        <v>1086</v>
      </c>
      <c r="B59" s="23" t="s">
        <v>20</v>
      </c>
      <c r="C59" t="s">
        <v>183</v>
      </c>
      <c r="D59" t="s">
        <v>305</v>
      </c>
      <c r="E59" t="s">
        <v>484</v>
      </c>
      <c r="F59" t="s">
        <v>916</v>
      </c>
      <c r="G59" t="s">
        <v>916</v>
      </c>
      <c r="H59" s="1" t="s">
        <v>344</v>
      </c>
      <c r="I59" t="s">
        <v>546</v>
      </c>
      <c r="J59" t="s">
        <v>1091</v>
      </c>
      <c r="K59" s="2">
        <v>403.90000000000003</v>
      </c>
      <c r="L59" s="2">
        <v>2999.9</v>
      </c>
      <c r="M59" s="2">
        <v>495.9</v>
      </c>
      <c r="N59" s="2">
        <f ca="1">Table1[[#This Row],[2026 (EUR)]]*(1-INDIRECT(Table1[[#This Row],[Discount Name]]))</f>
        <v>403.90000000000003</v>
      </c>
      <c r="O59" s="2">
        <f ca="1">Table1[[#This Row],[2026 (DKK)]]*(1-INDIRECT(Table1[[#This Row],[Discount Name]]))</f>
        <v>2999.9</v>
      </c>
      <c r="P59" s="2" cm="1">
        <f t="array" aca="1" ref="P59" ca="1">Table1[[#This Row],[2026 (USD)]]*(1-INDIRECT(Table1[[#This Row],[Discount Name]]))</f>
        <v>495.9</v>
      </c>
      <c r="Q59" s="31">
        <f ca="1">INDIRECT(Table1[[#This Row],[Discount Name]])</f>
        <v>0</v>
      </c>
      <c r="S59" s="2">
        <f t="shared" ca="1" si="0"/>
        <v>403.90000000000003</v>
      </c>
      <c r="T59" s="2">
        <f t="shared" ca="1" si="1"/>
        <v>2999.9</v>
      </c>
      <c r="U59" s="71" t="str">
        <f>IFERROR(VLOOKUP(Table1[[#This Row],[No_]],'Customer Net Price'!A:F,5,FALSE),"0")</f>
        <v>0</v>
      </c>
      <c r="V59" s="71" t="str">
        <f>IFERROR(VLOOKUP(Table1[[#This Row],[No_]],'Customer Net Price'!A:G,6,FALSE),"0")</f>
        <v>0</v>
      </c>
    </row>
    <row r="60" spans="1:22" x14ac:dyDescent="0.25">
      <c r="A60" s="23" t="s">
        <v>135</v>
      </c>
      <c r="B60" s="23" t="s">
        <v>20</v>
      </c>
      <c r="C60" t="s">
        <v>183</v>
      </c>
      <c r="D60" t="s">
        <v>305</v>
      </c>
      <c r="E60" t="s">
        <v>484</v>
      </c>
      <c r="F60" t="s">
        <v>916</v>
      </c>
      <c r="G60" t="s">
        <v>916</v>
      </c>
      <c r="H60" s="1" t="s">
        <v>345</v>
      </c>
      <c r="I60">
        <v>1</v>
      </c>
      <c r="J60" t="s">
        <v>562</v>
      </c>
      <c r="K60" s="2">
        <v>403.90000000000003</v>
      </c>
      <c r="L60" s="2">
        <v>2999.9</v>
      </c>
      <c r="M60" s="2">
        <v>495.9</v>
      </c>
      <c r="N60" s="2">
        <f ca="1">Table1[[#This Row],[2026 (EUR)]]*(1-INDIRECT(Table1[[#This Row],[Discount Name]]))</f>
        <v>403.90000000000003</v>
      </c>
      <c r="O60" s="2">
        <f ca="1">Table1[[#This Row],[2026 (DKK)]]*(1-INDIRECT(Table1[[#This Row],[Discount Name]]))</f>
        <v>2999.9</v>
      </c>
      <c r="P60" s="2" cm="1">
        <f t="array" aca="1" ref="P60" ca="1">Table1[[#This Row],[2026 (USD)]]*(1-INDIRECT(Table1[[#This Row],[Discount Name]]))</f>
        <v>495.9</v>
      </c>
      <c r="Q60" s="31">
        <f ca="1">INDIRECT(Table1[[#This Row],[Discount Name]])</f>
        <v>0</v>
      </c>
      <c r="S60" s="2">
        <f t="shared" ca="1" si="0"/>
        <v>403.90000000000003</v>
      </c>
      <c r="T60" s="2">
        <f t="shared" ca="1" si="1"/>
        <v>2999.9</v>
      </c>
      <c r="U60" s="71" t="str">
        <f>IFERROR(VLOOKUP(Table1[[#This Row],[No_]],'Customer Net Price'!A:F,5,FALSE),"0")</f>
        <v>0</v>
      </c>
      <c r="V60" s="71" t="str">
        <f>IFERROR(VLOOKUP(Table1[[#This Row],[No_]],'Customer Net Price'!A:G,6,FALSE),"0")</f>
        <v>0</v>
      </c>
    </row>
    <row r="61" spans="1:22" x14ac:dyDescent="0.25">
      <c r="A61" s="23" t="s">
        <v>34</v>
      </c>
      <c r="B61" s="23" t="s">
        <v>34</v>
      </c>
      <c r="C61" t="s">
        <v>184</v>
      </c>
      <c r="D61" t="s">
        <v>305</v>
      </c>
      <c r="E61" t="s">
        <v>484</v>
      </c>
      <c r="F61" t="s">
        <v>916</v>
      </c>
      <c r="G61" t="s">
        <v>916</v>
      </c>
      <c r="H61" s="1" t="s">
        <v>346</v>
      </c>
      <c r="I61">
        <v>1</v>
      </c>
      <c r="J61" t="s">
        <v>572</v>
      </c>
      <c r="K61" s="2">
        <v>31.5</v>
      </c>
      <c r="L61" s="2">
        <v>229.9</v>
      </c>
      <c r="M61" s="2">
        <v>38.9</v>
      </c>
      <c r="N61" s="2">
        <f ca="1">Table1[[#This Row],[2026 (EUR)]]*(1-INDIRECT(Table1[[#This Row],[Discount Name]]))</f>
        <v>31.5</v>
      </c>
      <c r="O61" s="2">
        <f ca="1">Table1[[#This Row],[2026 (DKK)]]*(1-INDIRECT(Table1[[#This Row],[Discount Name]]))</f>
        <v>229.9</v>
      </c>
      <c r="P61" s="2" cm="1">
        <f t="array" aca="1" ref="P61" ca="1">Table1[[#This Row],[2026 (USD)]]*(1-INDIRECT(Table1[[#This Row],[Discount Name]]))</f>
        <v>38.9</v>
      </c>
      <c r="Q61" s="31">
        <f ca="1">INDIRECT(Table1[[#This Row],[Discount Name]])</f>
        <v>0</v>
      </c>
      <c r="S61" s="2">
        <f t="shared" ca="1" si="0"/>
        <v>31.5</v>
      </c>
      <c r="T61" s="2">
        <f t="shared" ca="1" si="1"/>
        <v>229.9</v>
      </c>
      <c r="U61" s="71" t="str">
        <f>IFERROR(VLOOKUP(Table1[[#This Row],[No_]],'Customer Net Price'!A:F,5,FALSE),"0")</f>
        <v>0</v>
      </c>
      <c r="V61" s="71" t="str">
        <f>IFERROR(VLOOKUP(Table1[[#This Row],[No_]],'Customer Net Price'!A:G,6,FALSE),"0")</f>
        <v>0</v>
      </c>
    </row>
    <row r="62" spans="1:22" x14ac:dyDescent="0.25">
      <c r="A62" s="23" t="s">
        <v>31</v>
      </c>
      <c r="B62" s="23" t="s">
        <v>31</v>
      </c>
      <c r="C62" t="s">
        <v>185</v>
      </c>
      <c r="D62" t="s">
        <v>305</v>
      </c>
      <c r="E62" t="s">
        <v>484</v>
      </c>
      <c r="F62" t="s">
        <v>916</v>
      </c>
      <c r="G62" t="s">
        <v>916</v>
      </c>
      <c r="H62" s="1" t="s">
        <v>347</v>
      </c>
      <c r="I62">
        <v>1</v>
      </c>
      <c r="J62" t="s">
        <v>572</v>
      </c>
      <c r="K62" s="2">
        <v>169.9</v>
      </c>
      <c r="L62" s="2">
        <v>1259.9000000000001</v>
      </c>
      <c r="M62" s="2">
        <v>210.9</v>
      </c>
      <c r="N62" s="2">
        <f ca="1">Table1[[#This Row],[2026 (EUR)]]*(1-INDIRECT(Table1[[#This Row],[Discount Name]]))</f>
        <v>169.9</v>
      </c>
      <c r="O62" s="2">
        <f ca="1">Table1[[#This Row],[2026 (DKK)]]*(1-INDIRECT(Table1[[#This Row],[Discount Name]]))</f>
        <v>1259.9000000000001</v>
      </c>
      <c r="P62" s="2" cm="1">
        <f t="array" aca="1" ref="P62" ca="1">Table1[[#This Row],[2026 (USD)]]*(1-INDIRECT(Table1[[#This Row],[Discount Name]]))</f>
        <v>210.9</v>
      </c>
      <c r="Q62" s="31">
        <f ca="1">INDIRECT(Table1[[#This Row],[Discount Name]])</f>
        <v>0</v>
      </c>
      <c r="S62" s="2">
        <f t="shared" ca="1" si="0"/>
        <v>169.9</v>
      </c>
      <c r="T62" s="2">
        <f t="shared" ca="1" si="1"/>
        <v>1259.9000000000001</v>
      </c>
      <c r="U62" s="71" t="str">
        <f>IFERROR(VLOOKUP(Table1[[#This Row],[No_]],'Customer Net Price'!A:F,5,FALSE),"0")</f>
        <v>0</v>
      </c>
      <c r="V62" s="71" t="str">
        <f>IFERROR(VLOOKUP(Table1[[#This Row],[No_]],'Customer Net Price'!A:G,6,FALSE),"0")</f>
        <v>0</v>
      </c>
    </row>
    <row r="63" spans="1:22" x14ac:dyDescent="0.25">
      <c r="A63" s="23" t="s">
        <v>160</v>
      </c>
      <c r="B63" s="23" t="s">
        <v>31</v>
      </c>
      <c r="C63" t="s">
        <v>185</v>
      </c>
      <c r="D63" t="s">
        <v>305</v>
      </c>
      <c r="E63" t="s">
        <v>484</v>
      </c>
      <c r="F63" t="s">
        <v>916</v>
      </c>
      <c r="G63" t="s">
        <v>916</v>
      </c>
      <c r="H63" s="1" t="s">
        <v>348</v>
      </c>
      <c r="I63">
        <v>1</v>
      </c>
      <c r="J63" t="s">
        <v>571</v>
      </c>
      <c r="K63" s="2">
        <v>169.9</v>
      </c>
      <c r="L63" s="2">
        <v>1259.9000000000001</v>
      </c>
      <c r="M63" s="2">
        <v>210.9</v>
      </c>
      <c r="N63" s="2">
        <f ca="1">Table1[[#This Row],[2026 (EUR)]]*(1-INDIRECT(Table1[[#This Row],[Discount Name]]))</f>
        <v>169.9</v>
      </c>
      <c r="O63" s="2">
        <f ca="1">Table1[[#This Row],[2026 (DKK)]]*(1-INDIRECT(Table1[[#This Row],[Discount Name]]))</f>
        <v>1259.9000000000001</v>
      </c>
      <c r="P63" s="2" cm="1">
        <f t="array" aca="1" ref="P63" ca="1">Table1[[#This Row],[2026 (USD)]]*(1-INDIRECT(Table1[[#This Row],[Discount Name]]))</f>
        <v>210.9</v>
      </c>
      <c r="Q63" s="31">
        <f ca="1">INDIRECT(Table1[[#This Row],[Discount Name]])</f>
        <v>0</v>
      </c>
      <c r="S63" s="2">
        <f t="shared" ca="1" si="0"/>
        <v>169.9</v>
      </c>
      <c r="T63" s="2">
        <f t="shared" ca="1" si="1"/>
        <v>1259.9000000000001</v>
      </c>
      <c r="U63" s="71" t="str">
        <f>IFERROR(VLOOKUP(Table1[[#This Row],[No_]],'Customer Net Price'!A:F,5,FALSE),"0")</f>
        <v>0</v>
      </c>
      <c r="V63" s="71" t="str">
        <f>IFERROR(VLOOKUP(Table1[[#This Row],[No_]],'Customer Net Price'!A:G,6,FALSE),"0")</f>
        <v>0</v>
      </c>
    </row>
    <row r="64" spans="1:22" x14ac:dyDescent="0.25">
      <c r="A64" s="23" t="s">
        <v>578</v>
      </c>
      <c r="B64" s="23" t="s">
        <v>31</v>
      </c>
      <c r="C64" t="s">
        <v>185</v>
      </c>
      <c r="D64" t="s">
        <v>305</v>
      </c>
      <c r="E64" t="s">
        <v>484</v>
      </c>
      <c r="F64" t="s">
        <v>916</v>
      </c>
      <c r="G64" t="s">
        <v>916</v>
      </c>
      <c r="H64" s="1" t="s">
        <v>579</v>
      </c>
      <c r="I64" t="s">
        <v>546</v>
      </c>
      <c r="J64" t="s">
        <v>575</v>
      </c>
      <c r="K64" s="2">
        <v>169.9</v>
      </c>
      <c r="L64" s="2">
        <v>1259.9000000000001</v>
      </c>
      <c r="M64" s="2">
        <v>210.9</v>
      </c>
      <c r="N64" s="2">
        <f ca="1">Table1[[#This Row],[2026 (EUR)]]*(1-INDIRECT(Table1[[#This Row],[Discount Name]]))</f>
        <v>169.9</v>
      </c>
      <c r="O64" s="2">
        <f ca="1">Table1[[#This Row],[2026 (DKK)]]*(1-INDIRECT(Table1[[#This Row],[Discount Name]]))</f>
        <v>1259.9000000000001</v>
      </c>
      <c r="P64" s="2" cm="1">
        <f t="array" aca="1" ref="P64" ca="1">Table1[[#This Row],[2026 (USD)]]*(1-INDIRECT(Table1[[#This Row],[Discount Name]]))</f>
        <v>210.9</v>
      </c>
      <c r="Q64" s="31">
        <f ca="1">INDIRECT(Table1[[#This Row],[Discount Name]])</f>
        <v>0</v>
      </c>
      <c r="S64" s="2">
        <f t="shared" ca="1" si="0"/>
        <v>169.9</v>
      </c>
      <c r="T64" s="2">
        <f t="shared" ca="1" si="1"/>
        <v>1259.9000000000001</v>
      </c>
      <c r="U64" s="71" t="str">
        <f>IFERROR(VLOOKUP(Table1[[#This Row],[No_]],'Customer Net Price'!A:F,5,FALSE),"0")</f>
        <v>0</v>
      </c>
      <c r="V64" s="71" t="str">
        <f>IFERROR(VLOOKUP(Table1[[#This Row],[No_]],'Customer Net Price'!A:G,6,FALSE),"0")</f>
        <v>0</v>
      </c>
    </row>
    <row r="65" spans="1:22" x14ac:dyDescent="0.25">
      <c r="A65" s="23" t="s">
        <v>1092</v>
      </c>
      <c r="B65" s="23" t="s">
        <v>31</v>
      </c>
      <c r="C65" t="s">
        <v>185</v>
      </c>
      <c r="D65" t="s">
        <v>305</v>
      </c>
      <c r="E65" t="s">
        <v>484</v>
      </c>
      <c r="F65" t="s">
        <v>916</v>
      </c>
      <c r="G65" t="s">
        <v>916</v>
      </c>
      <c r="H65" s="1" t="s">
        <v>349</v>
      </c>
      <c r="I65">
        <v>1</v>
      </c>
      <c r="J65" t="s">
        <v>1091</v>
      </c>
      <c r="K65" s="2">
        <v>169.9</v>
      </c>
      <c r="L65" s="2">
        <v>1259.9000000000001</v>
      </c>
      <c r="M65" s="2">
        <v>210.9</v>
      </c>
      <c r="N65" s="2">
        <f ca="1">Table1[[#This Row],[2026 (EUR)]]*(1-INDIRECT(Table1[[#This Row],[Discount Name]]))</f>
        <v>169.9</v>
      </c>
      <c r="O65" s="2">
        <f ca="1">Table1[[#This Row],[2026 (DKK)]]*(1-INDIRECT(Table1[[#This Row],[Discount Name]]))</f>
        <v>1259.9000000000001</v>
      </c>
      <c r="P65" s="2" cm="1">
        <f t="array" aca="1" ref="P65" ca="1">Table1[[#This Row],[2026 (USD)]]*(1-INDIRECT(Table1[[#This Row],[Discount Name]]))</f>
        <v>210.9</v>
      </c>
      <c r="Q65" s="31">
        <f ca="1">INDIRECT(Table1[[#This Row],[Discount Name]])</f>
        <v>0</v>
      </c>
      <c r="S65" s="2">
        <f t="shared" ca="1" si="0"/>
        <v>169.9</v>
      </c>
      <c r="T65" s="2">
        <f t="shared" ca="1" si="1"/>
        <v>1259.9000000000001</v>
      </c>
      <c r="U65" s="71" t="str">
        <f>IFERROR(VLOOKUP(Table1[[#This Row],[No_]],'Customer Net Price'!A:F,5,FALSE),"0")</f>
        <v>0</v>
      </c>
      <c r="V65" s="71" t="str">
        <f>IFERROR(VLOOKUP(Table1[[#This Row],[No_]],'Customer Net Price'!A:G,6,FALSE),"0")</f>
        <v>0</v>
      </c>
    </row>
    <row r="66" spans="1:22" x14ac:dyDescent="0.25">
      <c r="A66" s="23" t="s">
        <v>136</v>
      </c>
      <c r="B66" s="23" t="s">
        <v>31</v>
      </c>
      <c r="C66" t="s">
        <v>185</v>
      </c>
      <c r="D66" t="s">
        <v>305</v>
      </c>
      <c r="E66" t="s">
        <v>484</v>
      </c>
      <c r="F66" t="s">
        <v>916</v>
      </c>
      <c r="G66" t="s">
        <v>916</v>
      </c>
      <c r="H66" s="1" t="s">
        <v>580</v>
      </c>
      <c r="I66">
        <v>1</v>
      </c>
      <c r="J66" t="s">
        <v>562</v>
      </c>
      <c r="K66" s="2">
        <v>169.9</v>
      </c>
      <c r="L66" s="2">
        <v>1259.9000000000001</v>
      </c>
      <c r="M66" s="2">
        <v>210.9</v>
      </c>
      <c r="N66" s="2">
        <f ca="1">Table1[[#This Row],[2026 (EUR)]]*(1-INDIRECT(Table1[[#This Row],[Discount Name]]))</f>
        <v>169.9</v>
      </c>
      <c r="O66" s="2">
        <f ca="1">Table1[[#This Row],[2026 (DKK)]]*(1-INDIRECT(Table1[[#This Row],[Discount Name]]))</f>
        <v>1259.9000000000001</v>
      </c>
      <c r="P66" s="2" cm="1">
        <f t="array" aca="1" ref="P66" ca="1">Table1[[#This Row],[2026 (USD)]]*(1-INDIRECT(Table1[[#This Row],[Discount Name]]))</f>
        <v>210.9</v>
      </c>
      <c r="Q66" s="31">
        <f ca="1">INDIRECT(Table1[[#This Row],[Discount Name]])</f>
        <v>0</v>
      </c>
      <c r="S66" s="2">
        <f t="shared" ca="1" si="0"/>
        <v>169.9</v>
      </c>
      <c r="T66" s="2">
        <f t="shared" ca="1" si="1"/>
        <v>1259.9000000000001</v>
      </c>
      <c r="U66" s="71" t="str">
        <f>IFERROR(VLOOKUP(Table1[[#This Row],[No_]],'Customer Net Price'!A:F,5,FALSE),"0")</f>
        <v>0</v>
      </c>
      <c r="V66" s="71" t="str">
        <f>IFERROR(VLOOKUP(Table1[[#This Row],[No_]],'Customer Net Price'!A:G,6,FALSE),"0")</f>
        <v>0</v>
      </c>
    </row>
    <row r="67" spans="1:22" x14ac:dyDescent="0.25">
      <c r="A67" s="23" t="s">
        <v>35</v>
      </c>
      <c r="B67" s="23" t="s">
        <v>35</v>
      </c>
      <c r="C67" t="s">
        <v>186</v>
      </c>
      <c r="D67" t="s">
        <v>305</v>
      </c>
      <c r="E67" t="s">
        <v>484</v>
      </c>
      <c r="F67" t="s">
        <v>916</v>
      </c>
      <c r="G67" t="s">
        <v>916</v>
      </c>
      <c r="H67" s="1" t="s">
        <v>350</v>
      </c>
      <c r="I67">
        <v>1</v>
      </c>
      <c r="J67" t="s">
        <v>572</v>
      </c>
      <c r="K67" s="2">
        <v>104.89999999999999</v>
      </c>
      <c r="L67" s="2">
        <v>779.9</v>
      </c>
      <c r="M67" s="2">
        <v>126.9</v>
      </c>
      <c r="N67" s="2">
        <f ca="1">Table1[[#This Row],[2026 (EUR)]]*(1-INDIRECT(Table1[[#This Row],[Discount Name]]))</f>
        <v>104.89999999999999</v>
      </c>
      <c r="O67" s="2">
        <f ca="1">Table1[[#This Row],[2026 (DKK)]]*(1-INDIRECT(Table1[[#This Row],[Discount Name]]))</f>
        <v>779.9</v>
      </c>
      <c r="P67" s="2" cm="1">
        <f t="array" aca="1" ref="P67" ca="1">Table1[[#This Row],[2026 (USD)]]*(1-INDIRECT(Table1[[#This Row],[Discount Name]]))</f>
        <v>126.9</v>
      </c>
      <c r="Q67" s="31">
        <f ca="1">INDIRECT(Table1[[#This Row],[Discount Name]])</f>
        <v>0</v>
      </c>
      <c r="S67" s="2">
        <f t="shared" ref="S67:S130" ca="1" si="2">IF(MAX(U67:U67)=0,+N67,MAX(U67:U67))</f>
        <v>104.89999999999999</v>
      </c>
      <c r="T67" s="2">
        <f t="shared" ref="T67:T130" ca="1" si="3">IF(MAX(V67:V67)=0,+O67,MAX(V67:V67))</f>
        <v>779.9</v>
      </c>
      <c r="U67" s="71" t="str">
        <f>IFERROR(VLOOKUP(Table1[[#This Row],[No_]],'Customer Net Price'!A:F,5,FALSE),"0")</f>
        <v>0</v>
      </c>
      <c r="V67" s="71" t="str">
        <f>IFERROR(VLOOKUP(Table1[[#This Row],[No_]],'Customer Net Price'!A:G,6,FALSE),"0")</f>
        <v>0</v>
      </c>
    </row>
    <row r="68" spans="1:22" x14ac:dyDescent="0.25">
      <c r="A68" s="23" t="s">
        <v>139</v>
      </c>
      <c r="B68" s="23" t="s">
        <v>35</v>
      </c>
      <c r="C68" t="s">
        <v>186</v>
      </c>
      <c r="D68" t="s">
        <v>305</v>
      </c>
      <c r="E68" t="s">
        <v>484</v>
      </c>
      <c r="F68" t="s">
        <v>916</v>
      </c>
      <c r="G68" t="s">
        <v>916</v>
      </c>
      <c r="H68" s="1" t="s">
        <v>351</v>
      </c>
      <c r="I68">
        <v>1</v>
      </c>
      <c r="J68" t="s">
        <v>571</v>
      </c>
      <c r="K68" s="2">
        <v>104.89999999999999</v>
      </c>
      <c r="L68" s="2">
        <v>779.9</v>
      </c>
      <c r="M68" s="2">
        <v>126.9</v>
      </c>
      <c r="N68" s="2">
        <f ca="1">Table1[[#This Row],[2026 (EUR)]]*(1-INDIRECT(Table1[[#This Row],[Discount Name]]))</f>
        <v>104.89999999999999</v>
      </c>
      <c r="O68" s="2">
        <f ca="1">Table1[[#This Row],[2026 (DKK)]]*(1-INDIRECT(Table1[[#This Row],[Discount Name]]))</f>
        <v>779.9</v>
      </c>
      <c r="P68" s="2" cm="1">
        <f t="array" aca="1" ref="P68" ca="1">Table1[[#This Row],[2026 (USD)]]*(1-INDIRECT(Table1[[#This Row],[Discount Name]]))</f>
        <v>126.9</v>
      </c>
      <c r="Q68" s="31">
        <f ca="1">INDIRECT(Table1[[#This Row],[Discount Name]])</f>
        <v>0</v>
      </c>
      <c r="S68" s="2">
        <f t="shared" ca="1" si="2"/>
        <v>104.89999999999999</v>
      </c>
      <c r="T68" s="2">
        <f t="shared" ca="1" si="3"/>
        <v>779.9</v>
      </c>
      <c r="U68" s="71" t="str">
        <f>IFERROR(VLOOKUP(Table1[[#This Row],[No_]],'Customer Net Price'!A:F,5,FALSE),"0")</f>
        <v>0</v>
      </c>
      <c r="V68" s="71" t="str">
        <f>IFERROR(VLOOKUP(Table1[[#This Row],[No_]],'Customer Net Price'!A:G,6,FALSE),"0")</f>
        <v>0</v>
      </c>
    </row>
    <row r="69" spans="1:22" x14ac:dyDescent="0.25">
      <c r="A69" s="23" t="s">
        <v>581</v>
      </c>
      <c r="B69" s="23" t="s">
        <v>35</v>
      </c>
      <c r="C69" t="s">
        <v>186</v>
      </c>
      <c r="D69" t="s">
        <v>305</v>
      </c>
      <c r="E69" t="s">
        <v>484</v>
      </c>
      <c r="F69" t="s">
        <v>916</v>
      </c>
      <c r="G69" t="s">
        <v>916</v>
      </c>
      <c r="H69" s="1" t="s">
        <v>582</v>
      </c>
      <c r="I69" t="s">
        <v>546</v>
      </c>
      <c r="J69" t="s">
        <v>575</v>
      </c>
      <c r="K69" s="2">
        <v>104.89999999999999</v>
      </c>
      <c r="L69" s="2">
        <v>779.9</v>
      </c>
      <c r="M69" s="2">
        <v>126.9</v>
      </c>
      <c r="N69" s="2">
        <f ca="1">Table1[[#This Row],[2026 (EUR)]]*(1-INDIRECT(Table1[[#This Row],[Discount Name]]))</f>
        <v>104.89999999999999</v>
      </c>
      <c r="O69" s="2">
        <f ca="1">Table1[[#This Row],[2026 (DKK)]]*(1-INDIRECT(Table1[[#This Row],[Discount Name]]))</f>
        <v>779.9</v>
      </c>
      <c r="P69" s="2" cm="1">
        <f t="array" aca="1" ref="P69" ca="1">Table1[[#This Row],[2026 (USD)]]*(1-INDIRECT(Table1[[#This Row],[Discount Name]]))</f>
        <v>126.9</v>
      </c>
      <c r="Q69" s="31">
        <f ca="1">INDIRECT(Table1[[#This Row],[Discount Name]])</f>
        <v>0</v>
      </c>
      <c r="S69" s="2">
        <f t="shared" ca="1" si="2"/>
        <v>104.89999999999999</v>
      </c>
      <c r="T69" s="2">
        <f t="shared" ca="1" si="3"/>
        <v>779.9</v>
      </c>
      <c r="U69" s="71" t="str">
        <f>IFERROR(VLOOKUP(Table1[[#This Row],[No_]],'Customer Net Price'!A:F,5,FALSE),"0")</f>
        <v>0</v>
      </c>
      <c r="V69" s="71" t="str">
        <f>IFERROR(VLOOKUP(Table1[[#This Row],[No_]],'Customer Net Price'!A:G,6,FALSE),"0")</f>
        <v>0</v>
      </c>
    </row>
    <row r="70" spans="1:22" x14ac:dyDescent="0.25">
      <c r="A70" s="23" t="s">
        <v>1093</v>
      </c>
      <c r="B70" s="23" t="s">
        <v>35</v>
      </c>
      <c r="C70" t="s">
        <v>186</v>
      </c>
      <c r="D70" t="s">
        <v>305</v>
      </c>
      <c r="E70" t="s">
        <v>484</v>
      </c>
      <c r="F70" t="s">
        <v>916</v>
      </c>
      <c r="G70" t="s">
        <v>916</v>
      </c>
      <c r="H70" s="48" t="s">
        <v>352</v>
      </c>
      <c r="I70">
        <v>1</v>
      </c>
      <c r="J70" t="s">
        <v>1091</v>
      </c>
      <c r="K70" s="2">
        <v>104.89999999999999</v>
      </c>
      <c r="L70" s="2">
        <v>779.9</v>
      </c>
      <c r="M70" s="2">
        <v>126.9</v>
      </c>
      <c r="N70" s="2">
        <f ca="1">Table1[[#This Row],[2026 (EUR)]]*(1-INDIRECT(Table1[[#This Row],[Discount Name]]))</f>
        <v>104.89999999999999</v>
      </c>
      <c r="O70" s="2">
        <f ca="1">Table1[[#This Row],[2026 (DKK)]]*(1-INDIRECT(Table1[[#This Row],[Discount Name]]))</f>
        <v>779.9</v>
      </c>
      <c r="P70" s="2" cm="1">
        <f t="array" aca="1" ref="P70" ca="1">Table1[[#This Row],[2026 (USD)]]*(1-INDIRECT(Table1[[#This Row],[Discount Name]]))</f>
        <v>126.9</v>
      </c>
      <c r="Q70" s="31">
        <f ca="1">INDIRECT(Table1[[#This Row],[Discount Name]])</f>
        <v>0</v>
      </c>
      <c r="S70" s="2">
        <f t="shared" ca="1" si="2"/>
        <v>104.89999999999999</v>
      </c>
      <c r="T70" s="2">
        <f t="shared" ca="1" si="3"/>
        <v>779.9</v>
      </c>
      <c r="U70" s="71" t="str">
        <f>IFERROR(VLOOKUP(Table1[[#This Row],[No_]],'Customer Net Price'!A:F,5,FALSE),"0")</f>
        <v>0</v>
      </c>
      <c r="V70" s="71" t="str">
        <f>IFERROR(VLOOKUP(Table1[[#This Row],[No_]],'Customer Net Price'!A:G,6,FALSE),"0")</f>
        <v>0</v>
      </c>
    </row>
    <row r="71" spans="1:22" x14ac:dyDescent="0.25">
      <c r="A71" s="23" t="s">
        <v>137</v>
      </c>
      <c r="B71" s="23" t="s">
        <v>35</v>
      </c>
      <c r="C71" t="s">
        <v>186</v>
      </c>
      <c r="D71" t="s">
        <v>305</v>
      </c>
      <c r="E71" t="s">
        <v>484</v>
      </c>
      <c r="F71" t="s">
        <v>916</v>
      </c>
      <c r="G71" t="s">
        <v>916</v>
      </c>
      <c r="H71" s="48" t="s">
        <v>583</v>
      </c>
      <c r="I71">
        <v>1</v>
      </c>
      <c r="J71" t="s">
        <v>562</v>
      </c>
      <c r="K71" s="2">
        <v>104.89999999999999</v>
      </c>
      <c r="L71" s="2">
        <v>779.9</v>
      </c>
      <c r="M71" s="2">
        <v>126.9</v>
      </c>
      <c r="N71" s="2">
        <f ca="1">Table1[[#This Row],[2026 (EUR)]]*(1-INDIRECT(Table1[[#This Row],[Discount Name]]))</f>
        <v>104.89999999999999</v>
      </c>
      <c r="O71" s="2">
        <f ca="1">Table1[[#This Row],[2026 (DKK)]]*(1-INDIRECT(Table1[[#This Row],[Discount Name]]))</f>
        <v>779.9</v>
      </c>
      <c r="P71" s="2" cm="1">
        <f t="array" aca="1" ref="P71" ca="1">Table1[[#This Row],[2026 (USD)]]*(1-INDIRECT(Table1[[#This Row],[Discount Name]]))</f>
        <v>126.9</v>
      </c>
      <c r="Q71" s="31">
        <f ca="1">INDIRECT(Table1[[#This Row],[Discount Name]])</f>
        <v>0</v>
      </c>
      <c r="S71" s="2">
        <f t="shared" ca="1" si="2"/>
        <v>104.89999999999999</v>
      </c>
      <c r="T71" s="2">
        <f t="shared" ca="1" si="3"/>
        <v>779.9</v>
      </c>
      <c r="U71" s="71" t="str">
        <f>IFERROR(VLOOKUP(Table1[[#This Row],[No_]],'Customer Net Price'!A:F,5,FALSE),"0")</f>
        <v>0</v>
      </c>
      <c r="V71" s="71" t="str">
        <f>IFERROR(VLOOKUP(Table1[[#This Row],[No_]],'Customer Net Price'!A:G,6,FALSE),"0")</f>
        <v>0</v>
      </c>
    </row>
    <row r="72" spans="1:22" x14ac:dyDescent="0.25">
      <c r="A72" s="23" t="s">
        <v>36</v>
      </c>
      <c r="B72" s="23" t="s">
        <v>36</v>
      </c>
      <c r="C72" t="s">
        <v>187</v>
      </c>
      <c r="D72" t="s">
        <v>305</v>
      </c>
      <c r="E72" t="s">
        <v>484</v>
      </c>
      <c r="F72" t="s">
        <v>916</v>
      </c>
      <c r="G72" t="s">
        <v>916</v>
      </c>
      <c r="H72" s="1" t="s">
        <v>353</v>
      </c>
      <c r="I72">
        <v>1</v>
      </c>
      <c r="J72" t="s">
        <v>546</v>
      </c>
      <c r="K72" s="2">
        <v>92.899999999999991</v>
      </c>
      <c r="L72" s="2">
        <v>689.9</v>
      </c>
      <c r="M72" s="2">
        <v>111.9</v>
      </c>
      <c r="N72" s="2">
        <f ca="1">Table1[[#This Row],[2026 (EUR)]]*(1-INDIRECT(Table1[[#This Row],[Discount Name]]))</f>
        <v>92.899999999999991</v>
      </c>
      <c r="O72" s="2">
        <f ca="1">Table1[[#This Row],[2026 (DKK)]]*(1-INDIRECT(Table1[[#This Row],[Discount Name]]))</f>
        <v>689.9</v>
      </c>
      <c r="P72" s="2" cm="1">
        <f t="array" aca="1" ref="P72" ca="1">Table1[[#This Row],[2026 (USD)]]*(1-INDIRECT(Table1[[#This Row],[Discount Name]]))</f>
        <v>111.9</v>
      </c>
      <c r="Q72" s="31">
        <f ca="1">INDIRECT(Table1[[#This Row],[Discount Name]])</f>
        <v>0</v>
      </c>
      <c r="S72" s="2">
        <f t="shared" ca="1" si="2"/>
        <v>92.899999999999991</v>
      </c>
      <c r="T72" s="2">
        <f t="shared" ca="1" si="3"/>
        <v>689.9</v>
      </c>
      <c r="U72" s="71" t="str">
        <f>IFERROR(VLOOKUP(Table1[[#This Row],[No_]],'Customer Net Price'!A:F,5,FALSE),"0")</f>
        <v>0</v>
      </c>
      <c r="V72" s="71" t="str">
        <f>IFERROR(VLOOKUP(Table1[[#This Row],[No_]],'Customer Net Price'!A:G,6,FALSE),"0")</f>
        <v>0</v>
      </c>
    </row>
    <row r="73" spans="1:22" x14ac:dyDescent="0.25">
      <c r="A73" s="23" t="s">
        <v>138</v>
      </c>
      <c r="B73" s="23" t="s">
        <v>36</v>
      </c>
      <c r="C73" t="s">
        <v>187</v>
      </c>
      <c r="D73" t="s">
        <v>305</v>
      </c>
      <c r="E73" t="s">
        <v>484</v>
      </c>
      <c r="F73" t="s">
        <v>916</v>
      </c>
      <c r="G73" t="s">
        <v>916</v>
      </c>
      <c r="H73" s="1" t="s">
        <v>584</v>
      </c>
      <c r="I73">
        <v>1</v>
      </c>
      <c r="J73" t="s">
        <v>562</v>
      </c>
      <c r="K73" s="2">
        <v>92.899999999999991</v>
      </c>
      <c r="L73" s="2">
        <v>689.9</v>
      </c>
      <c r="M73" s="2">
        <v>111.9</v>
      </c>
      <c r="N73" s="2">
        <f ca="1">Table1[[#This Row],[2026 (EUR)]]*(1-INDIRECT(Table1[[#This Row],[Discount Name]]))</f>
        <v>92.899999999999991</v>
      </c>
      <c r="O73" s="2">
        <f ca="1">Table1[[#This Row],[2026 (DKK)]]*(1-INDIRECT(Table1[[#This Row],[Discount Name]]))</f>
        <v>689.9</v>
      </c>
      <c r="P73" s="2" cm="1">
        <f t="array" aca="1" ref="P73" ca="1">Table1[[#This Row],[2026 (USD)]]*(1-INDIRECT(Table1[[#This Row],[Discount Name]]))</f>
        <v>111.9</v>
      </c>
      <c r="Q73" s="31">
        <f ca="1">INDIRECT(Table1[[#This Row],[Discount Name]])</f>
        <v>0</v>
      </c>
      <c r="S73" s="2">
        <f t="shared" ca="1" si="2"/>
        <v>92.899999999999991</v>
      </c>
      <c r="T73" s="2">
        <f t="shared" ca="1" si="3"/>
        <v>689.9</v>
      </c>
      <c r="U73" s="71" t="str">
        <f>IFERROR(VLOOKUP(Table1[[#This Row],[No_]],'Customer Net Price'!A:F,5,FALSE),"0")</f>
        <v>0</v>
      </c>
      <c r="V73" s="71" t="str">
        <f>IFERROR(VLOOKUP(Table1[[#This Row],[No_]],'Customer Net Price'!A:G,6,FALSE),"0")</f>
        <v>0</v>
      </c>
    </row>
    <row r="74" spans="1:22" x14ac:dyDescent="0.25">
      <c r="A74" s="23" t="s">
        <v>21</v>
      </c>
      <c r="B74" s="23" t="s">
        <v>21</v>
      </c>
      <c r="C74" t="s">
        <v>188</v>
      </c>
      <c r="D74" t="s">
        <v>310</v>
      </c>
      <c r="E74" t="s">
        <v>546</v>
      </c>
      <c r="F74" t="s">
        <v>918</v>
      </c>
      <c r="G74" t="s">
        <v>923</v>
      </c>
      <c r="H74" s="1" t="s">
        <v>354</v>
      </c>
      <c r="I74">
        <v>1</v>
      </c>
      <c r="J74" t="s">
        <v>546</v>
      </c>
      <c r="K74" s="2">
        <v>15.9</v>
      </c>
      <c r="L74" s="2">
        <v>117.9</v>
      </c>
      <c r="M74" s="2">
        <v>17.899999999999999</v>
      </c>
      <c r="N74" s="2">
        <f ca="1">Table1[[#This Row],[2026 (EUR)]]*(1-INDIRECT(Table1[[#This Row],[Discount Name]]))</f>
        <v>15.9</v>
      </c>
      <c r="O74" s="2">
        <f ca="1">Table1[[#This Row],[2026 (DKK)]]*(1-INDIRECT(Table1[[#This Row],[Discount Name]]))</f>
        <v>117.9</v>
      </c>
      <c r="P74" s="2" cm="1">
        <f t="array" aca="1" ref="P74" ca="1">Table1[[#This Row],[2026 (USD)]]*(1-INDIRECT(Table1[[#This Row],[Discount Name]]))</f>
        <v>17.899999999999999</v>
      </c>
      <c r="Q74" s="31">
        <f ca="1">INDIRECT(Table1[[#This Row],[Discount Name]])</f>
        <v>0</v>
      </c>
      <c r="S74" s="2">
        <f t="shared" ca="1" si="2"/>
        <v>15.9</v>
      </c>
      <c r="T74" s="2">
        <f t="shared" ca="1" si="3"/>
        <v>117.9</v>
      </c>
      <c r="U74" s="71" t="str">
        <f>IFERROR(VLOOKUP(Table1[[#This Row],[No_]],'Customer Net Price'!A:F,5,FALSE),"0")</f>
        <v>0</v>
      </c>
      <c r="V74" s="71" t="str">
        <f>IFERROR(VLOOKUP(Table1[[#This Row],[No_]],'Customer Net Price'!A:G,6,FALSE),"0")</f>
        <v>0</v>
      </c>
    </row>
    <row r="75" spans="1:22" x14ac:dyDescent="0.25">
      <c r="A75" s="23" t="s">
        <v>585</v>
      </c>
      <c r="B75" s="23" t="s">
        <v>585</v>
      </c>
      <c r="C75" t="s">
        <v>586</v>
      </c>
      <c r="D75" t="s">
        <v>310</v>
      </c>
      <c r="E75" t="s">
        <v>546</v>
      </c>
      <c r="F75" t="s">
        <v>918</v>
      </c>
      <c r="G75" t="s">
        <v>923</v>
      </c>
      <c r="H75" s="46" t="s">
        <v>830</v>
      </c>
      <c r="I75" t="s">
        <v>546</v>
      </c>
      <c r="J75" t="s">
        <v>562</v>
      </c>
      <c r="K75" s="2">
        <v>59.9</v>
      </c>
      <c r="L75" s="2">
        <v>444.9</v>
      </c>
      <c r="M75" s="2">
        <v>62.9</v>
      </c>
      <c r="N75" s="2">
        <f ca="1">Table1[[#This Row],[2026 (EUR)]]*(1-INDIRECT(Table1[[#This Row],[Discount Name]]))</f>
        <v>59.9</v>
      </c>
      <c r="O75" s="2">
        <f ca="1">Table1[[#This Row],[2026 (DKK)]]*(1-INDIRECT(Table1[[#This Row],[Discount Name]]))</f>
        <v>444.9</v>
      </c>
      <c r="P75" s="2" cm="1">
        <f t="array" aca="1" ref="P75" ca="1">Table1[[#This Row],[2026 (USD)]]*(1-INDIRECT(Table1[[#This Row],[Discount Name]]))</f>
        <v>62.9</v>
      </c>
      <c r="Q75" s="31">
        <f ca="1">INDIRECT(Table1[[#This Row],[Discount Name]])</f>
        <v>0</v>
      </c>
      <c r="S75" s="2">
        <f t="shared" ca="1" si="2"/>
        <v>59.9</v>
      </c>
      <c r="T75" s="2">
        <f t="shared" ca="1" si="3"/>
        <v>444.9</v>
      </c>
      <c r="U75" s="71" t="str">
        <f>IFERROR(VLOOKUP(Table1[[#This Row],[No_]],'Customer Net Price'!A:F,5,FALSE),"0")</f>
        <v>0</v>
      </c>
      <c r="V75" s="71" t="str">
        <f>IFERROR(VLOOKUP(Table1[[#This Row],[No_]],'Customer Net Price'!A:G,6,FALSE),"0")</f>
        <v>0</v>
      </c>
    </row>
    <row r="76" spans="1:22" x14ac:dyDescent="0.25">
      <c r="A76" s="23" t="s">
        <v>22</v>
      </c>
      <c r="B76" s="23" t="s">
        <v>22</v>
      </c>
      <c r="C76" t="s">
        <v>231</v>
      </c>
      <c r="D76" t="s">
        <v>310</v>
      </c>
      <c r="E76" t="s">
        <v>546</v>
      </c>
      <c r="F76" t="s">
        <v>918</v>
      </c>
      <c r="G76" t="s">
        <v>923</v>
      </c>
      <c r="H76" s="1" t="s">
        <v>387</v>
      </c>
      <c r="I76">
        <v>1</v>
      </c>
      <c r="J76" t="s">
        <v>546</v>
      </c>
      <c r="K76" s="2">
        <v>42.9</v>
      </c>
      <c r="L76" s="2">
        <v>318.89999999999998</v>
      </c>
      <c r="M76" s="2">
        <v>47.9</v>
      </c>
      <c r="N76" s="2">
        <f ca="1">Table1[[#This Row],[2026 (EUR)]]*(1-INDIRECT(Table1[[#This Row],[Discount Name]]))</f>
        <v>42.9</v>
      </c>
      <c r="O76" s="2">
        <f ca="1">Table1[[#This Row],[2026 (DKK)]]*(1-INDIRECT(Table1[[#This Row],[Discount Name]]))</f>
        <v>318.89999999999998</v>
      </c>
      <c r="P76" s="2" cm="1">
        <f t="array" aca="1" ref="P76" ca="1">Table1[[#This Row],[2026 (USD)]]*(1-INDIRECT(Table1[[#This Row],[Discount Name]]))</f>
        <v>47.9</v>
      </c>
      <c r="Q76" s="31">
        <f ca="1">INDIRECT(Table1[[#This Row],[Discount Name]])</f>
        <v>0</v>
      </c>
      <c r="S76" s="2">
        <f t="shared" ca="1" si="2"/>
        <v>42.9</v>
      </c>
      <c r="T76" s="2">
        <f t="shared" ca="1" si="3"/>
        <v>318.89999999999998</v>
      </c>
      <c r="U76" s="71" t="str">
        <f>IFERROR(VLOOKUP(Table1[[#This Row],[No_]],'Customer Net Price'!A:F,5,FALSE),"0")</f>
        <v>0</v>
      </c>
      <c r="V76" s="71" t="str">
        <f>IFERROR(VLOOKUP(Table1[[#This Row],[No_]],'Customer Net Price'!A:G,6,FALSE),"0")</f>
        <v>0</v>
      </c>
    </row>
    <row r="77" spans="1:22" x14ac:dyDescent="0.25">
      <c r="A77" s="23" t="s">
        <v>1715</v>
      </c>
      <c r="B77" s="23" t="s">
        <v>1715</v>
      </c>
      <c r="C77" t="s">
        <v>1721</v>
      </c>
      <c r="D77" t="s">
        <v>310</v>
      </c>
      <c r="E77" t="s">
        <v>546</v>
      </c>
      <c r="F77" t="s">
        <v>918</v>
      </c>
      <c r="G77" t="s">
        <v>923</v>
      </c>
      <c r="H77" s="79" t="s">
        <v>1727</v>
      </c>
      <c r="I77" t="s">
        <v>546</v>
      </c>
      <c r="J77" t="s">
        <v>546</v>
      </c>
      <c r="K77" s="2">
        <v>34.9</v>
      </c>
      <c r="L77" s="2">
        <v>259.89999999999998</v>
      </c>
      <c r="M77" s="2">
        <v>39.9</v>
      </c>
      <c r="N77" s="2">
        <f ca="1">Table1[[#This Row],[2026 (EUR)]]*(1-INDIRECT(Table1[[#This Row],[Discount Name]]))</f>
        <v>34.9</v>
      </c>
      <c r="O77" s="2">
        <f ca="1">Table1[[#This Row],[2026 (DKK)]]*(1-INDIRECT(Table1[[#This Row],[Discount Name]]))</f>
        <v>259.89999999999998</v>
      </c>
      <c r="P77" s="2" cm="1">
        <f t="array" aca="1" ref="P77" ca="1">Table1[[#This Row],[2026 (USD)]]*(1-INDIRECT(Table1[[#This Row],[Discount Name]]))</f>
        <v>39.9</v>
      </c>
      <c r="Q77" s="32">
        <f ca="1">INDIRECT(Table1[[#This Row],[Discount Name]])</f>
        <v>0</v>
      </c>
      <c r="S77" s="2">
        <f t="shared" ca="1" si="2"/>
        <v>34.9</v>
      </c>
      <c r="T77" s="2">
        <f t="shared" ca="1" si="3"/>
        <v>259.89999999999998</v>
      </c>
      <c r="U77" s="71" t="str">
        <f>IFERROR(VLOOKUP(Table1[[#This Row],[No_]],'Customer Net Price'!A:F,5,FALSE),"0")</f>
        <v>0</v>
      </c>
      <c r="V77" s="71" t="str">
        <f>IFERROR(VLOOKUP(Table1[[#This Row],[No_]],'Customer Net Price'!A:G,6,FALSE),"0")</f>
        <v>0</v>
      </c>
    </row>
    <row r="78" spans="1:22" x14ac:dyDescent="0.25">
      <c r="A78" s="23" t="s">
        <v>50</v>
      </c>
      <c r="B78" s="23" t="s">
        <v>50</v>
      </c>
      <c r="C78" t="s">
        <v>189</v>
      </c>
      <c r="D78" t="s">
        <v>305</v>
      </c>
      <c r="E78" t="s">
        <v>484</v>
      </c>
      <c r="F78" t="s">
        <v>916</v>
      </c>
      <c r="G78" t="s">
        <v>916</v>
      </c>
      <c r="H78" s="1" t="s">
        <v>355</v>
      </c>
      <c r="I78">
        <v>1</v>
      </c>
      <c r="J78" t="s">
        <v>546</v>
      </c>
      <c r="K78" s="2">
        <v>70.899999999999991</v>
      </c>
      <c r="L78" s="2">
        <v>529.9</v>
      </c>
      <c r="M78" s="2">
        <v>86.9</v>
      </c>
      <c r="N78" s="2">
        <f ca="1">Table1[[#This Row],[2026 (EUR)]]*(1-INDIRECT(Table1[[#This Row],[Discount Name]]))</f>
        <v>70.899999999999991</v>
      </c>
      <c r="O78" s="2">
        <f ca="1">Table1[[#This Row],[2026 (DKK)]]*(1-INDIRECT(Table1[[#This Row],[Discount Name]]))</f>
        <v>529.9</v>
      </c>
      <c r="P78" s="2" cm="1">
        <f t="array" aca="1" ref="P78" ca="1">Table1[[#This Row],[2026 (USD)]]*(1-INDIRECT(Table1[[#This Row],[Discount Name]]))</f>
        <v>86.9</v>
      </c>
      <c r="Q78" s="31">
        <f ca="1">INDIRECT(Table1[[#This Row],[Discount Name]])</f>
        <v>0</v>
      </c>
      <c r="S78" s="2">
        <f t="shared" ca="1" si="2"/>
        <v>70.899999999999991</v>
      </c>
      <c r="T78" s="2">
        <f t="shared" ca="1" si="3"/>
        <v>529.9</v>
      </c>
      <c r="U78" s="71" t="str">
        <f>IFERROR(VLOOKUP(Table1[[#This Row],[No_]],'Customer Net Price'!A:F,5,FALSE),"0")</f>
        <v>0</v>
      </c>
      <c r="V78" s="71" t="str">
        <f>IFERROR(VLOOKUP(Table1[[#This Row],[No_]],'Customer Net Price'!A:G,6,FALSE),"0")</f>
        <v>0</v>
      </c>
    </row>
    <row r="79" spans="1:22" x14ac:dyDescent="0.25">
      <c r="A79" s="23" t="s">
        <v>47</v>
      </c>
      <c r="B79" s="23" t="s">
        <v>47</v>
      </c>
      <c r="C79" t="s">
        <v>190</v>
      </c>
      <c r="D79" t="s">
        <v>310</v>
      </c>
      <c r="E79" t="s">
        <v>546</v>
      </c>
      <c r="F79" t="s">
        <v>918</v>
      </c>
      <c r="G79" t="s">
        <v>923</v>
      </c>
      <c r="H79" s="1" t="s">
        <v>356</v>
      </c>
      <c r="I79">
        <v>1</v>
      </c>
      <c r="J79" t="s">
        <v>572</v>
      </c>
      <c r="K79" s="2">
        <v>56.9</v>
      </c>
      <c r="L79" s="2">
        <v>419.9</v>
      </c>
      <c r="M79" s="2">
        <v>65.900000000000006</v>
      </c>
      <c r="N79" s="2">
        <f ca="1">Table1[[#This Row],[2026 (EUR)]]*(1-INDIRECT(Table1[[#This Row],[Discount Name]]))</f>
        <v>56.9</v>
      </c>
      <c r="O79" s="2">
        <f ca="1">Table1[[#This Row],[2026 (DKK)]]*(1-INDIRECT(Table1[[#This Row],[Discount Name]]))</f>
        <v>419.9</v>
      </c>
      <c r="P79" s="2" cm="1">
        <f t="array" aca="1" ref="P79" ca="1">Table1[[#This Row],[2026 (USD)]]*(1-INDIRECT(Table1[[#This Row],[Discount Name]]))</f>
        <v>65.900000000000006</v>
      </c>
      <c r="Q79" s="31">
        <f ca="1">INDIRECT(Table1[[#This Row],[Discount Name]])</f>
        <v>0</v>
      </c>
      <c r="S79" s="2">
        <f t="shared" ca="1" si="2"/>
        <v>56.9</v>
      </c>
      <c r="T79" s="2">
        <f t="shared" ca="1" si="3"/>
        <v>419.9</v>
      </c>
      <c r="U79" s="71" t="str">
        <f>IFERROR(VLOOKUP(Table1[[#This Row],[No_]],'Customer Net Price'!A:F,5,FALSE),"0")</f>
        <v>0</v>
      </c>
      <c r="V79" s="71" t="str">
        <f>IFERROR(VLOOKUP(Table1[[#This Row],[No_]],'Customer Net Price'!A:G,6,FALSE),"0")</f>
        <v>0</v>
      </c>
    </row>
    <row r="80" spans="1:22" x14ac:dyDescent="0.25">
      <c r="A80" s="23" t="s">
        <v>155</v>
      </c>
      <c r="B80" s="23" t="s">
        <v>47</v>
      </c>
      <c r="C80" t="s">
        <v>190</v>
      </c>
      <c r="D80" t="s">
        <v>310</v>
      </c>
      <c r="E80" t="s">
        <v>546</v>
      </c>
      <c r="F80" t="s">
        <v>918</v>
      </c>
      <c r="G80" t="s">
        <v>923</v>
      </c>
      <c r="H80" s="1" t="s">
        <v>357</v>
      </c>
      <c r="I80">
        <v>30</v>
      </c>
      <c r="J80" t="s">
        <v>571</v>
      </c>
      <c r="K80" s="2">
        <v>56.9</v>
      </c>
      <c r="L80" s="2">
        <v>419.9</v>
      </c>
      <c r="M80" s="2">
        <v>65.900000000000006</v>
      </c>
      <c r="N80" s="2">
        <f ca="1">Table1[[#This Row],[2026 (EUR)]]*(1-INDIRECT(Table1[[#This Row],[Discount Name]]))</f>
        <v>56.9</v>
      </c>
      <c r="O80" s="2">
        <f ca="1">Table1[[#This Row],[2026 (DKK)]]*(1-INDIRECT(Table1[[#This Row],[Discount Name]]))</f>
        <v>419.9</v>
      </c>
      <c r="P80" s="2" cm="1">
        <f t="array" aca="1" ref="P80" ca="1">Table1[[#This Row],[2026 (USD)]]*(1-INDIRECT(Table1[[#This Row],[Discount Name]]))</f>
        <v>65.900000000000006</v>
      </c>
      <c r="Q80" s="31">
        <f ca="1">INDIRECT(Table1[[#This Row],[Discount Name]])</f>
        <v>0</v>
      </c>
      <c r="S80" s="2">
        <f t="shared" ca="1" si="2"/>
        <v>56.9</v>
      </c>
      <c r="T80" s="2">
        <f t="shared" ca="1" si="3"/>
        <v>419.9</v>
      </c>
      <c r="U80" s="71" t="str">
        <f>IFERROR(VLOOKUP(Table1[[#This Row],[No_]],'Customer Net Price'!A:F,5,FALSE),"0")</f>
        <v>0</v>
      </c>
      <c r="V80" s="71" t="str">
        <f>IFERROR(VLOOKUP(Table1[[#This Row],[No_]],'Customer Net Price'!A:G,6,FALSE),"0")</f>
        <v>0</v>
      </c>
    </row>
    <row r="81" spans="1:22" x14ac:dyDescent="0.25">
      <c r="A81" s="23" t="s">
        <v>123</v>
      </c>
      <c r="B81" s="23" t="s">
        <v>47</v>
      </c>
      <c r="C81" t="s">
        <v>190</v>
      </c>
      <c r="D81" t="s">
        <v>310</v>
      </c>
      <c r="E81" t="s">
        <v>546</v>
      </c>
      <c r="F81" t="s">
        <v>918</v>
      </c>
      <c r="G81" t="s">
        <v>923</v>
      </c>
      <c r="H81" s="1" t="s">
        <v>358</v>
      </c>
      <c r="I81">
        <v>30</v>
      </c>
      <c r="J81" t="s">
        <v>562</v>
      </c>
      <c r="K81" s="2">
        <v>56.9</v>
      </c>
      <c r="L81" s="2">
        <v>419.9</v>
      </c>
      <c r="M81" s="2">
        <v>65.900000000000006</v>
      </c>
      <c r="N81" s="2">
        <f ca="1">Table1[[#This Row],[2026 (EUR)]]*(1-INDIRECT(Table1[[#This Row],[Discount Name]]))</f>
        <v>56.9</v>
      </c>
      <c r="O81" s="2">
        <f ca="1">Table1[[#This Row],[2026 (DKK)]]*(1-INDIRECT(Table1[[#This Row],[Discount Name]]))</f>
        <v>419.9</v>
      </c>
      <c r="P81" s="2" cm="1">
        <f t="array" aca="1" ref="P81" ca="1">Table1[[#This Row],[2026 (USD)]]*(1-INDIRECT(Table1[[#This Row],[Discount Name]]))</f>
        <v>65.900000000000006</v>
      </c>
      <c r="Q81" s="31">
        <f ca="1">INDIRECT(Table1[[#This Row],[Discount Name]])</f>
        <v>0</v>
      </c>
      <c r="S81" s="2">
        <f t="shared" ca="1" si="2"/>
        <v>56.9</v>
      </c>
      <c r="T81" s="2">
        <f t="shared" ca="1" si="3"/>
        <v>419.9</v>
      </c>
      <c r="U81" s="71" t="str">
        <f>IFERROR(VLOOKUP(Table1[[#This Row],[No_]],'Customer Net Price'!A:F,5,FALSE),"0")</f>
        <v>0</v>
      </c>
      <c r="V81" s="71" t="str">
        <f>IFERROR(VLOOKUP(Table1[[#This Row],[No_]],'Customer Net Price'!A:G,6,FALSE),"0")</f>
        <v>0</v>
      </c>
    </row>
    <row r="82" spans="1:22" x14ac:dyDescent="0.25">
      <c r="A82" s="23" t="s">
        <v>504</v>
      </c>
      <c r="B82" s="23" t="s">
        <v>504</v>
      </c>
      <c r="C82" t="s">
        <v>911</v>
      </c>
      <c r="D82" t="s">
        <v>305</v>
      </c>
      <c r="E82" t="s">
        <v>505</v>
      </c>
      <c r="F82" t="s">
        <v>924</v>
      </c>
      <c r="G82" t="s">
        <v>924</v>
      </c>
      <c r="H82" s="1" t="s">
        <v>507</v>
      </c>
      <c r="I82">
        <v>1</v>
      </c>
      <c r="J82" t="s">
        <v>572</v>
      </c>
      <c r="K82" s="2">
        <v>669.9</v>
      </c>
      <c r="L82" s="2">
        <v>4979.8999999999996</v>
      </c>
      <c r="M82" s="2">
        <v>729.9</v>
      </c>
      <c r="N82" s="2">
        <f ca="1">Table1[[#This Row],[2026 (EUR)]]*(1-INDIRECT(Table1[[#This Row],[Discount Name]]))</f>
        <v>669.9</v>
      </c>
      <c r="O82" s="2">
        <f ca="1">Table1[[#This Row],[2026 (DKK)]]*(1-INDIRECT(Table1[[#This Row],[Discount Name]]))</f>
        <v>4979.8999999999996</v>
      </c>
      <c r="P82" s="2" cm="1">
        <f t="array" aca="1" ref="P82" ca="1">Table1[[#This Row],[2026 (USD)]]*(1-INDIRECT(Table1[[#This Row],[Discount Name]]))</f>
        <v>729.9</v>
      </c>
      <c r="Q82" s="31">
        <f ca="1">INDIRECT(Table1[[#This Row],[Discount Name]])</f>
        <v>0</v>
      </c>
      <c r="S82" s="2">
        <f t="shared" ca="1" si="2"/>
        <v>669.9</v>
      </c>
      <c r="T82" s="2">
        <f t="shared" ca="1" si="3"/>
        <v>4979.8999999999996</v>
      </c>
      <c r="U82" s="71" t="str">
        <f>IFERROR(VLOOKUP(Table1[[#This Row],[No_]],'Customer Net Price'!A:F,5,FALSE),"0")</f>
        <v>0</v>
      </c>
      <c r="V82" s="71" t="str">
        <f>IFERROR(VLOOKUP(Table1[[#This Row],[No_]],'Customer Net Price'!A:G,6,FALSE),"0")</f>
        <v>0</v>
      </c>
    </row>
    <row r="83" spans="1:22" x14ac:dyDescent="0.25">
      <c r="A83" s="23" t="s">
        <v>925</v>
      </c>
      <c r="B83" s="23" t="s">
        <v>504</v>
      </c>
      <c r="C83" t="s">
        <v>911</v>
      </c>
      <c r="D83" t="s">
        <v>305</v>
      </c>
      <c r="E83" t="s">
        <v>505</v>
      </c>
      <c r="F83" t="s">
        <v>924</v>
      </c>
      <c r="G83" t="s">
        <v>924</v>
      </c>
      <c r="H83" s="46" t="s">
        <v>926</v>
      </c>
      <c r="I83" s="17">
        <v>1</v>
      </c>
      <c r="J83" t="s">
        <v>903</v>
      </c>
      <c r="K83" s="2">
        <v>669.9</v>
      </c>
      <c r="L83" s="2">
        <v>4979.8999999999996</v>
      </c>
      <c r="M83" s="2">
        <v>729.9</v>
      </c>
      <c r="N83" s="2">
        <f ca="1">Table1[[#This Row],[2026 (EUR)]]*(1-INDIRECT(Table1[[#This Row],[Discount Name]]))</f>
        <v>669.9</v>
      </c>
      <c r="O83" s="2">
        <f ca="1">Table1[[#This Row],[2026 (DKK)]]*(1-INDIRECT(Table1[[#This Row],[Discount Name]]))</f>
        <v>4979.8999999999996</v>
      </c>
      <c r="P83" s="2" cm="1">
        <f t="array" aca="1" ref="P83" ca="1">Table1[[#This Row],[2026 (USD)]]*(1-INDIRECT(Table1[[#This Row],[Discount Name]]))</f>
        <v>729.9</v>
      </c>
      <c r="Q83" s="31">
        <f ca="1">INDIRECT(Table1[[#This Row],[Discount Name]])</f>
        <v>0</v>
      </c>
      <c r="S83" s="2">
        <f t="shared" ca="1" si="2"/>
        <v>669.9</v>
      </c>
      <c r="T83" s="2">
        <f t="shared" ca="1" si="3"/>
        <v>4979.8999999999996</v>
      </c>
      <c r="U83" s="71" t="str">
        <f>IFERROR(VLOOKUP(Table1[[#This Row],[No_]],'Customer Net Price'!A:F,5,FALSE),"0")</f>
        <v>0</v>
      </c>
      <c r="V83" s="71" t="str">
        <f>IFERROR(VLOOKUP(Table1[[#This Row],[No_]],'Customer Net Price'!A:G,6,FALSE),"0")</f>
        <v>0</v>
      </c>
    </row>
    <row r="84" spans="1:22" x14ac:dyDescent="0.25">
      <c r="A84" s="23" t="s">
        <v>506</v>
      </c>
      <c r="B84" s="23" t="s">
        <v>506</v>
      </c>
      <c r="C84" t="s">
        <v>912</v>
      </c>
      <c r="D84" t="s">
        <v>305</v>
      </c>
      <c r="E84" t="s">
        <v>505</v>
      </c>
      <c r="F84" t="s">
        <v>924</v>
      </c>
      <c r="G84" t="s">
        <v>924</v>
      </c>
      <c r="H84" s="1" t="s">
        <v>508</v>
      </c>
      <c r="I84">
        <v>1</v>
      </c>
      <c r="J84" t="s">
        <v>572</v>
      </c>
      <c r="K84" s="2">
        <v>1069.9000000000001</v>
      </c>
      <c r="L84" s="2">
        <v>7959.9</v>
      </c>
      <c r="M84" s="2">
        <v>1179.9000000000001</v>
      </c>
      <c r="N84" s="2">
        <f ca="1">Table1[[#This Row],[2026 (EUR)]]*(1-INDIRECT(Table1[[#This Row],[Discount Name]]))</f>
        <v>1069.9000000000001</v>
      </c>
      <c r="O84" s="2">
        <f ca="1">Table1[[#This Row],[2026 (DKK)]]*(1-INDIRECT(Table1[[#This Row],[Discount Name]]))</f>
        <v>7959.9</v>
      </c>
      <c r="P84" s="2" cm="1">
        <f t="array" aca="1" ref="P84" ca="1">Table1[[#This Row],[2026 (USD)]]*(1-INDIRECT(Table1[[#This Row],[Discount Name]]))</f>
        <v>1179.9000000000001</v>
      </c>
      <c r="Q84" s="31">
        <f ca="1">INDIRECT(Table1[[#This Row],[Discount Name]])</f>
        <v>0</v>
      </c>
      <c r="S84" s="2">
        <f t="shared" ca="1" si="2"/>
        <v>1069.9000000000001</v>
      </c>
      <c r="T84" s="2">
        <f t="shared" ca="1" si="3"/>
        <v>7959.9</v>
      </c>
      <c r="U84" s="71" t="str">
        <f>IFERROR(VLOOKUP(Table1[[#This Row],[No_]],'Customer Net Price'!A:F,5,FALSE),"0")</f>
        <v>0</v>
      </c>
      <c r="V84" s="71" t="str">
        <f>IFERROR(VLOOKUP(Table1[[#This Row],[No_]],'Customer Net Price'!A:G,6,FALSE),"0")</f>
        <v>0</v>
      </c>
    </row>
    <row r="85" spans="1:22" x14ac:dyDescent="0.25">
      <c r="A85" s="23" t="s">
        <v>927</v>
      </c>
      <c r="B85" s="23" t="s">
        <v>506</v>
      </c>
      <c r="C85" t="s">
        <v>912</v>
      </c>
      <c r="D85" t="s">
        <v>305</v>
      </c>
      <c r="E85" t="s">
        <v>505</v>
      </c>
      <c r="F85" t="s">
        <v>924</v>
      </c>
      <c r="G85" t="s">
        <v>924</v>
      </c>
      <c r="H85" s="46" t="s">
        <v>928</v>
      </c>
      <c r="I85" s="17">
        <v>1</v>
      </c>
      <c r="J85" t="s">
        <v>903</v>
      </c>
      <c r="K85" s="2">
        <v>1069.9000000000001</v>
      </c>
      <c r="L85" s="2">
        <v>7959.9</v>
      </c>
      <c r="M85" s="2">
        <v>1179.9000000000001</v>
      </c>
      <c r="N85" s="2">
        <f ca="1">Table1[[#This Row],[2026 (EUR)]]*(1-INDIRECT(Table1[[#This Row],[Discount Name]]))</f>
        <v>1069.9000000000001</v>
      </c>
      <c r="O85" s="2">
        <f ca="1">Table1[[#This Row],[2026 (DKK)]]*(1-INDIRECT(Table1[[#This Row],[Discount Name]]))</f>
        <v>7959.9</v>
      </c>
      <c r="P85" s="2" cm="1">
        <f t="array" aca="1" ref="P85" ca="1">Table1[[#This Row],[2026 (USD)]]*(1-INDIRECT(Table1[[#This Row],[Discount Name]]))</f>
        <v>1179.9000000000001</v>
      </c>
      <c r="Q85" s="31">
        <f ca="1">INDIRECT(Table1[[#This Row],[Discount Name]])</f>
        <v>0</v>
      </c>
      <c r="S85" s="2">
        <f t="shared" ca="1" si="2"/>
        <v>1069.9000000000001</v>
      </c>
      <c r="T85" s="2">
        <f t="shared" ca="1" si="3"/>
        <v>7959.9</v>
      </c>
      <c r="U85" s="71" t="str">
        <f>IFERROR(VLOOKUP(Table1[[#This Row],[No_]],'Customer Net Price'!A:F,5,FALSE),"0")</f>
        <v>0</v>
      </c>
      <c r="V85" s="71" t="str">
        <f>IFERROR(VLOOKUP(Table1[[#This Row],[No_]],'Customer Net Price'!A:G,6,FALSE),"0")</f>
        <v>0</v>
      </c>
    </row>
    <row r="86" spans="1:22" x14ac:dyDescent="0.25">
      <c r="A86" s="24" t="s">
        <v>892</v>
      </c>
      <c r="B86" s="24" t="s">
        <v>892</v>
      </c>
      <c r="C86" t="s">
        <v>893</v>
      </c>
      <c r="D86" t="s">
        <v>310</v>
      </c>
      <c r="E86" t="s">
        <v>546</v>
      </c>
      <c r="F86" t="s">
        <v>918</v>
      </c>
      <c r="G86" t="s">
        <v>923</v>
      </c>
      <c r="H86" s="46" t="s">
        <v>894</v>
      </c>
      <c r="I86" s="17">
        <v>1</v>
      </c>
      <c r="J86" t="s">
        <v>546</v>
      </c>
      <c r="K86" s="2">
        <v>314.89999999999998</v>
      </c>
      <c r="L86" s="2">
        <v>2339.9</v>
      </c>
      <c r="M86" s="2">
        <v>349.9</v>
      </c>
      <c r="N86" s="2">
        <f ca="1">Table1[[#This Row],[2026 (EUR)]]*(1-INDIRECT(Table1[[#This Row],[Discount Name]]))</f>
        <v>314.89999999999998</v>
      </c>
      <c r="O86" s="2">
        <f ca="1">Table1[[#This Row],[2026 (DKK)]]*(1-INDIRECT(Table1[[#This Row],[Discount Name]]))</f>
        <v>2339.9</v>
      </c>
      <c r="P86" s="2" cm="1">
        <f t="array" aca="1" ref="P86" ca="1">Table1[[#This Row],[2026 (USD)]]*(1-INDIRECT(Table1[[#This Row],[Discount Name]]))</f>
        <v>349.9</v>
      </c>
      <c r="Q86" s="31">
        <f ca="1">INDIRECT(Table1[[#This Row],[Discount Name]])</f>
        <v>0</v>
      </c>
      <c r="S86" s="2">
        <f t="shared" ca="1" si="2"/>
        <v>314.89999999999998</v>
      </c>
      <c r="T86" s="2">
        <f t="shared" ca="1" si="3"/>
        <v>2339.9</v>
      </c>
      <c r="U86" s="71" t="str">
        <f>IFERROR(VLOOKUP(Table1[[#This Row],[No_]],'Customer Net Price'!A:F,5,FALSE),"0")</f>
        <v>0</v>
      </c>
      <c r="V86" s="71" t="str">
        <f>IFERROR(VLOOKUP(Table1[[#This Row],[No_]],'Customer Net Price'!A:G,6,FALSE),"0")</f>
        <v>0</v>
      </c>
    </row>
    <row r="87" spans="1:22" x14ac:dyDescent="0.25">
      <c r="A87" s="23" t="s">
        <v>1150</v>
      </c>
      <c r="B87" s="23" t="s">
        <v>1150</v>
      </c>
      <c r="C87" t="s">
        <v>1151</v>
      </c>
      <c r="D87" t="s">
        <v>791</v>
      </c>
      <c r="F87" t="s">
        <v>921</v>
      </c>
      <c r="G87" t="s">
        <v>921</v>
      </c>
      <c r="H87" s="52" t="s">
        <v>1152</v>
      </c>
      <c r="I87" t="s">
        <v>546</v>
      </c>
      <c r="J87" t="s">
        <v>572</v>
      </c>
      <c r="K87" s="2">
        <v>2184.9</v>
      </c>
      <c r="L87" s="2">
        <v>16255.9</v>
      </c>
      <c r="M87" s="2">
        <v>2424.9</v>
      </c>
      <c r="N87" s="2">
        <f ca="1">Table1[[#This Row],[2026 (EUR)]]*(1-INDIRECT(Table1[[#This Row],[Discount Name]]))</f>
        <v>2184.9</v>
      </c>
      <c r="O87" s="2">
        <f ca="1">Table1[[#This Row],[2026 (DKK)]]*(1-INDIRECT(Table1[[#This Row],[Discount Name]]))</f>
        <v>16255.9</v>
      </c>
      <c r="P87" s="2" cm="1">
        <f t="array" aca="1" ref="P87" ca="1">Table1[[#This Row],[2026 (USD)]]*(1-INDIRECT(Table1[[#This Row],[Discount Name]]))</f>
        <v>2424.9</v>
      </c>
      <c r="Q87" s="31">
        <f ca="1">INDIRECT(Table1[[#This Row],[Discount Name]])</f>
        <v>0</v>
      </c>
      <c r="S87" s="2">
        <f t="shared" ca="1" si="2"/>
        <v>2184.9</v>
      </c>
      <c r="T87" s="2">
        <f t="shared" ca="1" si="3"/>
        <v>16255.9</v>
      </c>
      <c r="U87" s="71" t="str">
        <f>IFERROR(VLOOKUP(Table1[[#This Row],[No_]],'Customer Net Price'!A:F,5,FALSE),"0")</f>
        <v>0</v>
      </c>
      <c r="V87" s="71" t="str">
        <f>IFERROR(VLOOKUP(Table1[[#This Row],[No_]],'Customer Net Price'!A:G,6,FALSE),"0")</f>
        <v>0</v>
      </c>
    </row>
    <row r="88" spans="1:22" x14ac:dyDescent="0.25">
      <c r="A88" s="23" t="s">
        <v>1153</v>
      </c>
      <c r="B88" s="23" t="s">
        <v>1153</v>
      </c>
      <c r="C88" t="s">
        <v>1154</v>
      </c>
      <c r="D88" t="s">
        <v>791</v>
      </c>
      <c r="F88" t="s">
        <v>921</v>
      </c>
      <c r="G88" t="s">
        <v>921</v>
      </c>
      <c r="H88" s="52" t="s">
        <v>1155</v>
      </c>
      <c r="I88" t="s">
        <v>546</v>
      </c>
      <c r="J88" t="s">
        <v>572</v>
      </c>
      <c r="K88" s="2">
        <v>3374.9</v>
      </c>
      <c r="L88" s="2">
        <v>25109.9</v>
      </c>
      <c r="M88" s="2">
        <v>3636.9</v>
      </c>
      <c r="N88" s="2">
        <f ca="1">Table1[[#This Row],[2026 (EUR)]]*(1-INDIRECT(Table1[[#This Row],[Discount Name]]))</f>
        <v>3374.9</v>
      </c>
      <c r="O88" s="2">
        <f ca="1">Table1[[#This Row],[2026 (DKK)]]*(1-INDIRECT(Table1[[#This Row],[Discount Name]]))</f>
        <v>25109.9</v>
      </c>
      <c r="P88" s="2" cm="1">
        <f t="array" aca="1" ref="P88" ca="1">Table1[[#This Row],[2026 (USD)]]*(1-INDIRECT(Table1[[#This Row],[Discount Name]]))</f>
        <v>3636.9</v>
      </c>
      <c r="Q88" s="31">
        <f ca="1">INDIRECT(Table1[[#This Row],[Discount Name]])</f>
        <v>0</v>
      </c>
      <c r="S88" s="2">
        <f t="shared" ca="1" si="2"/>
        <v>3374.9</v>
      </c>
      <c r="T88" s="2">
        <f t="shared" ca="1" si="3"/>
        <v>25109.9</v>
      </c>
      <c r="U88" s="71" t="str">
        <f>IFERROR(VLOOKUP(Table1[[#This Row],[No_]],'Customer Net Price'!A:F,5,FALSE),"0")</f>
        <v>0</v>
      </c>
      <c r="V88" s="71" t="str">
        <f>IFERROR(VLOOKUP(Table1[[#This Row],[No_]],'Customer Net Price'!A:G,6,FALSE),"0")</f>
        <v>0</v>
      </c>
    </row>
    <row r="89" spans="1:22" x14ac:dyDescent="0.25">
      <c r="A89" s="24" t="s">
        <v>931</v>
      </c>
      <c r="B89" s="24" t="s">
        <v>931</v>
      </c>
      <c r="C89" t="s">
        <v>932</v>
      </c>
      <c r="D89" t="s">
        <v>310</v>
      </c>
      <c r="E89" t="s">
        <v>546</v>
      </c>
      <c r="F89" t="s">
        <v>918</v>
      </c>
      <c r="G89" t="s">
        <v>923</v>
      </c>
      <c r="H89" s="52" t="s">
        <v>933</v>
      </c>
      <c r="I89" t="s">
        <v>546</v>
      </c>
      <c r="J89" t="s">
        <v>546</v>
      </c>
      <c r="K89" s="2">
        <v>26.9</v>
      </c>
      <c r="L89" s="2">
        <v>199.9</v>
      </c>
      <c r="M89" s="2">
        <v>29.5</v>
      </c>
      <c r="N89" s="2">
        <f ca="1">Table1[[#This Row],[2026 (EUR)]]*(1-INDIRECT(Table1[[#This Row],[Discount Name]]))</f>
        <v>26.9</v>
      </c>
      <c r="O89" s="2">
        <f ca="1">Table1[[#This Row],[2026 (DKK)]]*(1-INDIRECT(Table1[[#This Row],[Discount Name]]))</f>
        <v>199.9</v>
      </c>
      <c r="P89" s="2" cm="1">
        <f t="array" aca="1" ref="P89" ca="1">Table1[[#This Row],[2026 (USD)]]*(1-INDIRECT(Table1[[#This Row],[Discount Name]]))</f>
        <v>29.5</v>
      </c>
      <c r="Q89" s="31">
        <f ca="1">INDIRECT(Table1[[#This Row],[Discount Name]])</f>
        <v>0</v>
      </c>
      <c r="S89" s="2">
        <f t="shared" ca="1" si="2"/>
        <v>26.9</v>
      </c>
      <c r="T89" s="2">
        <f t="shared" ca="1" si="3"/>
        <v>199.9</v>
      </c>
      <c r="U89" s="71" t="str">
        <f>IFERROR(VLOOKUP(Table1[[#This Row],[No_]],'Customer Net Price'!A:F,5,FALSE),"0")</f>
        <v>0</v>
      </c>
      <c r="V89" s="71" t="str">
        <f>IFERROR(VLOOKUP(Table1[[#This Row],[No_]],'Customer Net Price'!A:G,6,FALSE),"0")</f>
        <v>0</v>
      </c>
    </row>
    <row r="90" spans="1:22" x14ac:dyDescent="0.25">
      <c r="A90" t="s">
        <v>1244</v>
      </c>
      <c r="B90" s="23" t="s">
        <v>1244</v>
      </c>
      <c r="C90" t="s">
        <v>1342</v>
      </c>
      <c r="D90" t="s">
        <v>305</v>
      </c>
      <c r="E90" t="s">
        <v>484</v>
      </c>
      <c r="F90" t="s">
        <v>916</v>
      </c>
      <c r="G90" t="s">
        <v>916</v>
      </c>
      <c r="H90" s="54" t="s">
        <v>1270</v>
      </c>
      <c r="I90">
        <v>1</v>
      </c>
      <c r="J90" t="s">
        <v>546</v>
      </c>
      <c r="K90" s="2">
        <v>74.900000000000006</v>
      </c>
      <c r="L90" s="2">
        <v>554.9</v>
      </c>
      <c r="M90" s="2">
        <v>79.900000000000006</v>
      </c>
      <c r="N90" s="2">
        <f ca="1">Table1[[#This Row],[2026 (EUR)]]*(1-INDIRECT(Table1[[#This Row],[Discount Name]]))</f>
        <v>74.900000000000006</v>
      </c>
      <c r="O90" s="2">
        <f ca="1">Table1[[#This Row],[2026 (DKK)]]*(1-INDIRECT(Table1[[#This Row],[Discount Name]]))</f>
        <v>554.9</v>
      </c>
      <c r="P90" s="2" cm="1">
        <f t="array" aca="1" ref="P90" ca="1">Table1[[#This Row],[2026 (USD)]]*(1-INDIRECT(Table1[[#This Row],[Discount Name]]))</f>
        <v>79.900000000000006</v>
      </c>
      <c r="Q90" s="31">
        <f ca="1">INDIRECT(Table1[[#This Row],[Discount Name]])</f>
        <v>0</v>
      </c>
      <c r="S90" s="2">
        <f t="shared" ca="1" si="2"/>
        <v>74.900000000000006</v>
      </c>
      <c r="T90" s="2">
        <f t="shared" ca="1" si="3"/>
        <v>554.9</v>
      </c>
      <c r="U90" s="71" t="str">
        <f>IFERROR(VLOOKUP(Table1[[#This Row],[No_]],'Customer Net Price'!A:F,5,FALSE),"0")</f>
        <v>0</v>
      </c>
      <c r="V90" s="71" t="str">
        <f>IFERROR(VLOOKUP(Table1[[#This Row],[No_]],'Customer Net Price'!A:G,6,FALSE),"0")</f>
        <v>0</v>
      </c>
    </row>
    <row r="91" spans="1:22" x14ac:dyDescent="0.25">
      <c r="A91" s="24" t="s">
        <v>1165</v>
      </c>
      <c r="B91" s="24" t="s">
        <v>1165</v>
      </c>
      <c r="C91" t="s">
        <v>1166</v>
      </c>
      <c r="D91" t="s">
        <v>310</v>
      </c>
      <c r="E91" t="s">
        <v>546</v>
      </c>
      <c r="F91" t="s">
        <v>918</v>
      </c>
      <c r="G91" t="s">
        <v>923</v>
      </c>
      <c r="H91" s="52" t="s">
        <v>1167</v>
      </c>
      <c r="I91" t="s">
        <v>546</v>
      </c>
      <c r="J91" t="s">
        <v>546</v>
      </c>
      <c r="K91" s="2">
        <v>20.9</v>
      </c>
      <c r="L91" s="2">
        <v>159.9</v>
      </c>
      <c r="M91" s="2">
        <v>23.9</v>
      </c>
      <c r="N91" s="2">
        <f ca="1">Table1[[#This Row],[2026 (EUR)]]*(1-INDIRECT(Table1[[#This Row],[Discount Name]]))</f>
        <v>20.9</v>
      </c>
      <c r="O91" s="2">
        <f ca="1">Table1[[#This Row],[2026 (DKK)]]*(1-INDIRECT(Table1[[#This Row],[Discount Name]]))</f>
        <v>159.9</v>
      </c>
      <c r="P91" s="2" cm="1">
        <f t="array" aca="1" ref="P91" ca="1">Table1[[#This Row],[2026 (USD)]]*(1-INDIRECT(Table1[[#This Row],[Discount Name]]))</f>
        <v>23.9</v>
      </c>
      <c r="Q91" s="31">
        <f ca="1">INDIRECT(Table1[[#This Row],[Discount Name]])</f>
        <v>0</v>
      </c>
      <c r="S91" s="2">
        <f t="shared" ca="1" si="2"/>
        <v>20.9</v>
      </c>
      <c r="T91" s="2">
        <f t="shared" ca="1" si="3"/>
        <v>159.9</v>
      </c>
      <c r="U91" s="71" t="str">
        <f>IFERROR(VLOOKUP(Table1[[#This Row],[No_]],'Customer Net Price'!A:F,5,FALSE),"0")</f>
        <v>0</v>
      </c>
      <c r="V91" s="71" t="str">
        <f>IFERROR(VLOOKUP(Table1[[#This Row],[No_]],'Customer Net Price'!A:G,6,FALSE),"0")</f>
        <v>0</v>
      </c>
    </row>
    <row r="92" spans="1:22" x14ac:dyDescent="0.25">
      <c r="A92" s="23" t="s">
        <v>1364</v>
      </c>
      <c r="B92" s="23" t="s">
        <v>1364</v>
      </c>
      <c r="C92" t="s">
        <v>1365</v>
      </c>
      <c r="D92" t="s">
        <v>1778</v>
      </c>
      <c r="E92" t="s">
        <v>546</v>
      </c>
      <c r="F92" t="s">
        <v>918</v>
      </c>
      <c r="G92" t="s">
        <v>923</v>
      </c>
      <c r="H92" s="1" t="s">
        <v>1383</v>
      </c>
      <c r="I92" t="s">
        <v>546</v>
      </c>
      <c r="J92" t="s">
        <v>546</v>
      </c>
      <c r="K92" s="2">
        <v>5.5</v>
      </c>
      <c r="L92" s="2">
        <v>39.9</v>
      </c>
      <c r="M92" s="2">
        <v>6</v>
      </c>
      <c r="N92" s="2">
        <f ca="1">Table1[[#This Row],[2026 (EUR)]]*(1-INDIRECT(Table1[[#This Row],[Discount Name]]))</f>
        <v>5.5</v>
      </c>
      <c r="O92" s="2">
        <f ca="1">Table1[[#This Row],[2026 (DKK)]]*(1-INDIRECT(Table1[[#This Row],[Discount Name]]))</f>
        <v>39.9</v>
      </c>
      <c r="P92" s="2" cm="1">
        <f t="array" aca="1" ref="P92" ca="1">Table1[[#This Row],[2026 (USD)]]*(1-INDIRECT(Table1[[#This Row],[Discount Name]]))</f>
        <v>6</v>
      </c>
      <c r="Q92" s="31">
        <f ca="1">INDIRECT(Table1[[#This Row],[Discount Name]])</f>
        <v>0</v>
      </c>
      <c r="S92" s="77">
        <f t="shared" ca="1" si="2"/>
        <v>5.5</v>
      </c>
      <c r="T92" s="77">
        <f t="shared" ca="1" si="3"/>
        <v>39.9</v>
      </c>
      <c r="U92" s="78" t="str">
        <f>IFERROR(VLOOKUP(Table1[[#This Row],[No_]],'Customer Net Price'!A:F,5,FALSE),"0")</f>
        <v>0</v>
      </c>
      <c r="V92" s="78" t="str">
        <f>IFERROR(VLOOKUP(Table1[[#This Row],[No_]],'Customer Net Price'!A:G,6,FALSE),"0")</f>
        <v>0</v>
      </c>
    </row>
    <row r="93" spans="1:22" x14ac:dyDescent="0.25">
      <c r="A93" s="23" t="s">
        <v>1426</v>
      </c>
      <c r="B93" s="23" t="s">
        <v>1426</v>
      </c>
      <c r="C93" t="s">
        <v>1427</v>
      </c>
      <c r="D93" t="s">
        <v>305</v>
      </c>
      <c r="E93" t="s">
        <v>484</v>
      </c>
      <c r="F93" t="s">
        <v>916</v>
      </c>
      <c r="G93" t="s">
        <v>916</v>
      </c>
      <c r="H93" s="95" t="s">
        <v>1428</v>
      </c>
      <c r="I93" t="s">
        <v>546</v>
      </c>
      <c r="J93" t="s">
        <v>546</v>
      </c>
      <c r="K93" s="2">
        <v>51.9</v>
      </c>
      <c r="L93" s="2">
        <v>389.9</v>
      </c>
      <c r="M93" s="2">
        <v>63.9</v>
      </c>
      <c r="N93" s="2">
        <f ca="1">Table1[[#This Row],[2026 (EUR)]]*(1-INDIRECT(Table1[[#This Row],[Discount Name]]))</f>
        <v>51.9</v>
      </c>
      <c r="O93" s="2">
        <f ca="1">Table1[[#This Row],[2026 (DKK)]]*(1-INDIRECT(Table1[[#This Row],[Discount Name]]))</f>
        <v>389.9</v>
      </c>
      <c r="P93" s="2" cm="1">
        <f t="array" aca="1" ref="P93" ca="1">Table1[[#This Row],[2026 (USD)]]*(1-INDIRECT(Table1[[#This Row],[Discount Name]]))</f>
        <v>63.9</v>
      </c>
      <c r="Q93" s="31">
        <f ca="1">INDIRECT(Table1[[#This Row],[Discount Name]])</f>
        <v>0</v>
      </c>
      <c r="S93" s="2">
        <f t="shared" ca="1" si="2"/>
        <v>51.9</v>
      </c>
      <c r="T93" s="2">
        <f t="shared" ca="1" si="3"/>
        <v>389.9</v>
      </c>
      <c r="U93" s="71" t="str">
        <f>IFERROR(VLOOKUP(Table1[[#This Row],[No_]],'Customer Net Price'!A:F,5,FALSE),"0")</f>
        <v>0</v>
      </c>
      <c r="V93" s="71" t="str">
        <f>IFERROR(VLOOKUP(Table1[[#This Row],[No_]],'Customer Net Price'!A:G,6,FALSE),"0")</f>
        <v>0</v>
      </c>
    </row>
    <row r="94" spans="1:22" x14ac:dyDescent="0.25">
      <c r="A94" s="23" t="s">
        <v>1651</v>
      </c>
      <c r="B94" s="23" t="s">
        <v>1651</v>
      </c>
      <c r="C94" t="s">
        <v>1652</v>
      </c>
      <c r="D94" t="s">
        <v>305</v>
      </c>
      <c r="E94" t="s">
        <v>484</v>
      </c>
      <c r="F94" t="s">
        <v>916</v>
      </c>
      <c r="G94" t="s">
        <v>916</v>
      </c>
      <c r="H94" s="42" t="s">
        <v>1653</v>
      </c>
      <c r="I94" t="s">
        <v>546</v>
      </c>
      <c r="J94" t="s">
        <v>546</v>
      </c>
      <c r="K94" s="2">
        <v>35.9</v>
      </c>
      <c r="L94" s="2">
        <v>269.89999999999998</v>
      </c>
      <c r="M94" s="2">
        <v>39.9</v>
      </c>
      <c r="N94" s="2">
        <f ca="1">Table1[[#This Row],[2026 (EUR)]]*(1-INDIRECT(Table1[[#This Row],[Discount Name]]))</f>
        <v>35.9</v>
      </c>
      <c r="O94" s="2">
        <f ca="1">Table1[[#This Row],[2026 (DKK)]]*(1-INDIRECT(Table1[[#This Row],[Discount Name]]))</f>
        <v>269.89999999999998</v>
      </c>
      <c r="P94" s="2" cm="1">
        <f t="array" aca="1" ref="P94" ca="1">Table1[[#This Row],[2026 (USD)]]*(1-INDIRECT(Table1[[#This Row],[Discount Name]]))</f>
        <v>39.9</v>
      </c>
      <c r="Q94" s="31">
        <f ca="1">INDIRECT(Table1[[#This Row],[Discount Name]])</f>
        <v>0</v>
      </c>
      <c r="S94" s="2">
        <f t="shared" ca="1" si="2"/>
        <v>35.9</v>
      </c>
      <c r="T94" s="2">
        <f t="shared" ca="1" si="3"/>
        <v>269.89999999999998</v>
      </c>
      <c r="U94" s="71" t="str">
        <f>IFERROR(VLOOKUP(Table1[[#This Row],[No_]],'Customer Net Price'!A:F,5,FALSE),"0")</f>
        <v>0</v>
      </c>
      <c r="V94" s="71" t="str">
        <f>IFERROR(VLOOKUP(Table1[[#This Row],[No_]],'Customer Net Price'!A:G,6,FALSE),"0")</f>
        <v>0</v>
      </c>
    </row>
    <row r="95" spans="1:22" x14ac:dyDescent="0.25">
      <c r="A95" s="23" t="s">
        <v>587</v>
      </c>
      <c r="B95" s="23" t="s">
        <v>12</v>
      </c>
      <c r="C95" t="s">
        <v>588</v>
      </c>
      <c r="D95" t="s">
        <v>310</v>
      </c>
      <c r="E95" t="s">
        <v>546</v>
      </c>
      <c r="F95" t="s">
        <v>918</v>
      </c>
      <c r="G95" t="s">
        <v>923</v>
      </c>
      <c r="H95" s="46" t="s">
        <v>829</v>
      </c>
      <c r="I95" t="s">
        <v>546</v>
      </c>
      <c r="J95" t="s">
        <v>546</v>
      </c>
      <c r="K95" s="2">
        <v>8.5</v>
      </c>
      <c r="L95" s="2">
        <v>63.9</v>
      </c>
      <c r="M95" s="2">
        <v>9.9</v>
      </c>
      <c r="N95" s="2">
        <f ca="1">Table1[[#This Row],[2026 (EUR)]]*(1-INDIRECT(Table1[[#This Row],[Discount Name]]))</f>
        <v>8.5</v>
      </c>
      <c r="O95" s="2">
        <f ca="1">Table1[[#This Row],[2026 (DKK)]]*(1-INDIRECT(Table1[[#This Row],[Discount Name]]))</f>
        <v>63.9</v>
      </c>
      <c r="P95" s="2" cm="1">
        <f t="array" aca="1" ref="P95" ca="1">Table1[[#This Row],[2026 (USD)]]*(1-INDIRECT(Table1[[#This Row],[Discount Name]]))</f>
        <v>9.9</v>
      </c>
      <c r="Q95" s="31">
        <f ca="1">INDIRECT(Table1[[#This Row],[Discount Name]])</f>
        <v>0</v>
      </c>
      <c r="S95" s="2">
        <f t="shared" ca="1" si="2"/>
        <v>8.5</v>
      </c>
      <c r="T95" s="2">
        <f t="shared" ca="1" si="3"/>
        <v>63.9</v>
      </c>
      <c r="U95" s="71" t="str">
        <f>IFERROR(VLOOKUP(Table1[[#This Row],[No_]],'Customer Net Price'!A:F,5,FALSE),"0")</f>
        <v>0</v>
      </c>
      <c r="V95" s="71" t="str">
        <f>IFERROR(VLOOKUP(Table1[[#This Row],[No_]],'Customer Net Price'!A:G,6,FALSE),"0")</f>
        <v>0</v>
      </c>
    </row>
    <row r="96" spans="1:22" x14ac:dyDescent="0.25">
      <c r="A96" s="23" t="s">
        <v>589</v>
      </c>
      <c r="B96" s="23" t="s">
        <v>589</v>
      </c>
      <c r="C96" t="s">
        <v>590</v>
      </c>
      <c r="D96" t="s">
        <v>310</v>
      </c>
      <c r="E96" t="s">
        <v>546</v>
      </c>
      <c r="F96" t="s">
        <v>918</v>
      </c>
      <c r="G96" t="s">
        <v>923</v>
      </c>
      <c r="H96" s="47" t="s">
        <v>591</v>
      </c>
      <c r="I96">
        <v>1</v>
      </c>
      <c r="J96" t="s">
        <v>545</v>
      </c>
      <c r="K96" s="2">
        <v>13.9</v>
      </c>
      <c r="L96" s="2">
        <v>99.9</v>
      </c>
      <c r="M96" s="2">
        <v>15.9</v>
      </c>
      <c r="N96" s="2">
        <f ca="1">Table1[[#This Row],[2026 (EUR)]]*(1-INDIRECT(Table1[[#This Row],[Discount Name]]))</f>
        <v>13.9</v>
      </c>
      <c r="O96" s="2">
        <f ca="1">Table1[[#This Row],[2026 (DKK)]]*(1-INDIRECT(Table1[[#This Row],[Discount Name]]))</f>
        <v>99.9</v>
      </c>
      <c r="P96" s="2" cm="1">
        <f t="array" aca="1" ref="P96" ca="1">Table1[[#This Row],[2026 (USD)]]*(1-INDIRECT(Table1[[#This Row],[Discount Name]]))</f>
        <v>15.9</v>
      </c>
      <c r="Q96" s="31">
        <f ca="1">INDIRECT(Table1[[#This Row],[Discount Name]])</f>
        <v>0</v>
      </c>
      <c r="S96" s="2">
        <f t="shared" ca="1" si="2"/>
        <v>13.9</v>
      </c>
      <c r="T96" s="2">
        <f t="shared" ca="1" si="3"/>
        <v>99.9</v>
      </c>
      <c r="U96" s="71" t="str">
        <f>IFERROR(VLOOKUP(Table1[[#This Row],[No_]],'Customer Net Price'!A:F,5,FALSE),"0")</f>
        <v>0</v>
      </c>
      <c r="V96" s="71" t="str">
        <f>IFERROR(VLOOKUP(Table1[[#This Row],[No_]],'Customer Net Price'!A:G,6,FALSE),"0")</f>
        <v>0</v>
      </c>
    </row>
    <row r="97" spans="1:22" x14ac:dyDescent="0.25">
      <c r="A97" s="23" t="s">
        <v>23</v>
      </c>
      <c r="B97" s="23" t="s">
        <v>23</v>
      </c>
      <c r="C97" t="s">
        <v>191</v>
      </c>
      <c r="D97" t="s">
        <v>310</v>
      </c>
      <c r="E97" t="s">
        <v>546</v>
      </c>
      <c r="F97" t="s">
        <v>918</v>
      </c>
      <c r="G97" t="s">
        <v>923</v>
      </c>
      <c r="H97" s="47" t="s">
        <v>388</v>
      </c>
      <c r="I97">
        <v>1</v>
      </c>
      <c r="J97" t="s">
        <v>546</v>
      </c>
      <c r="K97" s="2">
        <v>9.6</v>
      </c>
      <c r="L97" s="2">
        <v>69.900000000000006</v>
      </c>
      <c r="M97" s="2">
        <v>10.9</v>
      </c>
      <c r="N97" s="2">
        <f ca="1">Table1[[#This Row],[2026 (EUR)]]*(1-INDIRECT(Table1[[#This Row],[Discount Name]]))</f>
        <v>9.6</v>
      </c>
      <c r="O97" s="2">
        <f ca="1">Table1[[#This Row],[2026 (DKK)]]*(1-INDIRECT(Table1[[#This Row],[Discount Name]]))</f>
        <v>69.900000000000006</v>
      </c>
      <c r="P97" s="2" cm="1">
        <f t="array" aca="1" ref="P97" ca="1">Table1[[#This Row],[2026 (USD)]]*(1-INDIRECT(Table1[[#This Row],[Discount Name]]))</f>
        <v>10.9</v>
      </c>
      <c r="Q97" s="31">
        <f ca="1">INDIRECT(Table1[[#This Row],[Discount Name]])</f>
        <v>0</v>
      </c>
      <c r="S97" s="2">
        <f t="shared" ca="1" si="2"/>
        <v>9.6</v>
      </c>
      <c r="T97" s="2">
        <f t="shared" ca="1" si="3"/>
        <v>69.900000000000006</v>
      </c>
      <c r="U97" s="71" t="str">
        <f>IFERROR(VLOOKUP(Table1[[#This Row],[No_]],'Customer Net Price'!A:F,5,FALSE),"0")</f>
        <v>0</v>
      </c>
      <c r="V97" s="71" t="str">
        <f>IFERROR(VLOOKUP(Table1[[#This Row],[No_]],'Customer Net Price'!A:G,6,FALSE),"0")</f>
        <v>0</v>
      </c>
    </row>
    <row r="98" spans="1:22" x14ac:dyDescent="0.25">
      <c r="A98" s="23" t="s">
        <v>592</v>
      </c>
      <c r="B98" s="23" t="s">
        <v>592</v>
      </c>
      <c r="C98" t="s">
        <v>593</v>
      </c>
      <c r="D98" t="s">
        <v>1778</v>
      </c>
      <c r="E98" t="s">
        <v>546</v>
      </c>
      <c r="F98" t="s">
        <v>918</v>
      </c>
      <c r="G98" t="s">
        <v>923</v>
      </c>
      <c r="H98" s="1" t="s">
        <v>594</v>
      </c>
      <c r="I98" t="s">
        <v>546</v>
      </c>
      <c r="J98" t="s">
        <v>546</v>
      </c>
      <c r="K98" s="2">
        <v>2.5</v>
      </c>
      <c r="L98" s="2">
        <v>18.899999999999999</v>
      </c>
      <c r="M98" s="2">
        <v>2.9</v>
      </c>
      <c r="N98" s="2">
        <f ca="1">Table1[[#This Row],[2026 (EUR)]]*(1-INDIRECT(Table1[[#This Row],[Discount Name]]))</f>
        <v>2.5</v>
      </c>
      <c r="O98" s="2">
        <f ca="1">Table1[[#This Row],[2026 (DKK)]]*(1-INDIRECT(Table1[[#This Row],[Discount Name]]))</f>
        <v>18.899999999999999</v>
      </c>
      <c r="P98" s="2" cm="1">
        <f t="array" aca="1" ref="P98" ca="1">Table1[[#This Row],[2026 (USD)]]*(1-INDIRECT(Table1[[#This Row],[Discount Name]]))</f>
        <v>2.9</v>
      </c>
      <c r="Q98" s="31">
        <f ca="1">INDIRECT(Table1[[#This Row],[Discount Name]])</f>
        <v>0</v>
      </c>
      <c r="S98" s="2">
        <f t="shared" ca="1" si="2"/>
        <v>2.5</v>
      </c>
      <c r="T98" s="2">
        <f t="shared" ca="1" si="3"/>
        <v>18.899999999999999</v>
      </c>
      <c r="U98" s="71" t="str">
        <f>IFERROR(VLOOKUP(Table1[[#This Row],[No_]],'Customer Net Price'!A:F,5,FALSE),"0")</f>
        <v>0</v>
      </c>
      <c r="V98" s="71" t="str">
        <f>IFERROR(VLOOKUP(Table1[[#This Row],[No_]],'Customer Net Price'!A:G,6,FALSE),"0")</f>
        <v>0</v>
      </c>
    </row>
    <row r="99" spans="1:22" x14ac:dyDescent="0.25">
      <c r="A99" s="23" t="s">
        <v>595</v>
      </c>
      <c r="B99" s="23" t="s">
        <v>595</v>
      </c>
      <c r="C99" t="s">
        <v>596</v>
      </c>
      <c r="D99" t="s">
        <v>310</v>
      </c>
      <c r="E99" t="s">
        <v>546</v>
      </c>
      <c r="F99" t="s">
        <v>918</v>
      </c>
      <c r="G99" t="s">
        <v>923</v>
      </c>
      <c r="H99" s="1" t="s">
        <v>597</v>
      </c>
      <c r="I99">
        <v>1</v>
      </c>
      <c r="J99" t="s">
        <v>546</v>
      </c>
      <c r="K99" s="2">
        <v>2.5</v>
      </c>
      <c r="L99" s="2">
        <v>19.899999999999999</v>
      </c>
      <c r="M99" s="2">
        <v>2.9</v>
      </c>
      <c r="N99" s="2">
        <f ca="1">Table1[[#This Row],[2026 (EUR)]]*(1-INDIRECT(Table1[[#This Row],[Discount Name]]))</f>
        <v>2.5</v>
      </c>
      <c r="O99" s="2">
        <f ca="1">Table1[[#This Row],[2026 (DKK)]]*(1-INDIRECT(Table1[[#This Row],[Discount Name]]))</f>
        <v>19.899999999999999</v>
      </c>
      <c r="P99" s="2" cm="1">
        <f t="array" aca="1" ref="P99" ca="1">Table1[[#This Row],[2026 (USD)]]*(1-INDIRECT(Table1[[#This Row],[Discount Name]]))</f>
        <v>2.9</v>
      </c>
      <c r="Q99" s="31">
        <f ca="1">INDIRECT(Table1[[#This Row],[Discount Name]])</f>
        <v>0</v>
      </c>
      <c r="S99" s="2">
        <f t="shared" ca="1" si="2"/>
        <v>2.5</v>
      </c>
      <c r="T99" s="2">
        <f t="shared" ca="1" si="3"/>
        <v>19.899999999999999</v>
      </c>
      <c r="U99" s="71" t="str">
        <f>IFERROR(VLOOKUP(Table1[[#This Row],[No_]],'Customer Net Price'!A:F,5,FALSE),"0")</f>
        <v>0</v>
      </c>
      <c r="V99" s="71" t="str">
        <f>IFERROR(VLOOKUP(Table1[[#This Row],[No_]],'Customer Net Price'!A:G,6,FALSE),"0")</f>
        <v>0</v>
      </c>
    </row>
    <row r="100" spans="1:22" x14ac:dyDescent="0.25">
      <c r="A100" s="23" t="s">
        <v>24</v>
      </c>
      <c r="B100" s="23" t="s">
        <v>24</v>
      </c>
      <c r="C100" t="s">
        <v>192</v>
      </c>
      <c r="D100" t="s">
        <v>310</v>
      </c>
      <c r="E100" t="s">
        <v>546</v>
      </c>
      <c r="F100" t="s">
        <v>918</v>
      </c>
      <c r="G100" t="s">
        <v>923</v>
      </c>
      <c r="H100" s="1" t="s">
        <v>389</v>
      </c>
      <c r="I100">
        <v>1</v>
      </c>
      <c r="J100" t="s">
        <v>545</v>
      </c>
      <c r="K100" s="2">
        <v>10.6</v>
      </c>
      <c r="L100" s="2">
        <v>79.900000000000006</v>
      </c>
      <c r="M100" s="2">
        <v>11.9</v>
      </c>
      <c r="N100" s="2">
        <f ca="1">Table1[[#This Row],[2026 (EUR)]]*(1-INDIRECT(Table1[[#This Row],[Discount Name]]))</f>
        <v>10.6</v>
      </c>
      <c r="O100" s="2">
        <f ca="1">Table1[[#This Row],[2026 (DKK)]]*(1-INDIRECT(Table1[[#This Row],[Discount Name]]))</f>
        <v>79.900000000000006</v>
      </c>
      <c r="P100" s="2" cm="1">
        <f t="array" aca="1" ref="P100" ca="1">Table1[[#This Row],[2026 (USD)]]*(1-INDIRECT(Table1[[#This Row],[Discount Name]]))</f>
        <v>11.9</v>
      </c>
      <c r="Q100" s="31">
        <f ca="1">INDIRECT(Table1[[#This Row],[Discount Name]])</f>
        <v>0</v>
      </c>
      <c r="S100" s="2">
        <f t="shared" ca="1" si="2"/>
        <v>10.6</v>
      </c>
      <c r="T100" s="2">
        <f t="shared" ca="1" si="3"/>
        <v>79.900000000000006</v>
      </c>
      <c r="U100" s="71" t="str">
        <f>IFERROR(VLOOKUP(Table1[[#This Row],[No_]],'Customer Net Price'!A:F,5,FALSE),"0")</f>
        <v>0</v>
      </c>
      <c r="V100" s="71" t="str">
        <f>IFERROR(VLOOKUP(Table1[[#This Row],[No_]],'Customer Net Price'!A:G,6,FALSE),"0")</f>
        <v>0</v>
      </c>
    </row>
    <row r="101" spans="1:22" x14ac:dyDescent="0.25">
      <c r="A101" s="23" t="s">
        <v>598</v>
      </c>
      <c r="B101" s="23" t="s">
        <v>598</v>
      </c>
      <c r="C101" t="s">
        <v>599</v>
      </c>
      <c r="D101" t="s">
        <v>1778</v>
      </c>
      <c r="E101" t="s">
        <v>546</v>
      </c>
      <c r="F101" t="s">
        <v>918</v>
      </c>
      <c r="G101" t="s">
        <v>923</v>
      </c>
      <c r="H101" s="1" t="s">
        <v>600</v>
      </c>
      <c r="I101" t="s">
        <v>546</v>
      </c>
      <c r="J101" t="s">
        <v>546</v>
      </c>
      <c r="K101" s="2">
        <v>3.1</v>
      </c>
      <c r="L101" s="2">
        <v>22.9</v>
      </c>
      <c r="M101" s="2">
        <v>3.9</v>
      </c>
      <c r="N101" s="2">
        <f ca="1">Table1[[#This Row],[2026 (EUR)]]*(1-INDIRECT(Table1[[#This Row],[Discount Name]]))</f>
        <v>3.1</v>
      </c>
      <c r="O101" s="2">
        <f ca="1">Table1[[#This Row],[2026 (DKK)]]*(1-INDIRECT(Table1[[#This Row],[Discount Name]]))</f>
        <v>22.9</v>
      </c>
      <c r="P101" s="2" cm="1">
        <f t="array" aca="1" ref="P101" ca="1">Table1[[#This Row],[2026 (USD)]]*(1-INDIRECT(Table1[[#This Row],[Discount Name]]))</f>
        <v>3.9</v>
      </c>
      <c r="Q101" s="31">
        <f ca="1">INDIRECT(Table1[[#This Row],[Discount Name]])</f>
        <v>0</v>
      </c>
      <c r="S101" s="2">
        <f t="shared" ca="1" si="2"/>
        <v>3.1</v>
      </c>
      <c r="T101" s="2">
        <f t="shared" ca="1" si="3"/>
        <v>22.9</v>
      </c>
      <c r="U101" s="71" t="str">
        <f>IFERROR(VLOOKUP(Table1[[#This Row],[No_]],'Customer Net Price'!A:F,5,FALSE),"0")</f>
        <v>0</v>
      </c>
      <c r="V101" s="71" t="str">
        <f>IFERROR(VLOOKUP(Table1[[#This Row],[No_]],'Customer Net Price'!A:G,6,FALSE),"0")</f>
        <v>0</v>
      </c>
    </row>
    <row r="102" spans="1:22" x14ac:dyDescent="0.25">
      <c r="A102" s="23" t="s">
        <v>25</v>
      </c>
      <c r="B102" s="23" t="s">
        <v>25</v>
      </c>
      <c r="C102" t="s">
        <v>193</v>
      </c>
      <c r="D102" t="s">
        <v>310</v>
      </c>
      <c r="E102" t="s">
        <v>546</v>
      </c>
      <c r="F102" t="s">
        <v>918</v>
      </c>
      <c r="G102" t="s">
        <v>923</v>
      </c>
      <c r="H102" s="1" t="s">
        <v>390</v>
      </c>
      <c r="I102">
        <v>1</v>
      </c>
      <c r="J102" t="s">
        <v>546</v>
      </c>
      <c r="K102" s="2">
        <v>2.1</v>
      </c>
      <c r="L102" s="2">
        <v>15.9</v>
      </c>
      <c r="M102" s="2">
        <v>2.9</v>
      </c>
      <c r="N102" s="2">
        <f ca="1">Table1[[#This Row],[2026 (EUR)]]*(1-INDIRECT(Table1[[#This Row],[Discount Name]]))</f>
        <v>2.1</v>
      </c>
      <c r="O102" s="2">
        <f ca="1">Table1[[#This Row],[2026 (DKK)]]*(1-INDIRECT(Table1[[#This Row],[Discount Name]]))</f>
        <v>15.9</v>
      </c>
      <c r="P102" s="2" cm="1">
        <f t="array" aca="1" ref="P102" ca="1">Table1[[#This Row],[2026 (USD)]]*(1-INDIRECT(Table1[[#This Row],[Discount Name]]))</f>
        <v>2.9</v>
      </c>
      <c r="Q102" s="31">
        <f ca="1">INDIRECT(Table1[[#This Row],[Discount Name]])</f>
        <v>0</v>
      </c>
      <c r="S102" s="2">
        <f t="shared" ca="1" si="2"/>
        <v>2.1</v>
      </c>
      <c r="T102" s="2">
        <f t="shared" ca="1" si="3"/>
        <v>15.9</v>
      </c>
      <c r="U102" s="71" t="str">
        <f>IFERROR(VLOOKUP(Table1[[#This Row],[No_]],'Customer Net Price'!A:F,5,FALSE),"0")</f>
        <v>0</v>
      </c>
      <c r="V102" s="71" t="str">
        <f>IFERROR(VLOOKUP(Table1[[#This Row],[No_]],'Customer Net Price'!A:G,6,FALSE),"0")</f>
        <v>0</v>
      </c>
    </row>
    <row r="103" spans="1:22" x14ac:dyDescent="0.25">
      <c r="A103" s="23" t="s">
        <v>48</v>
      </c>
      <c r="B103" s="23" t="s">
        <v>48</v>
      </c>
      <c r="C103" t="s">
        <v>601</v>
      </c>
      <c r="D103" t="s">
        <v>310</v>
      </c>
      <c r="E103" t="s">
        <v>546</v>
      </c>
      <c r="F103" t="s">
        <v>918</v>
      </c>
      <c r="G103" t="s">
        <v>923</v>
      </c>
      <c r="H103" s="1" t="s">
        <v>391</v>
      </c>
      <c r="I103">
        <v>1</v>
      </c>
      <c r="J103" t="s">
        <v>546</v>
      </c>
      <c r="K103" s="2">
        <v>29.9</v>
      </c>
      <c r="L103" s="2">
        <v>222.9</v>
      </c>
      <c r="M103" s="2">
        <v>33.9</v>
      </c>
      <c r="N103" s="2">
        <f ca="1">Table1[[#This Row],[2026 (EUR)]]*(1-INDIRECT(Table1[[#This Row],[Discount Name]]))</f>
        <v>29.9</v>
      </c>
      <c r="O103" s="2">
        <f ca="1">Table1[[#This Row],[2026 (DKK)]]*(1-INDIRECT(Table1[[#This Row],[Discount Name]]))</f>
        <v>222.9</v>
      </c>
      <c r="P103" s="2" cm="1">
        <f t="array" aca="1" ref="P103" ca="1">Table1[[#This Row],[2026 (USD)]]*(1-INDIRECT(Table1[[#This Row],[Discount Name]]))</f>
        <v>33.9</v>
      </c>
      <c r="Q103" s="31">
        <f ca="1">INDIRECT(Table1[[#This Row],[Discount Name]])</f>
        <v>0</v>
      </c>
      <c r="S103" s="2">
        <f t="shared" ca="1" si="2"/>
        <v>29.9</v>
      </c>
      <c r="T103" s="2">
        <f t="shared" ca="1" si="3"/>
        <v>222.9</v>
      </c>
      <c r="U103" s="71" t="str">
        <f>IFERROR(VLOOKUP(Table1[[#This Row],[No_]],'Customer Net Price'!A:F,5,FALSE),"0")</f>
        <v>0</v>
      </c>
      <c r="V103" s="71" t="str">
        <f>IFERROR(VLOOKUP(Table1[[#This Row],[No_]],'Customer Net Price'!A:G,6,FALSE),"0")</f>
        <v>0</v>
      </c>
    </row>
    <row r="104" spans="1:22" x14ac:dyDescent="0.25">
      <c r="A104" s="23" t="s">
        <v>602</v>
      </c>
      <c r="B104" s="23" t="s">
        <v>602</v>
      </c>
      <c r="C104" t="s">
        <v>603</v>
      </c>
      <c r="D104" t="s">
        <v>1778</v>
      </c>
      <c r="E104" t="s">
        <v>546</v>
      </c>
      <c r="F104" t="s">
        <v>918</v>
      </c>
      <c r="G104" t="s">
        <v>923</v>
      </c>
      <c r="H104" s="1" t="s">
        <v>604</v>
      </c>
      <c r="I104" t="s">
        <v>546</v>
      </c>
      <c r="J104" t="s">
        <v>546</v>
      </c>
      <c r="K104" s="2">
        <v>3.3000000000000003</v>
      </c>
      <c r="L104" s="2">
        <v>24.9</v>
      </c>
      <c r="M104" s="2">
        <v>3.9</v>
      </c>
      <c r="N104" s="2">
        <f ca="1">Table1[[#This Row],[2026 (EUR)]]*(1-INDIRECT(Table1[[#This Row],[Discount Name]]))</f>
        <v>3.3000000000000003</v>
      </c>
      <c r="O104" s="2">
        <f ca="1">Table1[[#This Row],[2026 (DKK)]]*(1-INDIRECT(Table1[[#This Row],[Discount Name]]))</f>
        <v>24.9</v>
      </c>
      <c r="P104" s="2" cm="1">
        <f t="array" aca="1" ref="P104" ca="1">Table1[[#This Row],[2026 (USD)]]*(1-INDIRECT(Table1[[#This Row],[Discount Name]]))</f>
        <v>3.9</v>
      </c>
      <c r="Q104" s="31">
        <f ca="1">INDIRECT(Table1[[#This Row],[Discount Name]])</f>
        <v>0</v>
      </c>
      <c r="S104" s="2">
        <f t="shared" ca="1" si="2"/>
        <v>3.3000000000000003</v>
      </c>
      <c r="T104" s="2">
        <f t="shared" ca="1" si="3"/>
        <v>24.9</v>
      </c>
      <c r="U104" s="71" t="str">
        <f>IFERROR(VLOOKUP(Table1[[#This Row],[No_]],'Customer Net Price'!A:F,5,FALSE),"0")</f>
        <v>0</v>
      </c>
      <c r="V104" s="71" t="str">
        <f>IFERROR(VLOOKUP(Table1[[#This Row],[No_]],'Customer Net Price'!A:G,6,FALSE),"0")</f>
        <v>0</v>
      </c>
    </row>
    <row r="105" spans="1:22" x14ac:dyDescent="0.25">
      <c r="A105" s="23" t="s">
        <v>956</v>
      </c>
      <c r="B105" s="23" t="s">
        <v>956</v>
      </c>
      <c r="C105" t="s">
        <v>971</v>
      </c>
      <c r="D105" t="s">
        <v>1778</v>
      </c>
      <c r="E105" t="s">
        <v>546</v>
      </c>
      <c r="F105" t="s">
        <v>918</v>
      </c>
      <c r="G105" t="s">
        <v>923</v>
      </c>
      <c r="H105" s="46" t="s">
        <v>1103</v>
      </c>
      <c r="I105" t="s">
        <v>546</v>
      </c>
      <c r="J105" t="s">
        <v>546</v>
      </c>
      <c r="K105" s="2">
        <v>3.3000000000000003</v>
      </c>
      <c r="L105" s="2">
        <v>24.9</v>
      </c>
      <c r="M105" s="2">
        <v>3.6</v>
      </c>
      <c r="N105" s="2">
        <f ca="1">Table1[[#This Row],[2026 (EUR)]]*(1-INDIRECT(Table1[[#This Row],[Discount Name]]))</f>
        <v>3.3000000000000003</v>
      </c>
      <c r="O105" s="2">
        <f ca="1">Table1[[#This Row],[2026 (DKK)]]*(1-INDIRECT(Table1[[#This Row],[Discount Name]]))</f>
        <v>24.9</v>
      </c>
      <c r="P105" s="2" cm="1">
        <f t="array" aca="1" ref="P105" ca="1">Table1[[#This Row],[2026 (USD)]]*(1-INDIRECT(Table1[[#This Row],[Discount Name]]))</f>
        <v>3.6</v>
      </c>
      <c r="Q105" s="31">
        <f ca="1">INDIRECT(Table1[[#This Row],[Discount Name]])</f>
        <v>0</v>
      </c>
      <c r="S105" s="2">
        <f t="shared" ca="1" si="2"/>
        <v>3.3000000000000003</v>
      </c>
      <c r="T105" s="2">
        <f t="shared" ca="1" si="3"/>
        <v>24.9</v>
      </c>
      <c r="U105" s="71" t="str">
        <f>IFERROR(VLOOKUP(Table1[[#This Row],[No_]],'Customer Net Price'!A:F,5,FALSE),"0")</f>
        <v>0</v>
      </c>
      <c r="V105" s="71" t="str">
        <f>IFERROR(VLOOKUP(Table1[[#This Row],[No_]],'Customer Net Price'!A:G,6,FALSE),"0")</f>
        <v>0</v>
      </c>
    </row>
    <row r="106" spans="1:22" x14ac:dyDescent="0.25">
      <c r="A106" s="23" t="s">
        <v>26</v>
      </c>
      <c r="B106" s="23" t="s">
        <v>26</v>
      </c>
      <c r="C106" t="s">
        <v>194</v>
      </c>
      <c r="D106" t="s">
        <v>310</v>
      </c>
      <c r="E106" t="s">
        <v>546</v>
      </c>
      <c r="F106" t="s">
        <v>918</v>
      </c>
      <c r="G106" t="s">
        <v>923</v>
      </c>
      <c r="H106" s="1" t="s">
        <v>392</v>
      </c>
      <c r="I106">
        <v>10</v>
      </c>
      <c r="J106" t="s">
        <v>546</v>
      </c>
      <c r="K106" s="2">
        <v>11.9</v>
      </c>
      <c r="L106" s="2">
        <v>89.9</v>
      </c>
      <c r="M106" s="2">
        <v>13.9</v>
      </c>
      <c r="N106" s="2">
        <f ca="1">Table1[[#This Row],[2026 (EUR)]]*(1-INDIRECT(Table1[[#This Row],[Discount Name]]))</f>
        <v>11.9</v>
      </c>
      <c r="O106" s="2">
        <f ca="1">Table1[[#This Row],[2026 (DKK)]]*(1-INDIRECT(Table1[[#This Row],[Discount Name]]))</f>
        <v>89.9</v>
      </c>
      <c r="P106" s="2" cm="1">
        <f t="array" aca="1" ref="P106" ca="1">Table1[[#This Row],[2026 (USD)]]*(1-INDIRECT(Table1[[#This Row],[Discount Name]]))</f>
        <v>13.9</v>
      </c>
      <c r="Q106" s="31">
        <f ca="1">INDIRECT(Table1[[#This Row],[Discount Name]])</f>
        <v>0</v>
      </c>
      <c r="S106" s="2">
        <f t="shared" ca="1" si="2"/>
        <v>11.9</v>
      </c>
      <c r="T106" s="2">
        <f t="shared" ca="1" si="3"/>
        <v>89.9</v>
      </c>
      <c r="U106" s="71" t="str">
        <f>IFERROR(VLOOKUP(Table1[[#This Row],[No_]],'Customer Net Price'!A:F,5,FALSE),"0")</f>
        <v>0</v>
      </c>
      <c r="V106" s="71" t="str">
        <f>IFERROR(VLOOKUP(Table1[[#This Row],[No_]],'Customer Net Price'!A:G,6,FALSE),"0")</f>
        <v>0</v>
      </c>
    </row>
    <row r="107" spans="1:22" x14ac:dyDescent="0.25">
      <c r="A107" s="23" t="s">
        <v>605</v>
      </c>
      <c r="B107" s="23" t="s">
        <v>605</v>
      </c>
      <c r="C107" t="s">
        <v>606</v>
      </c>
      <c r="D107" t="s">
        <v>310</v>
      </c>
      <c r="E107" t="s">
        <v>546</v>
      </c>
      <c r="F107" t="s">
        <v>918</v>
      </c>
      <c r="G107" t="s">
        <v>923</v>
      </c>
      <c r="H107" s="1" t="s">
        <v>607</v>
      </c>
      <c r="I107">
        <v>20</v>
      </c>
      <c r="J107" t="s">
        <v>546</v>
      </c>
      <c r="K107" s="2">
        <v>42.9</v>
      </c>
      <c r="L107" s="2">
        <v>319.89999999999998</v>
      </c>
      <c r="M107" s="2">
        <v>47.9</v>
      </c>
      <c r="N107" s="2">
        <f ca="1">Table1[[#This Row],[2026 (EUR)]]*(1-INDIRECT(Table1[[#This Row],[Discount Name]]))</f>
        <v>42.9</v>
      </c>
      <c r="O107" s="2">
        <f ca="1">Table1[[#This Row],[2026 (DKK)]]*(1-INDIRECT(Table1[[#This Row],[Discount Name]]))</f>
        <v>319.89999999999998</v>
      </c>
      <c r="P107" s="2" cm="1">
        <f t="array" aca="1" ref="P107" ca="1">Table1[[#This Row],[2026 (USD)]]*(1-INDIRECT(Table1[[#This Row],[Discount Name]]))</f>
        <v>47.9</v>
      </c>
      <c r="Q107" s="31">
        <f ca="1">INDIRECT(Table1[[#This Row],[Discount Name]])</f>
        <v>0</v>
      </c>
      <c r="S107" s="2">
        <f t="shared" ca="1" si="2"/>
        <v>42.9</v>
      </c>
      <c r="T107" s="2">
        <f t="shared" ca="1" si="3"/>
        <v>319.89999999999998</v>
      </c>
      <c r="U107" s="71" t="str">
        <f>IFERROR(VLOOKUP(Table1[[#This Row],[No_]],'Customer Net Price'!A:F,5,FALSE),"0")</f>
        <v>0</v>
      </c>
      <c r="V107" s="71" t="str">
        <f>IFERROR(VLOOKUP(Table1[[#This Row],[No_]],'Customer Net Price'!A:G,6,FALSE),"0")</f>
        <v>0</v>
      </c>
    </row>
    <row r="108" spans="1:22" x14ac:dyDescent="0.25">
      <c r="A108" s="23" t="s">
        <v>944</v>
      </c>
      <c r="B108" s="23" t="s">
        <v>944</v>
      </c>
      <c r="C108" t="s">
        <v>959</v>
      </c>
      <c r="D108" t="s">
        <v>1778</v>
      </c>
      <c r="E108" t="s">
        <v>546</v>
      </c>
      <c r="F108" t="s">
        <v>918</v>
      </c>
      <c r="G108" t="s">
        <v>923</v>
      </c>
      <c r="H108" s="1" t="s">
        <v>1067</v>
      </c>
      <c r="I108" t="s">
        <v>546</v>
      </c>
      <c r="J108" t="s">
        <v>546</v>
      </c>
      <c r="K108" s="2">
        <v>29.9</v>
      </c>
      <c r="L108" s="2">
        <v>221.9</v>
      </c>
      <c r="M108" s="2">
        <v>32.9</v>
      </c>
      <c r="N108" s="2">
        <f ca="1">Table1[[#This Row],[2026 (EUR)]]*(1-INDIRECT(Table1[[#This Row],[Discount Name]]))</f>
        <v>29.9</v>
      </c>
      <c r="O108" s="2">
        <f ca="1">Table1[[#This Row],[2026 (DKK)]]*(1-INDIRECT(Table1[[#This Row],[Discount Name]]))</f>
        <v>221.9</v>
      </c>
      <c r="P108" s="2" cm="1">
        <f t="array" aca="1" ref="P108" ca="1">Table1[[#This Row],[2026 (USD)]]*(1-INDIRECT(Table1[[#This Row],[Discount Name]]))</f>
        <v>32.9</v>
      </c>
      <c r="Q108" s="31">
        <f ca="1">INDIRECT(Table1[[#This Row],[Discount Name]])</f>
        <v>0</v>
      </c>
      <c r="S108" s="2">
        <f t="shared" ca="1" si="2"/>
        <v>29.9</v>
      </c>
      <c r="T108" s="2">
        <f t="shared" ca="1" si="3"/>
        <v>221.9</v>
      </c>
      <c r="U108" s="71" t="str">
        <f>IFERROR(VLOOKUP(Table1[[#This Row],[No_]],'Customer Net Price'!A:F,5,FALSE),"0")</f>
        <v>0</v>
      </c>
      <c r="V108" s="71" t="str">
        <f>IFERROR(VLOOKUP(Table1[[#This Row],[No_]],'Customer Net Price'!A:G,6,FALSE),"0")</f>
        <v>0</v>
      </c>
    </row>
    <row r="109" spans="1:22" x14ac:dyDescent="0.25">
      <c r="A109" s="23" t="s">
        <v>608</v>
      </c>
      <c r="B109" s="23" t="s">
        <v>608</v>
      </c>
      <c r="C109" t="s">
        <v>609</v>
      </c>
      <c r="D109" t="s">
        <v>1778</v>
      </c>
      <c r="E109" t="s">
        <v>546</v>
      </c>
      <c r="F109" t="s">
        <v>918</v>
      </c>
      <c r="G109" t="s">
        <v>923</v>
      </c>
      <c r="H109" s="1" t="s">
        <v>610</v>
      </c>
      <c r="I109" t="s">
        <v>546</v>
      </c>
      <c r="J109" t="s">
        <v>546</v>
      </c>
      <c r="K109" s="2">
        <v>15.9</v>
      </c>
      <c r="L109" s="2">
        <v>117.9</v>
      </c>
      <c r="M109" s="2">
        <v>17.899999999999999</v>
      </c>
      <c r="N109" s="2">
        <f ca="1">Table1[[#This Row],[2026 (EUR)]]*(1-INDIRECT(Table1[[#This Row],[Discount Name]]))</f>
        <v>15.9</v>
      </c>
      <c r="O109" s="2">
        <f ca="1">Table1[[#This Row],[2026 (DKK)]]*(1-INDIRECT(Table1[[#This Row],[Discount Name]]))</f>
        <v>117.9</v>
      </c>
      <c r="P109" s="2" cm="1">
        <f t="array" aca="1" ref="P109" ca="1">Table1[[#This Row],[2026 (USD)]]*(1-INDIRECT(Table1[[#This Row],[Discount Name]]))</f>
        <v>17.899999999999999</v>
      </c>
      <c r="Q109" s="31">
        <f ca="1">INDIRECT(Table1[[#This Row],[Discount Name]])</f>
        <v>0</v>
      </c>
      <c r="S109" s="2">
        <f t="shared" ca="1" si="2"/>
        <v>15.9</v>
      </c>
      <c r="T109" s="2">
        <f t="shared" ca="1" si="3"/>
        <v>117.9</v>
      </c>
      <c r="U109" s="71" t="str">
        <f>IFERROR(VLOOKUP(Table1[[#This Row],[No_]],'Customer Net Price'!A:F,5,FALSE),"0")</f>
        <v>0</v>
      </c>
      <c r="V109" s="71" t="str">
        <f>IFERROR(VLOOKUP(Table1[[#This Row],[No_]],'Customer Net Price'!A:G,6,FALSE),"0")</f>
        <v>0</v>
      </c>
    </row>
    <row r="110" spans="1:22" x14ac:dyDescent="0.25">
      <c r="A110" s="23" t="s">
        <v>611</v>
      </c>
      <c r="B110" s="23" t="s">
        <v>611</v>
      </c>
      <c r="C110" t="s">
        <v>612</v>
      </c>
      <c r="D110" t="s">
        <v>1778</v>
      </c>
      <c r="E110" t="s">
        <v>546</v>
      </c>
      <c r="F110" t="s">
        <v>918</v>
      </c>
      <c r="G110" t="s">
        <v>923</v>
      </c>
      <c r="H110" s="1" t="s">
        <v>613</v>
      </c>
      <c r="I110" t="s">
        <v>546</v>
      </c>
      <c r="J110" t="s">
        <v>562</v>
      </c>
      <c r="K110" s="2">
        <v>61.600000000000009</v>
      </c>
      <c r="L110" s="2">
        <v>457.9</v>
      </c>
      <c r="M110" s="2">
        <v>67.900000000000006</v>
      </c>
      <c r="N110" s="2">
        <f ca="1">Table1[[#This Row],[2026 (EUR)]]*(1-INDIRECT(Table1[[#This Row],[Discount Name]]))</f>
        <v>61.600000000000009</v>
      </c>
      <c r="O110" s="2">
        <f ca="1">Table1[[#This Row],[2026 (DKK)]]*(1-INDIRECT(Table1[[#This Row],[Discount Name]]))</f>
        <v>457.9</v>
      </c>
      <c r="P110" s="2" cm="1">
        <f t="array" aca="1" ref="P110" ca="1">Table1[[#This Row],[2026 (USD)]]*(1-INDIRECT(Table1[[#This Row],[Discount Name]]))</f>
        <v>67.900000000000006</v>
      </c>
      <c r="Q110" s="31">
        <f ca="1">INDIRECT(Table1[[#This Row],[Discount Name]])</f>
        <v>0</v>
      </c>
      <c r="S110" s="2">
        <f t="shared" ca="1" si="2"/>
        <v>61.600000000000009</v>
      </c>
      <c r="T110" s="2">
        <f t="shared" ca="1" si="3"/>
        <v>457.9</v>
      </c>
      <c r="U110" s="71" t="str">
        <f>IFERROR(VLOOKUP(Table1[[#This Row],[No_]],'Customer Net Price'!A:F,5,FALSE),"0")</f>
        <v>0</v>
      </c>
      <c r="V110" s="71" t="str">
        <f>IFERROR(VLOOKUP(Table1[[#This Row],[No_]],'Customer Net Price'!A:G,6,FALSE),"0")</f>
        <v>0</v>
      </c>
    </row>
    <row r="111" spans="1:22" x14ac:dyDescent="0.25">
      <c r="A111" s="23" t="s">
        <v>614</v>
      </c>
      <c r="B111" s="23" t="s">
        <v>614</v>
      </c>
      <c r="C111" t="s">
        <v>615</v>
      </c>
      <c r="D111" t="s">
        <v>1778</v>
      </c>
      <c r="E111" t="s">
        <v>546</v>
      </c>
      <c r="F111" t="s">
        <v>918</v>
      </c>
      <c r="G111" t="s">
        <v>923</v>
      </c>
      <c r="H111" s="1" t="s">
        <v>616</v>
      </c>
      <c r="I111" t="s">
        <v>546</v>
      </c>
      <c r="J111" t="s">
        <v>546</v>
      </c>
      <c r="K111" s="2">
        <v>31.9</v>
      </c>
      <c r="L111" s="2">
        <v>236.9</v>
      </c>
      <c r="M111" s="2">
        <v>34.9</v>
      </c>
      <c r="N111" s="2">
        <f ca="1">Table1[[#This Row],[2026 (EUR)]]*(1-INDIRECT(Table1[[#This Row],[Discount Name]]))</f>
        <v>31.9</v>
      </c>
      <c r="O111" s="2">
        <f ca="1">Table1[[#This Row],[2026 (DKK)]]*(1-INDIRECT(Table1[[#This Row],[Discount Name]]))</f>
        <v>236.9</v>
      </c>
      <c r="P111" s="2" cm="1">
        <f t="array" aca="1" ref="P111" ca="1">Table1[[#This Row],[2026 (USD)]]*(1-INDIRECT(Table1[[#This Row],[Discount Name]]))</f>
        <v>34.9</v>
      </c>
      <c r="Q111" s="31">
        <f ca="1">INDIRECT(Table1[[#This Row],[Discount Name]])</f>
        <v>0</v>
      </c>
      <c r="S111" s="2">
        <f t="shared" ca="1" si="2"/>
        <v>31.9</v>
      </c>
      <c r="T111" s="2">
        <f t="shared" ca="1" si="3"/>
        <v>236.9</v>
      </c>
      <c r="U111" s="71" t="str">
        <f>IFERROR(VLOOKUP(Table1[[#This Row],[No_]],'Customer Net Price'!A:F,5,FALSE),"0")</f>
        <v>0</v>
      </c>
      <c r="V111" s="71" t="str">
        <f>IFERROR(VLOOKUP(Table1[[#This Row],[No_]],'Customer Net Price'!A:G,6,FALSE),"0")</f>
        <v>0</v>
      </c>
    </row>
    <row r="112" spans="1:22" x14ac:dyDescent="0.25">
      <c r="A112" s="23" t="s">
        <v>617</v>
      </c>
      <c r="B112" s="23" t="s">
        <v>617</v>
      </c>
      <c r="C112" t="s">
        <v>618</v>
      </c>
      <c r="D112" t="s">
        <v>1778</v>
      </c>
      <c r="E112" t="s">
        <v>546</v>
      </c>
      <c r="F112" t="s">
        <v>918</v>
      </c>
      <c r="G112" t="s">
        <v>923</v>
      </c>
      <c r="H112" s="1" t="s">
        <v>619</v>
      </c>
      <c r="I112" t="s">
        <v>546</v>
      </c>
      <c r="J112" t="s">
        <v>546</v>
      </c>
      <c r="K112" s="2">
        <v>5.9</v>
      </c>
      <c r="L112" s="2">
        <v>43.9</v>
      </c>
      <c r="M112" s="2">
        <v>6.9</v>
      </c>
      <c r="N112" s="2">
        <f ca="1">Table1[[#This Row],[2026 (EUR)]]*(1-INDIRECT(Table1[[#This Row],[Discount Name]]))</f>
        <v>5.9</v>
      </c>
      <c r="O112" s="2">
        <f ca="1">Table1[[#This Row],[2026 (DKK)]]*(1-INDIRECT(Table1[[#This Row],[Discount Name]]))</f>
        <v>43.9</v>
      </c>
      <c r="P112" s="2" cm="1">
        <f t="array" aca="1" ref="P112" ca="1">Table1[[#This Row],[2026 (USD)]]*(1-INDIRECT(Table1[[#This Row],[Discount Name]]))</f>
        <v>6.9</v>
      </c>
      <c r="Q112" s="31">
        <f ca="1">INDIRECT(Table1[[#This Row],[Discount Name]])</f>
        <v>0</v>
      </c>
      <c r="S112" s="2">
        <f t="shared" ca="1" si="2"/>
        <v>5.9</v>
      </c>
      <c r="T112" s="2">
        <f t="shared" ca="1" si="3"/>
        <v>43.9</v>
      </c>
      <c r="U112" s="71" t="str">
        <f>IFERROR(VLOOKUP(Table1[[#This Row],[No_]],'Customer Net Price'!A:F,5,FALSE),"0")</f>
        <v>0</v>
      </c>
      <c r="V112" s="71" t="str">
        <f>IFERROR(VLOOKUP(Table1[[#This Row],[No_]],'Customer Net Price'!A:G,6,FALSE),"0")</f>
        <v>0</v>
      </c>
    </row>
    <row r="113" spans="1:22" x14ac:dyDescent="0.25">
      <c r="A113" s="23" t="s">
        <v>124</v>
      </c>
      <c r="B113" s="23" t="s">
        <v>124</v>
      </c>
      <c r="C113" t="s">
        <v>195</v>
      </c>
      <c r="D113" t="s">
        <v>310</v>
      </c>
      <c r="E113" t="s">
        <v>546</v>
      </c>
      <c r="F113" t="s">
        <v>918</v>
      </c>
      <c r="G113" t="s">
        <v>923</v>
      </c>
      <c r="H113" s="1" t="s">
        <v>393</v>
      </c>
      <c r="I113">
        <v>1</v>
      </c>
      <c r="J113" t="s">
        <v>572</v>
      </c>
      <c r="K113" s="2">
        <v>53.9</v>
      </c>
      <c r="L113" s="2">
        <v>399.9</v>
      </c>
      <c r="M113" s="2">
        <v>61.9</v>
      </c>
      <c r="N113" s="2">
        <f ca="1">Table1[[#This Row],[2026 (EUR)]]*(1-INDIRECT(Table1[[#This Row],[Discount Name]]))</f>
        <v>53.9</v>
      </c>
      <c r="O113" s="2">
        <f ca="1">Table1[[#This Row],[2026 (DKK)]]*(1-INDIRECT(Table1[[#This Row],[Discount Name]]))</f>
        <v>399.9</v>
      </c>
      <c r="P113" s="2" cm="1">
        <f t="array" aca="1" ref="P113" ca="1">Table1[[#This Row],[2026 (USD)]]*(1-INDIRECT(Table1[[#This Row],[Discount Name]]))</f>
        <v>61.9</v>
      </c>
      <c r="Q113" s="31">
        <f ca="1">INDIRECT(Table1[[#This Row],[Discount Name]])</f>
        <v>0</v>
      </c>
      <c r="S113" s="2">
        <f t="shared" ca="1" si="2"/>
        <v>53.9</v>
      </c>
      <c r="T113" s="2">
        <f t="shared" ca="1" si="3"/>
        <v>399.9</v>
      </c>
      <c r="U113" s="71" t="str">
        <f>IFERROR(VLOOKUP(Table1[[#This Row],[No_]],'Customer Net Price'!A:F,5,FALSE),"0")</f>
        <v>0</v>
      </c>
      <c r="V113" s="71" t="str">
        <f>IFERROR(VLOOKUP(Table1[[#This Row],[No_]],'Customer Net Price'!A:G,6,FALSE),"0")</f>
        <v>0</v>
      </c>
    </row>
    <row r="114" spans="1:22" x14ac:dyDescent="0.25">
      <c r="A114" s="23" t="s">
        <v>142</v>
      </c>
      <c r="B114" s="23" t="s">
        <v>124</v>
      </c>
      <c r="C114" t="s">
        <v>195</v>
      </c>
      <c r="D114" t="s">
        <v>310</v>
      </c>
      <c r="E114" t="s">
        <v>546</v>
      </c>
      <c r="F114" t="s">
        <v>918</v>
      </c>
      <c r="G114" t="s">
        <v>923</v>
      </c>
      <c r="H114" s="1" t="s">
        <v>394</v>
      </c>
      <c r="I114" t="s">
        <v>546</v>
      </c>
      <c r="J114" t="s">
        <v>571</v>
      </c>
      <c r="K114" s="2">
        <v>53.9</v>
      </c>
      <c r="L114" s="2">
        <v>399.9</v>
      </c>
      <c r="M114" s="2">
        <v>61.9</v>
      </c>
      <c r="N114" s="2">
        <f ca="1">Table1[[#This Row],[2026 (EUR)]]*(1-INDIRECT(Table1[[#This Row],[Discount Name]]))</f>
        <v>53.9</v>
      </c>
      <c r="O114" s="2">
        <f ca="1">Table1[[#This Row],[2026 (DKK)]]*(1-INDIRECT(Table1[[#This Row],[Discount Name]]))</f>
        <v>399.9</v>
      </c>
      <c r="P114" s="2" cm="1">
        <f t="array" aca="1" ref="P114" ca="1">Table1[[#This Row],[2026 (USD)]]*(1-INDIRECT(Table1[[#This Row],[Discount Name]]))</f>
        <v>61.9</v>
      </c>
      <c r="Q114" s="31">
        <f ca="1">INDIRECT(Table1[[#This Row],[Discount Name]])</f>
        <v>0</v>
      </c>
      <c r="S114" s="2">
        <f t="shared" ca="1" si="2"/>
        <v>53.9</v>
      </c>
      <c r="T114" s="2">
        <f t="shared" ca="1" si="3"/>
        <v>399.9</v>
      </c>
      <c r="U114" s="71" t="str">
        <f>IFERROR(VLOOKUP(Table1[[#This Row],[No_]],'Customer Net Price'!A:F,5,FALSE),"0")</f>
        <v>0</v>
      </c>
      <c r="V114" s="71" t="str">
        <f>IFERROR(VLOOKUP(Table1[[#This Row],[No_]],'Customer Net Price'!A:G,6,FALSE),"0")</f>
        <v>0</v>
      </c>
    </row>
    <row r="115" spans="1:22" x14ac:dyDescent="0.25">
      <c r="A115" s="23" t="s">
        <v>147</v>
      </c>
      <c r="B115" s="23" t="s">
        <v>124</v>
      </c>
      <c r="C115" t="s">
        <v>195</v>
      </c>
      <c r="D115" t="s">
        <v>310</v>
      </c>
      <c r="E115" t="s">
        <v>546</v>
      </c>
      <c r="F115" t="s">
        <v>918</v>
      </c>
      <c r="G115" t="s">
        <v>923</v>
      </c>
      <c r="H115" s="46" t="s">
        <v>831</v>
      </c>
      <c r="I115" t="s">
        <v>546</v>
      </c>
      <c r="J115" t="s">
        <v>570</v>
      </c>
      <c r="K115" s="2">
        <v>53.9</v>
      </c>
      <c r="L115" s="2">
        <v>399.9</v>
      </c>
      <c r="M115" s="2">
        <v>61.9</v>
      </c>
      <c r="N115" s="2">
        <f ca="1">Table1[[#This Row],[2026 (EUR)]]*(1-INDIRECT(Table1[[#This Row],[Discount Name]]))</f>
        <v>53.9</v>
      </c>
      <c r="O115" s="2">
        <f ca="1">Table1[[#This Row],[2026 (DKK)]]*(1-INDIRECT(Table1[[#This Row],[Discount Name]]))</f>
        <v>399.9</v>
      </c>
      <c r="P115" s="2" cm="1">
        <f t="array" aca="1" ref="P115" ca="1">Table1[[#This Row],[2026 (USD)]]*(1-INDIRECT(Table1[[#This Row],[Discount Name]]))</f>
        <v>61.9</v>
      </c>
      <c r="Q115" s="31">
        <f ca="1">INDIRECT(Table1[[#This Row],[Discount Name]])</f>
        <v>0</v>
      </c>
      <c r="S115" s="2">
        <f t="shared" ca="1" si="2"/>
        <v>53.9</v>
      </c>
      <c r="T115" s="2">
        <f t="shared" ca="1" si="3"/>
        <v>399.9</v>
      </c>
      <c r="U115" s="71" t="str">
        <f>IFERROR(VLOOKUP(Table1[[#This Row],[No_]],'Customer Net Price'!A:F,5,FALSE),"0")</f>
        <v>0</v>
      </c>
      <c r="V115" s="71" t="str">
        <f>IFERROR(VLOOKUP(Table1[[#This Row],[No_]],'Customer Net Price'!A:G,6,FALSE),"0")</f>
        <v>0</v>
      </c>
    </row>
    <row r="116" spans="1:22" x14ac:dyDescent="0.25">
      <c r="A116" s="23" t="s">
        <v>125</v>
      </c>
      <c r="B116" s="23" t="s">
        <v>124</v>
      </c>
      <c r="C116" t="s">
        <v>195</v>
      </c>
      <c r="D116" t="s">
        <v>310</v>
      </c>
      <c r="E116" t="s">
        <v>546</v>
      </c>
      <c r="F116" t="s">
        <v>918</v>
      </c>
      <c r="G116" t="s">
        <v>923</v>
      </c>
      <c r="H116" s="46" t="s">
        <v>832</v>
      </c>
      <c r="I116" t="s">
        <v>546</v>
      </c>
      <c r="J116" t="s">
        <v>562</v>
      </c>
      <c r="K116" s="2">
        <v>53.9</v>
      </c>
      <c r="L116" s="2">
        <v>399.9</v>
      </c>
      <c r="M116" s="2">
        <v>61.9</v>
      </c>
      <c r="N116" s="2">
        <f ca="1">Table1[[#This Row],[2026 (EUR)]]*(1-INDIRECT(Table1[[#This Row],[Discount Name]]))</f>
        <v>53.9</v>
      </c>
      <c r="O116" s="2">
        <f ca="1">Table1[[#This Row],[2026 (DKK)]]*(1-INDIRECT(Table1[[#This Row],[Discount Name]]))</f>
        <v>399.9</v>
      </c>
      <c r="P116" s="2" cm="1">
        <f t="array" aca="1" ref="P116" ca="1">Table1[[#This Row],[2026 (USD)]]*(1-INDIRECT(Table1[[#This Row],[Discount Name]]))</f>
        <v>61.9</v>
      </c>
      <c r="Q116" s="31">
        <f ca="1">INDIRECT(Table1[[#This Row],[Discount Name]])</f>
        <v>0</v>
      </c>
      <c r="S116" s="2">
        <f t="shared" ca="1" si="2"/>
        <v>53.9</v>
      </c>
      <c r="T116" s="2">
        <f t="shared" ca="1" si="3"/>
        <v>399.9</v>
      </c>
      <c r="U116" s="71" t="str">
        <f>IFERROR(VLOOKUP(Table1[[#This Row],[No_]],'Customer Net Price'!A:F,5,FALSE),"0")</f>
        <v>0</v>
      </c>
      <c r="V116" s="71" t="str">
        <f>IFERROR(VLOOKUP(Table1[[#This Row],[No_]],'Customer Net Price'!A:G,6,FALSE),"0")</f>
        <v>0</v>
      </c>
    </row>
    <row r="117" spans="1:22" x14ac:dyDescent="0.25">
      <c r="A117" s="23" t="s">
        <v>27</v>
      </c>
      <c r="B117" s="23" t="s">
        <v>27</v>
      </c>
      <c r="C117" t="s">
        <v>196</v>
      </c>
      <c r="D117" t="s">
        <v>310</v>
      </c>
      <c r="E117" t="s">
        <v>546</v>
      </c>
      <c r="F117" t="s">
        <v>918</v>
      </c>
      <c r="G117" t="s">
        <v>923</v>
      </c>
      <c r="H117" s="1" t="s">
        <v>395</v>
      </c>
      <c r="I117">
        <v>1</v>
      </c>
      <c r="J117" t="s">
        <v>572</v>
      </c>
      <c r="K117" s="2">
        <v>58.9</v>
      </c>
      <c r="L117" s="2">
        <v>439.9</v>
      </c>
      <c r="M117" s="2">
        <v>67.900000000000006</v>
      </c>
      <c r="N117" s="2">
        <f ca="1">Table1[[#This Row],[2026 (EUR)]]*(1-INDIRECT(Table1[[#This Row],[Discount Name]]))</f>
        <v>58.9</v>
      </c>
      <c r="O117" s="2">
        <f ca="1">Table1[[#This Row],[2026 (DKK)]]*(1-INDIRECT(Table1[[#This Row],[Discount Name]]))</f>
        <v>439.9</v>
      </c>
      <c r="P117" s="2" cm="1">
        <f t="array" aca="1" ref="P117" ca="1">Table1[[#This Row],[2026 (USD)]]*(1-INDIRECT(Table1[[#This Row],[Discount Name]]))</f>
        <v>67.900000000000006</v>
      </c>
      <c r="Q117" s="31">
        <f ca="1">INDIRECT(Table1[[#This Row],[Discount Name]])</f>
        <v>0</v>
      </c>
      <c r="S117" s="2">
        <f t="shared" ca="1" si="2"/>
        <v>58.9</v>
      </c>
      <c r="T117" s="2">
        <f t="shared" ca="1" si="3"/>
        <v>439.9</v>
      </c>
      <c r="U117" s="71" t="str">
        <f>IFERROR(VLOOKUP(Table1[[#This Row],[No_]],'Customer Net Price'!A:F,5,FALSE),"0")</f>
        <v>0</v>
      </c>
      <c r="V117" s="71" t="str">
        <f>IFERROR(VLOOKUP(Table1[[#This Row],[No_]],'Customer Net Price'!A:G,6,FALSE),"0")</f>
        <v>0</v>
      </c>
    </row>
    <row r="118" spans="1:22" x14ac:dyDescent="0.25">
      <c r="A118" s="23" t="s">
        <v>143</v>
      </c>
      <c r="B118" s="23" t="s">
        <v>27</v>
      </c>
      <c r="C118" t="s">
        <v>196</v>
      </c>
      <c r="D118" t="s">
        <v>310</v>
      </c>
      <c r="E118" t="s">
        <v>546</v>
      </c>
      <c r="F118" t="s">
        <v>918</v>
      </c>
      <c r="G118" t="s">
        <v>923</v>
      </c>
      <c r="H118" s="1" t="s">
        <v>396</v>
      </c>
      <c r="I118" t="s">
        <v>546</v>
      </c>
      <c r="J118" t="s">
        <v>571</v>
      </c>
      <c r="K118" s="2">
        <v>58.9</v>
      </c>
      <c r="L118" s="2">
        <v>439.9</v>
      </c>
      <c r="M118" s="2">
        <v>67.900000000000006</v>
      </c>
      <c r="N118" s="2">
        <f ca="1">Table1[[#This Row],[2026 (EUR)]]*(1-INDIRECT(Table1[[#This Row],[Discount Name]]))</f>
        <v>58.9</v>
      </c>
      <c r="O118" s="2">
        <f ca="1">Table1[[#This Row],[2026 (DKK)]]*(1-INDIRECT(Table1[[#This Row],[Discount Name]]))</f>
        <v>439.9</v>
      </c>
      <c r="P118" s="2" cm="1">
        <f t="array" aca="1" ref="P118" ca="1">Table1[[#This Row],[2026 (USD)]]*(1-INDIRECT(Table1[[#This Row],[Discount Name]]))</f>
        <v>67.900000000000006</v>
      </c>
      <c r="Q118" s="31">
        <f ca="1">INDIRECT(Table1[[#This Row],[Discount Name]])</f>
        <v>0</v>
      </c>
      <c r="S118" s="2">
        <f t="shared" ca="1" si="2"/>
        <v>58.9</v>
      </c>
      <c r="T118" s="2">
        <f t="shared" ca="1" si="3"/>
        <v>439.9</v>
      </c>
      <c r="U118" s="71" t="str">
        <f>IFERROR(VLOOKUP(Table1[[#This Row],[No_]],'Customer Net Price'!A:F,5,FALSE),"0")</f>
        <v>0</v>
      </c>
      <c r="V118" s="71" t="str">
        <f>IFERROR(VLOOKUP(Table1[[#This Row],[No_]],'Customer Net Price'!A:G,6,FALSE),"0")</f>
        <v>0</v>
      </c>
    </row>
    <row r="119" spans="1:22" x14ac:dyDescent="0.25">
      <c r="A119" s="23" t="s">
        <v>141</v>
      </c>
      <c r="B119" s="23" t="s">
        <v>27</v>
      </c>
      <c r="C119" t="s">
        <v>196</v>
      </c>
      <c r="D119" t="s">
        <v>310</v>
      </c>
      <c r="E119" t="s">
        <v>546</v>
      </c>
      <c r="F119" t="s">
        <v>918</v>
      </c>
      <c r="G119" t="s">
        <v>923</v>
      </c>
      <c r="H119" s="46" t="s">
        <v>833</v>
      </c>
      <c r="I119" t="s">
        <v>546</v>
      </c>
      <c r="J119" t="s">
        <v>570</v>
      </c>
      <c r="K119" s="2">
        <v>58.9</v>
      </c>
      <c r="L119" s="2">
        <v>439.9</v>
      </c>
      <c r="M119" s="2">
        <v>67.900000000000006</v>
      </c>
      <c r="N119" s="2">
        <f ca="1">Table1[[#This Row],[2026 (EUR)]]*(1-INDIRECT(Table1[[#This Row],[Discount Name]]))</f>
        <v>58.9</v>
      </c>
      <c r="O119" s="2">
        <f ca="1">Table1[[#This Row],[2026 (DKK)]]*(1-INDIRECT(Table1[[#This Row],[Discount Name]]))</f>
        <v>439.9</v>
      </c>
      <c r="P119" s="2" cm="1">
        <f t="array" aca="1" ref="P119" ca="1">Table1[[#This Row],[2026 (USD)]]*(1-INDIRECT(Table1[[#This Row],[Discount Name]]))</f>
        <v>67.900000000000006</v>
      </c>
      <c r="Q119" s="31">
        <f ca="1">INDIRECT(Table1[[#This Row],[Discount Name]])</f>
        <v>0</v>
      </c>
      <c r="S119" s="2">
        <f t="shared" ca="1" si="2"/>
        <v>58.9</v>
      </c>
      <c r="T119" s="2">
        <f t="shared" ca="1" si="3"/>
        <v>439.9</v>
      </c>
      <c r="U119" s="71" t="str">
        <f>IFERROR(VLOOKUP(Table1[[#This Row],[No_]],'Customer Net Price'!A:F,5,FALSE),"0")</f>
        <v>0</v>
      </c>
      <c r="V119" s="71" t="str">
        <f>IFERROR(VLOOKUP(Table1[[#This Row],[No_]],'Customer Net Price'!A:G,6,FALSE),"0")</f>
        <v>0</v>
      </c>
    </row>
    <row r="120" spans="1:22" x14ac:dyDescent="0.25">
      <c r="A120" s="23" t="s">
        <v>620</v>
      </c>
      <c r="B120" s="23" t="s">
        <v>620</v>
      </c>
      <c r="C120" t="s">
        <v>621</v>
      </c>
      <c r="D120" t="s">
        <v>1778</v>
      </c>
      <c r="E120" t="s">
        <v>546</v>
      </c>
      <c r="F120" t="s">
        <v>918</v>
      </c>
      <c r="G120" t="s">
        <v>923</v>
      </c>
      <c r="H120" s="1" t="s">
        <v>622</v>
      </c>
      <c r="I120" t="s">
        <v>546</v>
      </c>
      <c r="J120" t="s">
        <v>546</v>
      </c>
      <c r="K120" s="2">
        <v>11.9</v>
      </c>
      <c r="L120" s="2">
        <v>88.9</v>
      </c>
      <c r="M120" s="2">
        <v>12.9</v>
      </c>
      <c r="N120" s="2">
        <f ca="1">Table1[[#This Row],[2026 (EUR)]]*(1-INDIRECT(Table1[[#This Row],[Discount Name]]))</f>
        <v>11.9</v>
      </c>
      <c r="O120" s="2">
        <f ca="1">Table1[[#This Row],[2026 (DKK)]]*(1-INDIRECT(Table1[[#This Row],[Discount Name]]))</f>
        <v>88.9</v>
      </c>
      <c r="P120" s="2" cm="1">
        <f t="array" aca="1" ref="P120" ca="1">Table1[[#This Row],[2026 (USD)]]*(1-INDIRECT(Table1[[#This Row],[Discount Name]]))</f>
        <v>12.9</v>
      </c>
      <c r="Q120" s="31">
        <f ca="1">INDIRECT(Table1[[#This Row],[Discount Name]])</f>
        <v>0</v>
      </c>
      <c r="S120" s="2">
        <f t="shared" ca="1" si="2"/>
        <v>11.9</v>
      </c>
      <c r="T120" s="2">
        <f t="shared" ca="1" si="3"/>
        <v>88.9</v>
      </c>
      <c r="U120" s="71" t="str">
        <f>IFERROR(VLOOKUP(Table1[[#This Row],[No_]],'Customer Net Price'!A:F,5,FALSE),"0")</f>
        <v>0</v>
      </c>
      <c r="V120" s="71" t="str">
        <f>IFERROR(VLOOKUP(Table1[[#This Row],[No_]],'Customer Net Price'!A:G,6,FALSE),"0")</f>
        <v>0</v>
      </c>
    </row>
    <row r="121" spans="1:22" x14ac:dyDescent="0.25">
      <c r="A121" s="23" t="s">
        <v>623</v>
      </c>
      <c r="B121" s="23" t="s">
        <v>623</v>
      </c>
      <c r="C121" t="s">
        <v>624</v>
      </c>
      <c r="D121" t="s">
        <v>1778</v>
      </c>
      <c r="E121" t="s">
        <v>546</v>
      </c>
      <c r="F121" t="s">
        <v>918</v>
      </c>
      <c r="G121" t="s">
        <v>923</v>
      </c>
      <c r="H121" s="1" t="s">
        <v>625</v>
      </c>
      <c r="I121" t="s">
        <v>546</v>
      </c>
      <c r="J121" t="s">
        <v>546</v>
      </c>
      <c r="K121" s="2">
        <v>12.4</v>
      </c>
      <c r="L121" s="2">
        <v>91.9</v>
      </c>
      <c r="M121" s="2">
        <v>13.9</v>
      </c>
      <c r="N121" s="2">
        <f ca="1">Table1[[#This Row],[2026 (EUR)]]*(1-INDIRECT(Table1[[#This Row],[Discount Name]]))</f>
        <v>12.4</v>
      </c>
      <c r="O121" s="2">
        <f ca="1">Table1[[#This Row],[2026 (DKK)]]*(1-INDIRECT(Table1[[#This Row],[Discount Name]]))</f>
        <v>91.9</v>
      </c>
      <c r="P121" s="2" cm="1">
        <f t="array" aca="1" ref="P121" ca="1">Table1[[#This Row],[2026 (USD)]]*(1-INDIRECT(Table1[[#This Row],[Discount Name]]))</f>
        <v>13.9</v>
      </c>
      <c r="Q121" s="31">
        <f ca="1">INDIRECT(Table1[[#This Row],[Discount Name]])</f>
        <v>0</v>
      </c>
      <c r="S121" s="2">
        <f t="shared" ca="1" si="2"/>
        <v>12.4</v>
      </c>
      <c r="T121" s="2">
        <f t="shared" ca="1" si="3"/>
        <v>91.9</v>
      </c>
      <c r="U121" s="71" t="str">
        <f>IFERROR(VLOOKUP(Table1[[#This Row],[No_]],'Customer Net Price'!A:F,5,FALSE),"0")</f>
        <v>0</v>
      </c>
      <c r="V121" s="71" t="str">
        <f>IFERROR(VLOOKUP(Table1[[#This Row],[No_]],'Customer Net Price'!A:G,6,FALSE),"0")</f>
        <v>0</v>
      </c>
    </row>
    <row r="122" spans="1:22" x14ac:dyDescent="0.25">
      <c r="A122" s="23" t="s">
        <v>626</v>
      </c>
      <c r="B122" s="23" t="s">
        <v>626</v>
      </c>
      <c r="C122" t="s">
        <v>627</v>
      </c>
      <c r="D122" t="s">
        <v>1778</v>
      </c>
      <c r="E122" t="s">
        <v>546</v>
      </c>
      <c r="F122" t="s">
        <v>918</v>
      </c>
      <c r="G122" t="s">
        <v>923</v>
      </c>
      <c r="H122" s="1" t="s">
        <v>628</v>
      </c>
      <c r="I122" t="s">
        <v>546</v>
      </c>
      <c r="J122" t="s">
        <v>546</v>
      </c>
      <c r="K122" s="2">
        <v>12.9</v>
      </c>
      <c r="L122" s="2">
        <v>95.9</v>
      </c>
      <c r="M122" s="2">
        <v>14.9</v>
      </c>
      <c r="N122" s="2">
        <f ca="1">Table1[[#This Row],[2026 (EUR)]]*(1-INDIRECT(Table1[[#This Row],[Discount Name]]))</f>
        <v>12.9</v>
      </c>
      <c r="O122" s="2">
        <f ca="1">Table1[[#This Row],[2026 (DKK)]]*(1-INDIRECT(Table1[[#This Row],[Discount Name]]))</f>
        <v>95.9</v>
      </c>
      <c r="P122" s="2" cm="1">
        <f t="array" aca="1" ref="P122" ca="1">Table1[[#This Row],[2026 (USD)]]*(1-INDIRECT(Table1[[#This Row],[Discount Name]]))</f>
        <v>14.9</v>
      </c>
      <c r="Q122" s="31">
        <f ca="1">INDIRECT(Table1[[#This Row],[Discount Name]])</f>
        <v>0</v>
      </c>
      <c r="S122" s="2">
        <f t="shared" ca="1" si="2"/>
        <v>12.9</v>
      </c>
      <c r="T122" s="2">
        <f t="shared" ca="1" si="3"/>
        <v>95.9</v>
      </c>
      <c r="U122" s="71" t="str">
        <f>IFERROR(VLOOKUP(Table1[[#This Row],[No_]],'Customer Net Price'!A:F,5,FALSE),"0")</f>
        <v>0</v>
      </c>
      <c r="V122" s="71" t="str">
        <f>IFERROR(VLOOKUP(Table1[[#This Row],[No_]],'Customer Net Price'!A:G,6,FALSE),"0")</f>
        <v>0</v>
      </c>
    </row>
    <row r="123" spans="1:22" x14ac:dyDescent="0.25">
      <c r="A123" s="23" t="s">
        <v>28</v>
      </c>
      <c r="B123" s="23" t="s">
        <v>28</v>
      </c>
      <c r="C123" t="s">
        <v>197</v>
      </c>
      <c r="D123" t="s">
        <v>310</v>
      </c>
      <c r="E123" t="s">
        <v>546</v>
      </c>
      <c r="F123" t="s">
        <v>918</v>
      </c>
      <c r="G123" t="s">
        <v>923</v>
      </c>
      <c r="H123" s="1" t="s">
        <v>397</v>
      </c>
      <c r="I123">
        <v>1</v>
      </c>
      <c r="J123" t="s">
        <v>546</v>
      </c>
      <c r="K123" s="2">
        <v>34.9</v>
      </c>
      <c r="L123" s="2">
        <v>259.89999999999998</v>
      </c>
      <c r="M123" s="2">
        <v>38.9</v>
      </c>
      <c r="N123" s="2">
        <f ca="1">Table1[[#This Row],[2026 (EUR)]]*(1-INDIRECT(Table1[[#This Row],[Discount Name]]))</f>
        <v>34.9</v>
      </c>
      <c r="O123" s="2">
        <f ca="1">Table1[[#This Row],[2026 (DKK)]]*(1-INDIRECT(Table1[[#This Row],[Discount Name]]))</f>
        <v>259.89999999999998</v>
      </c>
      <c r="P123" s="2" cm="1">
        <f t="array" aca="1" ref="P123" ca="1">Table1[[#This Row],[2026 (USD)]]*(1-INDIRECT(Table1[[#This Row],[Discount Name]]))</f>
        <v>38.9</v>
      </c>
      <c r="Q123" s="31">
        <f ca="1">INDIRECT(Table1[[#This Row],[Discount Name]])</f>
        <v>0</v>
      </c>
      <c r="S123" s="2">
        <f t="shared" ca="1" si="2"/>
        <v>34.9</v>
      </c>
      <c r="T123" s="2">
        <f t="shared" ca="1" si="3"/>
        <v>259.89999999999998</v>
      </c>
      <c r="U123" s="71" t="str">
        <f>IFERROR(VLOOKUP(Table1[[#This Row],[No_]],'Customer Net Price'!A:F,5,FALSE),"0")</f>
        <v>0</v>
      </c>
      <c r="V123" s="71" t="str">
        <f>IFERROR(VLOOKUP(Table1[[#This Row],[No_]],'Customer Net Price'!A:G,6,FALSE),"0")</f>
        <v>0</v>
      </c>
    </row>
    <row r="124" spans="1:22" x14ac:dyDescent="0.25">
      <c r="A124" s="23" t="s">
        <v>629</v>
      </c>
      <c r="B124" s="23" t="s">
        <v>629</v>
      </c>
      <c r="C124" t="s">
        <v>630</v>
      </c>
      <c r="D124" t="s">
        <v>310</v>
      </c>
      <c r="E124" t="s">
        <v>546</v>
      </c>
      <c r="F124" t="s">
        <v>918</v>
      </c>
      <c r="G124" t="s">
        <v>923</v>
      </c>
      <c r="H124" s="1" t="s">
        <v>631</v>
      </c>
      <c r="I124">
        <v>40</v>
      </c>
      <c r="J124" t="s">
        <v>546</v>
      </c>
      <c r="K124" s="2">
        <v>31.9</v>
      </c>
      <c r="L124" s="2">
        <v>239.9</v>
      </c>
      <c r="M124" s="2">
        <v>36.9</v>
      </c>
      <c r="N124" s="2">
        <f ca="1">Table1[[#This Row],[2026 (EUR)]]*(1-INDIRECT(Table1[[#This Row],[Discount Name]]))</f>
        <v>31.9</v>
      </c>
      <c r="O124" s="2">
        <f ca="1">Table1[[#This Row],[2026 (DKK)]]*(1-INDIRECT(Table1[[#This Row],[Discount Name]]))</f>
        <v>239.9</v>
      </c>
      <c r="P124" s="2" cm="1">
        <f t="array" aca="1" ref="P124" ca="1">Table1[[#This Row],[2026 (USD)]]*(1-INDIRECT(Table1[[#This Row],[Discount Name]]))</f>
        <v>36.9</v>
      </c>
      <c r="Q124" s="31">
        <f ca="1">INDIRECT(Table1[[#This Row],[Discount Name]])</f>
        <v>0</v>
      </c>
      <c r="S124" s="2">
        <f t="shared" ca="1" si="2"/>
        <v>31.9</v>
      </c>
      <c r="T124" s="2">
        <f t="shared" ca="1" si="3"/>
        <v>239.9</v>
      </c>
      <c r="U124" s="71" t="str">
        <f>IFERROR(VLOOKUP(Table1[[#This Row],[No_]],'Customer Net Price'!A:F,5,FALSE),"0")</f>
        <v>0</v>
      </c>
      <c r="V124" s="71" t="str">
        <f>IFERROR(VLOOKUP(Table1[[#This Row],[No_]],'Customer Net Price'!A:G,6,FALSE),"0")</f>
        <v>0</v>
      </c>
    </row>
    <row r="125" spans="1:22" x14ac:dyDescent="0.25">
      <c r="A125" s="23" t="s">
        <v>632</v>
      </c>
      <c r="B125" s="23" t="s">
        <v>632</v>
      </c>
      <c r="C125" t="s">
        <v>633</v>
      </c>
      <c r="D125" t="s">
        <v>1778</v>
      </c>
      <c r="E125" t="s">
        <v>546</v>
      </c>
      <c r="F125" t="s">
        <v>918</v>
      </c>
      <c r="G125" t="s">
        <v>923</v>
      </c>
      <c r="H125" s="1" t="s">
        <v>634</v>
      </c>
      <c r="I125" t="s">
        <v>546</v>
      </c>
      <c r="J125" t="s">
        <v>546</v>
      </c>
      <c r="K125" s="2">
        <v>37.9</v>
      </c>
      <c r="L125" s="2">
        <v>281.89999999999998</v>
      </c>
      <c r="M125" s="2">
        <v>41.9</v>
      </c>
      <c r="N125" s="2">
        <f ca="1">Table1[[#This Row],[2026 (EUR)]]*(1-INDIRECT(Table1[[#This Row],[Discount Name]]))</f>
        <v>37.9</v>
      </c>
      <c r="O125" s="2">
        <f ca="1">Table1[[#This Row],[2026 (DKK)]]*(1-INDIRECT(Table1[[#This Row],[Discount Name]]))</f>
        <v>281.89999999999998</v>
      </c>
      <c r="P125" s="2" cm="1">
        <f t="array" aca="1" ref="P125" ca="1">Table1[[#This Row],[2026 (USD)]]*(1-INDIRECT(Table1[[#This Row],[Discount Name]]))</f>
        <v>41.9</v>
      </c>
      <c r="Q125" s="31">
        <f ca="1">INDIRECT(Table1[[#This Row],[Discount Name]])</f>
        <v>0</v>
      </c>
      <c r="S125" s="2">
        <f t="shared" ca="1" si="2"/>
        <v>37.9</v>
      </c>
      <c r="T125" s="2">
        <f t="shared" ca="1" si="3"/>
        <v>281.89999999999998</v>
      </c>
      <c r="U125" s="71" t="str">
        <f>IFERROR(VLOOKUP(Table1[[#This Row],[No_]],'Customer Net Price'!A:F,5,FALSE),"0")</f>
        <v>0</v>
      </c>
      <c r="V125" s="71" t="str">
        <f>IFERROR(VLOOKUP(Table1[[#This Row],[No_]],'Customer Net Price'!A:G,6,FALSE),"0")</f>
        <v>0</v>
      </c>
    </row>
    <row r="126" spans="1:22" x14ac:dyDescent="0.25">
      <c r="A126" s="23" t="s">
        <v>635</v>
      </c>
      <c r="B126" s="23" t="s">
        <v>635</v>
      </c>
      <c r="C126" t="s">
        <v>636</v>
      </c>
      <c r="D126" t="s">
        <v>1778</v>
      </c>
      <c r="E126" t="s">
        <v>546</v>
      </c>
      <c r="F126" t="s">
        <v>918</v>
      </c>
      <c r="G126" t="s">
        <v>923</v>
      </c>
      <c r="H126" s="1" t="s">
        <v>637</v>
      </c>
      <c r="I126">
        <v>1</v>
      </c>
      <c r="J126" t="s">
        <v>546</v>
      </c>
      <c r="K126" s="2">
        <v>8.1</v>
      </c>
      <c r="L126" s="2">
        <v>59.9</v>
      </c>
      <c r="M126" s="2">
        <v>8.9</v>
      </c>
      <c r="N126" s="2">
        <f ca="1">Table1[[#This Row],[2026 (EUR)]]*(1-INDIRECT(Table1[[#This Row],[Discount Name]]))</f>
        <v>8.1</v>
      </c>
      <c r="O126" s="2">
        <f ca="1">Table1[[#This Row],[2026 (DKK)]]*(1-INDIRECT(Table1[[#This Row],[Discount Name]]))</f>
        <v>59.9</v>
      </c>
      <c r="P126" s="2" cm="1">
        <f t="array" aca="1" ref="P126" ca="1">Table1[[#This Row],[2026 (USD)]]*(1-INDIRECT(Table1[[#This Row],[Discount Name]]))</f>
        <v>8.9</v>
      </c>
      <c r="Q126" s="31">
        <f ca="1">INDIRECT(Table1[[#This Row],[Discount Name]])</f>
        <v>0</v>
      </c>
      <c r="S126" s="2">
        <f t="shared" ca="1" si="2"/>
        <v>8.1</v>
      </c>
      <c r="T126" s="2">
        <f t="shared" ca="1" si="3"/>
        <v>59.9</v>
      </c>
      <c r="U126" s="71" t="str">
        <f>IFERROR(VLOOKUP(Table1[[#This Row],[No_]],'Customer Net Price'!A:F,5,FALSE),"0")</f>
        <v>0</v>
      </c>
      <c r="V126" s="71" t="str">
        <f>IFERROR(VLOOKUP(Table1[[#This Row],[No_]],'Customer Net Price'!A:G,6,FALSE),"0")</f>
        <v>0</v>
      </c>
    </row>
    <row r="127" spans="1:22" x14ac:dyDescent="0.25">
      <c r="A127" s="23" t="s">
        <v>638</v>
      </c>
      <c r="B127" s="23" t="s">
        <v>638</v>
      </c>
      <c r="C127" t="s">
        <v>639</v>
      </c>
      <c r="D127" t="s">
        <v>1778</v>
      </c>
      <c r="E127" t="s">
        <v>546</v>
      </c>
      <c r="F127" t="s">
        <v>918</v>
      </c>
      <c r="G127" t="s">
        <v>923</v>
      </c>
      <c r="H127" s="1" t="s">
        <v>640</v>
      </c>
      <c r="I127" t="s">
        <v>546</v>
      </c>
      <c r="J127" t="s">
        <v>546</v>
      </c>
      <c r="K127" s="2">
        <v>8.6</v>
      </c>
      <c r="L127" s="2">
        <v>63.9</v>
      </c>
      <c r="M127" s="2">
        <v>9.9</v>
      </c>
      <c r="N127" s="2">
        <f ca="1">Table1[[#This Row],[2026 (EUR)]]*(1-INDIRECT(Table1[[#This Row],[Discount Name]]))</f>
        <v>8.6</v>
      </c>
      <c r="O127" s="2">
        <f ca="1">Table1[[#This Row],[2026 (DKK)]]*(1-INDIRECT(Table1[[#This Row],[Discount Name]]))</f>
        <v>63.9</v>
      </c>
      <c r="P127" s="2" cm="1">
        <f t="array" aca="1" ref="P127" ca="1">Table1[[#This Row],[2026 (USD)]]*(1-INDIRECT(Table1[[#This Row],[Discount Name]]))</f>
        <v>9.9</v>
      </c>
      <c r="Q127" s="31">
        <f ca="1">INDIRECT(Table1[[#This Row],[Discount Name]])</f>
        <v>0</v>
      </c>
      <c r="S127" s="2">
        <f t="shared" ca="1" si="2"/>
        <v>8.6</v>
      </c>
      <c r="T127" s="2">
        <f t="shared" ca="1" si="3"/>
        <v>63.9</v>
      </c>
      <c r="U127" s="71" t="str">
        <f>IFERROR(VLOOKUP(Table1[[#This Row],[No_]],'Customer Net Price'!A:F,5,FALSE),"0")</f>
        <v>0</v>
      </c>
      <c r="V127" s="71" t="str">
        <f>IFERROR(VLOOKUP(Table1[[#This Row],[No_]],'Customer Net Price'!A:G,6,FALSE),"0")</f>
        <v>0</v>
      </c>
    </row>
    <row r="128" spans="1:22" x14ac:dyDescent="0.25">
      <c r="A128" s="23" t="s">
        <v>641</v>
      </c>
      <c r="B128" s="23" t="s">
        <v>641</v>
      </c>
      <c r="C128" t="s">
        <v>642</v>
      </c>
      <c r="D128" t="s">
        <v>1778</v>
      </c>
      <c r="E128" t="s">
        <v>546</v>
      </c>
      <c r="F128" t="s">
        <v>918</v>
      </c>
      <c r="G128" t="s">
        <v>923</v>
      </c>
      <c r="H128" s="1" t="s">
        <v>643</v>
      </c>
      <c r="I128" t="s">
        <v>546</v>
      </c>
      <c r="J128" t="s">
        <v>546</v>
      </c>
      <c r="K128" s="2">
        <v>4.0999999999999996</v>
      </c>
      <c r="L128" s="2">
        <v>30.9</v>
      </c>
      <c r="M128" s="2">
        <v>4.9000000000000004</v>
      </c>
      <c r="N128" s="2">
        <f ca="1">Table1[[#This Row],[2026 (EUR)]]*(1-INDIRECT(Table1[[#This Row],[Discount Name]]))</f>
        <v>4.0999999999999996</v>
      </c>
      <c r="O128" s="2">
        <f ca="1">Table1[[#This Row],[2026 (DKK)]]*(1-INDIRECT(Table1[[#This Row],[Discount Name]]))</f>
        <v>30.9</v>
      </c>
      <c r="P128" s="2" cm="1">
        <f t="array" aca="1" ref="P128" ca="1">Table1[[#This Row],[2026 (USD)]]*(1-INDIRECT(Table1[[#This Row],[Discount Name]]))</f>
        <v>4.9000000000000004</v>
      </c>
      <c r="Q128" s="31">
        <f ca="1">INDIRECT(Table1[[#This Row],[Discount Name]])</f>
        <v>0</v>
      </c>
      <c r="S128" s="2">
        <f t="shared" ca="1" si="2"/>
        <v>4.0999999999999996</v>
      </c>
      <c r="T128" s="2">
        <f t="shared" ca="1" si="3"/>
        <v>30.9</v>
      </c>
      <c r="U128" s="71" t="str">
        <f>IFERROR(VLOOKUP(Table1[[#This Row],[No_]],'Customer Net Price'!A:F,5,FALSE),"0")</f>
        <v>0</v>
      </c>
      <c r="V128" s="71" t="str">
        <f>IFERROR(VLOOKUP(Table1[[#This Row],[No_]],'Customer Net Price'!A:G,6,FALSE),"0")</f>
        <v>0</v>
      </c>
    </row>
    <row r="129" spans="1:22" x14ac:dyDescent="0.25">
      <c r="A129" s="23" t="s">
        <v>644</v>
      </c>
      <c r="B129" s="23" t="s">
        <v>644</v>
      </c>
      <c r="C129" t="s">
        <v>645</v>
      </c>
      <c r="D129" t="s">
        <v>1778</v>
      </c>
      <c r="E129" t="s">
        <v>546</v>
      </c>
      <c r="F129" t="s">
        <v>918</v>
      </c>
      <c r="G129" t="s">
        <v>923</v>
      </c>
      <c r="H129" s="1" t="s">
        <v>646</v>
      </c>
      <c r="I129" t="s">
        <v>546</v>
      </c>
      <c r="J129" t="s">
        <v>546</v>
      </c>
      <c r="K129" s="2">
        <v>9.9</v>
      </c>
      <c r="L129" s="2">
        <v>73.900000000000006</v>
      </c>
      <c r="M129" s="2">
        <v>10.9</v>
      </c>
      <c r="N129" s="2">
        <f ca="1">Table1[[#This Row],[2026 (EUR)]]*(1-INDIRECT(Table1[[#This Row],[Discount Name]]))</f>
        <v>9.9</v>
      </c>
      <c r="O129" s="2">
        <f ca="1">Table1[[#This Row],[2026 (DKK)]]*(1-INDIRECT(Table1[[#This Row],[Discount Name]]))</f>
        <v>73.900000000000006</v>
      </c>
      <c r="P129" s="2" cm="1">
        <f t="array" aca="1" ref="P129" ca="1">Table1[[#This Row],[2026 (USD)]]*(1-INDIRECT(Table1[[#This Row],[Discount Name]]))</f>
        <v>10.9</v>
      </c>
      <c r="Q129" s="31">
        <f ca="1">INDIRECT(Table1[[#This Row],[Discount Name]])</f>
        <v>0</v>
      </c>
      <c r="S129" s="2">
        <f t="shared" ca="1" si="2"/>
        <v>9.9</v>
      </c>
      <c r="T129" s="2">
        <f t="shared" ca="1" si="3"/>
        <v>73.900000000000006</v>
      </c>
      <c r="U129" s="71" t="str">
        <f>IFERROR(VLOOKUP(Table1[[#This Row],[No_]],'Customer Net Price'!A:F,5,FALSE),"0")</f>
        <v>0</v>
      </c>
      <c r="V129" s="71" t="str">
        <f>IFERROR(VLOOKUP(Table1[[#This Row],[No_]],'Customer Net Price'!A:G,6,FALSE),"0")</f>
        <v>0</v>
      </c>
    </row>
    <row r="130" spans="1:22" x14ac:dyDescent="0.25">
      <c r="A130" s="23" t="s">
        <v>647</v>
      </c>
      <c r="B130" s="23" t="s">
        <v>647</v>
      </c>
      <c r="C130" t="s">
        <v>648</v>
      </c>
      <c r="D130" t="s">
        <v>1778</v>
      </c>
      <c r="E130" t="s">
        <v>546</v>
      </c>
      <c r="F130" t="s">
        <v>918</v>
      </c>
      <c r="G130" t="s">
        <v>923</v>
      </c>
      <c r="H130" s="1" t="s">
        <v>649</v>
      </c>
      <c r="I130" t="s">
        <v>546</v>
      </c>
      <c r="J130" t="s">
        <v>546</v>
      </c>
      <c r="K130" s="2">
        <v>2.7</v>
      </c>
      <c r="L130" s="2">
        <v>19.899999999999999</v>
      </c>
      <c r="M130" s="2">
        <v>2.9</v>
      </c>
      <c r="N130" s="2">
        <f ca="1">Table1[[#This Row],[2026 (EUR)]]*(1-INDIRECT(Table1[[#This Row],[Discount Name]]))</f>
        <v>2.7</v>
      </c>
      <c r="O130" s="2">
        <f ca="1">Table1[[#This Row],[2026 (DKK)]]*(1-INDIRECT(Table1[[#This Row],[Discount Name]]))</f>
        <v>19.899999999999999</v>
      </c>
      <c r="P130" s="2" cm="1">
        <f t="array" aca="1" ref="P130" ca="1">Table1[[#This Row],[2026 (USD)]]*(1-INDIRECT(Table1[[#This Row],[Discount Name]]))</f>
        <v>2.9</v>
      </c>
      <c r="Q130" s="31">
        <f ca="1">INDIRECT(Table1[[#This Row],[Discount Name]])</f>
        <v>0</v>
      </c>
      <c r="S130" s="2">
        <f t="shared" ca="1" si="2"/>
        <v>2.7</v>
      </c>
      <c r="T130" s="2">
        <f t="shared" ca="1" si="3"/>
        <v>19.899999999999999</v>
      </c>
      <c r="U130" s="71" t="str">
        <f>IFERROR(VLOOKUP(Table1[[#This Row],[No_]],'Customer Net Price'!A:F,5,FALSE),"0")</f>
        <v>0</v>
      </c>
      <c r="V130" s="71" t="str">
        <f>IFERROR(VLOOKUP(Table1[[#This Row],[No_]],'Customer Net Price'!A:G,6,FALSE),"0")</f>
        <v>0</v>
      </c>
    </row>
    <row r="131" spans="1:22" x14ac:dyDescent="0.25">
      <c r="A131" s="23" t="s">
        <v>650</v>
      </c>
      <c r="B131" s="23" t="s">
        <v>650</v>
      </c>
      <c r="C131" t="s">
        <v>651</v>
      </c>
      <c r="D131" t="s">
        <v>1778</v>
      </c>
      <c r="E131" t="s">
        <v>546</v>
      </c>
      <c r="F131" t="s">
        <v>918</v>
      </c>
      <c r="G131" t="s">
        <v>923</v>
      </c>
      <c r="H131" s="1" t="s">
        <v>652</v>
      </c>
      <c r="I131" t="s">
        <v>546</v>
      </c>
      <c r="J131" t="s">
        <v>546</v>
      </c>
      <c r="K131" s="2">
        <v>80.900000000000006</v>
      </c>
      <c r="L131" s="2">
        <v>601.9</v>
      </c>
      <c r="M131" s="2">
        <v>90.9</v>
      </c>
      <c r="N131" s="2">
        <f ca="1">Table1[[#This Row],[2026 (EUR)]]*(1-INDIRECT(Table1[[#This Row],[Discount Name]]))</f>
        <v>80.900000000000006</v>
      </c>
      <c r="O131" s="2">
        <f ca="1">Table1[[#This Row],[2026 (DKK)]]*(1-INDIRECT(Table1[[#This Row],[Discount Name]]))</f>
        <v>601.9</v>
      </c>
      <c r="P131" s="2" cm="1">
        <f t="array" aca="1" ref="P131" ca="1">Table1[[#This Row],[2026 (USD)]]*(1-INDIRECT(Table1[[#This Row],[Discount Name]]))</f>
        <v>90.9</v>
      </c>
      <c r="Q131" s="31">
        <f ca="1">INDIRECT(Table1[[#This Row],[Discount Name]])</f>
        <v>0</v>
      </c>
      <c r="S131" s="2">
        <f t="shared" ref="S131:S192" ca="1" si="4">IF(MAX(U131:U131)=0,+N131,MAX(U131:U131))</f>
        <v>80.900000000000006</v>
      </c>
      <c r="T131" s="2">
        <f t="shared" ref="T131:T192" ca="1" si="5">IF(MAX(V131:V131)=0,+O131,MAX(V131:V131))</f>
        <v>601.9</v>
      </c>
      <c r="U131" s="71" t="str">
        <f>IFERROR(VLOOKUP(Table1[[#This Row],[No_]],'Customer Net Price'!A:F,5,FALSE),"0")</f>
        <v>0</v>
      </c>
      <c r="V131" s="71" t="str">
        <f>IFERROR(VLOOKUP(Table1[[#This Row],[No_]],'Customer Net Price'!A:G,6,FALSE),"0")</f>
        <v>0</v>
      </c>
    </row>
    <row r="132" spans="1:22" x14ac:dyDescent="0.25">
      <c r="A132" s="23" t="s">
        <v>653</v>
      </c>
      <c r="B132" s="23" t="s">
        <v>653</v>
      </c>
      <c r="C132" t="s">
        <v>654</v>
      </c>
      <c r="D132" t="s">
        <v>1778</v>
      </c>
      <c r="E132" t="s">
        <v>546</v>
      </c>
      <c r="F132" t="s">
        <v>918</v>
      </c>
      <c r="G132" t="s">
        <v>923</v>
      </c>
      <c r="H132" s="1" t="s">
        <v>837</v>
      </c>
      <c r="I132" t="s">
        <v>546</v>
      </c>
      <c r="J132" t="s">
        <v>546</v>
      </c>
      <c r="K132" s="2">
        <v>83.9</v>
      </c>
      <c r="L132" s="2">
        <v>623.9</v>
      </c>
      <c r="M132" s="2">
        <v>93.9</v>
      </c>
      <c r="N132" s="2">
        <f ca="1">Table1[[#This Row],[2026 (EUR)]]*(1-INDIRECT(Table1[[#This Row],[Discount Name]]))</f>
        <v>83.9</v>
      </c>
      <c r="O132" s="2">
        <f ca="1">Table1[[#This Row],[2026 (DKK)]]*(1-INDIRECT(Table1[[#This Row],[Discount Name]]))</f>
        <v>623.9</v>
      </c>
      <c r="P132" s="2" cm="1">
        <f t="array" aca="1" ref="P132" ca="1">Table1[[#This Row],[2026 (USD)]]*(1-INDIRECT(Table1[[#This Row],[Discount Name]]))</f>
        <v>93.9</v>
      </c>
      <c r="Q132" s="31">
        <f ca="1">INDIRECT(Table1[[#This Row],[Discount Name]])</f>
        <v>0</v>
      </c>
      <c r="S132" s="2">
        <f t="shared" ca="1" si="4"/>
        <v>83.9</v>
      </c>
      <c r="T132" s="2">
        <f t="shared" ca="1" si="5"/>
        <v>623.9</v>
      </c>
      <c r="U132" s="71" t="str">
        <f>IFERROR(VLOOKUP(Table1[[#This Row],[No_]],'Customer Net Price'!A:F,5,FALSE),"0")</f>
        <v>0</v>
      </c>
      <c r="V132" s="71" t="str">
        <f>IFERROR(VLOOKUP(Table1[[#This Row],[No_]],'Customer Net Price'!A:G,6,FALSE),"0")</f>
        <v>0</v>
      </c>
    </row>
    <row r="133" spans="1:22" x14ac:dyDescent="0.25">
      <c r="A133" s="23" t="s">
        <v>655</v>
      </c>
      <c r="B133" s="23" t="s">
        <v>655</v>
      </c>
      <c r="C133" t="s">
        <v>656</v>
      </c>
      <c r="D133" t="s">
        <v>310</v>
      </c>
      <c r="E133" t="s">
        <v>546</v>
      </c>
      <c r="F133" t="s">
        <v>918</v>
      </c>
      <c r="G133" t="s">
        <v>923</v>
      </c>
      <c r="H133" s="1" t="s">
        <v>657</v>
      </c>
      <c r="I133">
        <v>1</v>
      </c>
      <c r="J133" t="s">
        <v>546</v>
      </c>
      <c r="K133" s="2">
        <v>15.9</v>
      </c>
      <c r="L133" s="2">
        <v>119.9</v>
      </c>
      <c r="M133" s="2">
        <v>17.899999999999999</v>
      </c>
      <c r="N133" s="2">
        <f ca="1">Table1[[#This Row],[2026 (EUR)]]*(1-INDIRECT(Table1[[#This Row],[Discount Name]]))</f>
        <v>15.9</v>
      </c>
      <c r="O133" s="2">
        <f ca="1">Table1[[#This Row],[2026 (DKK)]]*(1-INDIRECT(Table1[[#This Row],[Discount Name]]))</f>
        <v>119.9</v>
      </c>
      <c r="P133" s="2" cm="1">
        <f t="array" aca="1" ref="P133" ca="1">Table1[[#This Row],[2026 (USD)]]*(1-INDIRECT(Table1[[#This Row],[Discount Name]]))</f>
        <v>17.899999999999999</v>
      </c>
      <c r="Q133" s="31">
        <f ca="1">INDIRECT(Table1[[#This Row],[Discount Name]])</f>
        <v>0</v>
      </c>
      <c r="S133" s="2">
        <f t="shared" ca="1" si="4"/>
        <v>15.9</v>
      </c>
      <c r="T133" s="2">
        <f t="shared" ca="1" si="5"/>
        <v>119.9</v>
      </c>
      <c r="U133" s="71" t="str">
        <f>IFERROR(VLOOKUP(Table1[[#This Row],[No_]],'Customer Net Price'!A:F,5,FALSE),"0")</f>
        <v>0</v>
      </c>
      <c r="V133" s="71" t="str">
        <f>IFERROR(VLOOKUP(Table1[[#This Row],[No_]],'Customer Net Price'!A:G,6,FALSE),"0")</f>
        <v>0</v>
      </c>
    </row>
    <row r="134" spans="1:22" x14ac:dyDescent="0.25">
      <c r="A134" s="23" t="s">
        <v>951</v>
      </c>
      <c r="B134" s="23" t="s">
        <v>951</v>
      </c>
      <c r="C134" t="s">
        <v>966</v>
      </c>
      <c r="D134" t="s">
        <v>310</v>
      </c>
      <c r="E134" t="s">
        <v>546</v>
      </c>
      <c r="F134" t="s">
        <v>918</v>
      </c>
      <c r="G134" t="s">
        <v>923</v>
      </c>
      <c r="H134" s="1" t="s">
        <v>978</v>
      </c>
      <c r="I134" t="s">
        <v>546</v>
      </c>
      <c r="J134" t="s">
        <v>1380</v>
      </c>
      <c r="K134" s="2">
        <v>10.6</v>
      </c>
      <c r="L134" s="2">
        <v>79.900000000000006</v>
      </c>
      <c r="M134" s="2">
        <v>11.9</v>
      </c>
      <c r="N134" s="2">
        <f ca="1">Table1[[#This Row],[2026 (EUR)]]*(1-INDIRECT(Table1[[#This Row],[Discount Name]]))</f>
        <v>10.6</v>
      </c>
      <c r="O134" s="2">
        <f ca="1">Table1[[#This Row],[2026 (DKK)]]*(1-INDIRECT(Table1[[#This Row],[Discount Name]]))</f>
        <v>79.900000000000006</v>
      </c>
      <c r="P134" s="2" cm="1">
        <f t="array" aca="1" ref="P134" ca="1">Table1[[#This Row],[2026 (USD)]]*(1-INDIRECT(Table1[[#This Row],[Discount Name]]))</f>
        <v>11.9</v>
      </c>
      <c r="Q134" s="31">
        <f ca="1">INDIRECT(Table1[[#This Row],[Discount Name]])</f>
        <v>0</v>
      </c>
      <c r="S134" s="2">
        <f t="shared" ca="1" si="4"/>
        <v>10.6</v>
      </c>
      <c r="T134" s="2">
        <f t="shared" ca="1" si="5"/>
        <v>79.900000000000006</v>
      </c>
      <c r="U134" s="71" t="str">
        <f>IFERROR(VLOOKUP(Table1[[#This Row],[No_]],'Customer Net Price'!A:F,5,FALSE),"0")</f>
        <v>0</v>
      </c>
      <c r="V134" s="71" t="str">
        <f>IFERROR(VLOOKUP(Table1[[#This Row],[No_]],'Customer Net Price'!A:G,6,FALSE),"0")</f>
        <v>0</v>
      </c>
    </row>
    <row r="135" spans="1:22" x14ac:dyDescent="0.25">
      <c r="A135" s="23" t="s">
        <v>658</v>
      </c>
      <c r="B135" s="23" t="s">
        <v>658</v>
      </c>
      <c r="C135" t="s">
        <v>659</v>
      </c>
      <c r="D135" t="s">
        <v>310</v>
      </c>
      <c r="E135" t="s">
        <v>546</v>
      </c>
      <c r="F135" t="s">
        <v>918</v>
      </c>
      <c r="G135" t="s">
        <v>923</v>
      </c>
      <c r="H135" s="1" t="s">
        <v>660</v>
      </c>
      <c r="I135">
        <v>1</v>
      </c>
      <c r="J135" t="s">
        <v>572</v>
      </c>
      <c r="K135" s="2">
        <v>58.9</v>
      </c>
      <c r="L135" s="2">
        <v>439.9</v>
      </c>
      <c r="M135" s="2">
        <v>65.900000000000006</v>
      </c>
      <c r="N135" s="2">
        <f ca="1">Table1[[#This Row],[2026 (EUR)]]*(1-INDIRECT(Table1[[#This Row],[Discount Name]]))</f>
        <v>58.9</v>
      </c>
      <c r="O135" s="2">
        <f ca="1">Table1[[#This Row],[2026 (DKK)]]*(1-INDIRECT(Table1[[#This Row],[Discount Name]]))</f>
        <v>439.9</v>
      </c>
      <c r="P135" s="2" cm="1">
        <f t="array" aca="1" ref="P135" ca="1">Table1[[#This Row],[2026 (USD)]]*(1-INDIRECT(Table1[[#This Row],[Discount Name]]))</f>
        <v>65.900000000000006</v>
      </c>
      <c r="Q135" s="31">
        <f ca="1">INDIRECT(Table1[[#This Row],[Discount Name]])</f>
        <v>0</v>
      </c>
      <c r="S135" s="2">
        <f t="shared" ca="1" si="4"/>
        <v>58.9</v>
      </c>
      <c r="T135" s="2">
        <f t="shared" ca="1" si="5"/>
        <v>439.9</v>
      </c>
      <c r="U135" s="71" t="str">
        <f>IFERROR(VLOOKUP(Table1[[#This Row],[No_]],'Customer Net Price'!A:F,5,FALSE),"0")</f>
        <v>0</v>
      </c>
      <c r="V135" s="71" t="str">
        <f>IFERROR(VLOOKUP(Table1[[#This Row],[No_]],'Customer Net Price'!A:G,6,FALSE),"0")</f>
        <v>0</v>
      </c>
    </row>
    <row r="136" spans="1:22" x14ac:dyDescent="0.25">
      <c r="A136" s="23" t="s">
        <v>661</v>
      </c>
      <c r="B136" s="23" t="s">
        <v>658</v>
      </c>
      <c r="C136" t="s">
        <v>659</v>
      </c>
      <c r="D136" t="s">
        <v>310</v>
      </c>
      <c r="E136" t="s">
        <v>546</v>
      </c>
      <c r="F136" t="s">
        <v>918</v>
      </c>
      <c r="G136" t="s">
        <v>923</v>
      </c>
      <c r="H136" s="1" t="s">
        <v>662</v>
      </c>
      <c r="I136">
        <v>1</v>
      </c>
      <c r="J136" t="s">
        <v>571</v>
      </c>
      <c r="K136" s="2">
        <v>58.9</v>
      </c>
      <c r="L136" s="2">
        <v>439.9</v>
      </c>
      <c r="M136" s="2">
        <v>65.900000000000006</v>
      </c>
      <c r="N136" s="2">
        <f ca="1">Table1[[#This Row],[2026 (EUR)]]*(1-INDIRECT(Table1[[#This Row],[Discount Name]]))</f>
        <v>58.9</v>
      </c>
      <c r="O136" s="2">
        <f ca="1">Table1[[#This Row],[2026 (DKK)]]*(1-INDIRECT(Table1[[#This Row],[Discount Name]]))</f>
        <v>439.9</v>
      </c>
      <c r="P136" s="2" cm="1">
        <f t="array" aca="1" ref="P136" ca="1">Table1[[#This Row],[2026 (USD)]]*(1-INDIRECT(Table1[[#This Row],[Discount Name]]))</f>
        <v>65.900000000000006</v>
      </c>
      <c r="Q136" s="31">
        <f ca="1">INDIRECT(Table1[[#This Row],[Discount Name]])</f>
        <v>0</v>
      </c>
      <c r="S136" s="2">
        <f t="shared" ca="1" si="4"/>
        <v>58.9</v>
      </c>
      <c r="T136" s="2">
        <f t="shared" ca="1" si="5"/>
        <v>439.9</v>
      </c>
      <c r="U136" s="71" t="str">
        <f>IFERROR(VLOOKUP(Table1[[#This Row],[No_]],'Customer Net Price'!A:F,5,FALSE),"0")</f>
        <v>0</v>
      </c>
      <c r="V136" s="71" t="str">
        <f>IFERROR(VLOOKUP(Table1[[#This Row],[No_]],'Customer Net Price'!A:G,6,FALSE),"0")</f>
        <v>0</v>
      </c>
    </row>
    <row r="137" spans="1:22" x14ac:dyDescent="0.25">
      <c r="A137" s="23" t="s">
        <v>663</v>
      </c>
      <c r="B137" s="23" t="s">
        <v>658</v>
      </c>
      <c r="C137" t="s">
        <v>659</v>
      </c>
      <c r="D137" t="s">
        <v>310</v>
      </c>
      <c r="E137" t="s">
        <v>546</v>
      </c>
      <c r="F137" t="s">
        <v>918</v>
      </c>
      <c r="G137" t="s">
        <v>923</v>
      </c>
      <c r="H137" s="1" t="s">
        <v>664</v>
      </c>
      <c r="I137">
        <v>1</v>
      </c>
      <c r="J137" t="s">
        <v>570</v>
      </c>
      <c r="K137" s="2">
        <v>58.9</v>
      </c>
      <c r="L137" s="2">
        <v>439.9</v>
      </c>
      <c r="M137" s="2">
        <v>65.900000000000006</v>
      </c>
      <c r="N137" s="2">
        <f ca="1">Table1[[#This Row],[2026 (EUR)]]*(1-INDIRECT(Table1[[#This Row],[Discount Name]]))</f>
        <v>58.9</v>
      </c>
      <c r="O137" s="2">
        <f ca="1">Table1[[#This Row],[2026 (DKK)]]*(1-INDIRECT(Table1[[#This Row],[Discount Name]]))</f>
        <v>439.9</v>
      </c>
      <c r="P137" s="2" cm="1">
        <f t="array" aca="1" ref="P137" ca="1">Table1[[#This Row],[2026 (USD)]]*(1-INDIRECT(Table1[[#This Row],[Discount Name]]))</f>
        <v>65.900000000000006</v>
      </c>
      <c r="Q137" s="31">
        <f ca="1">INDIRECT(Table1[[#This Row],[Discount Name]])</f>
        <v>0</v>
      </c>
      <c r="S137" s="2">
        <f t="shared" ca="1" si="4"/>
        <v>58.9</v>
      </c>
      <c r="T137" s="2">
        <f t="shared" ca="1" si="5"/>
        <v>439.9</v>
      </c>
      <c r="U137" s="71" t="str">
        <f>IFERROR(VLOOKUP(Table1[[#This Row],[No_]],'Customer Net Price'!A:F,5,FALSE),"0")</f>
        <v>0</v>
      </c>
      <c r="V137" s="71" t="str">
        <f>IFERROR(VLOOKUP(Table1[[#This Row],[No_]],'Customer Net Price'!A:G,6,FALSE),"0")</f>
        <v>0</v>
      </c>
    </row>
    <row r="138" spans="1:22" x14ac:dyDescent="0.25">
      <c r="A138" s="23" t="s">
        <v>665</v>
      </c>
      <c r="B138" s="23" t="s">
        <v>658</v>
      </c>
      <c r="C138" t="s">
        <v>659</v>
      </c>
      <c r="D138" t="s">
        <v>310</v>
      </c>
      <c r="E138" t="s">
        <v>546</v>
      </c>
      <c r="F138" t="s">
        <v>918</v>
      </c>
      <c r="G138" t="s">
        <v>923</v>
      </c>
      <c r="H138" s="1" t="s">
        <v>666</v>
      </c>
      <c r="I138">
        <v>1</v>
      </c>
      <c r="J138" t="s">
        <v>562</v>
      </c>
      <c r="K138" s="2">
        <v>58.9</v>
      </c>
      <c r="L138" s="2">
        <v>439.9</v>
      </c>
      <c r="M138" s="2">
        <v>65.900000000000006</v>
      </c>
      <c r="N138" s="2">
        <f ca="1">Table1[[#This Row],[2026 (EUR)]]*(1-INDIRECT(Table1[[#This Row],[Discount Name]]))</f>
        <v>58.9</v>
      </c>
      <c r="O138" s="2">
        <f ca="1">Table1[[#This Row],[2026 (DKK)]]*(1-INDIRECT(Table1[[#This Row],[Discount Name]]))</f>
        <v>439.9</v>
      </c>
      <c r="P138" s="2" cm="1">
        <f t="array" aca="1" ref="P138" ca="1">Table1[[#This Row],[2026 (USD)]]*(1-INDIRECT(Table1[[#This Row],[Discount Name]]))</f>
        <v>65.900000000000006</v>
      </c>
      <c r="Q138" s="31">
        <f ca="1">INDIRECT(Table1[[#This Row],[Discount Name]])</f>
        <v>0</v>
      </c>
      <c r="S138" s="2">
        <f t="shared" ca="1" si="4"/>
        <v>58.9</v>
      </c>
      <c r="T138" s="2">
        <f t="shared" ca="1" si="5"/>
        <v>439.9</v>
      </c>
      <c r="U138" s="71" t="str">
        <f>IFERROR(VLOOKUP(Table1[[#This Row],[No_]],'Customer Net Price'!A:F,5,FALSE),"0")</f>
        <v>0</v>
      </c>
      <c r="V138" s="71" t="str">
        <f>IFERROR(VLOOKUP(Table1[[#This Row],[No_]],'Customer Net Price'!A:G,6,FALSE),"0")</f>
        <v>0</v>
      </c>
    </row>
    <row r="139" spans="1:22" x14ac:dyDescent="0.25">
      <c r="A139" s="23" t="s">
        <v>667</v>
      </c>
      <c r="B139" s="23" t="s">
        <v>667</v>
      </c>
      <c r="C139" t="s">
        <v>981</v>
      </c>
      <c r="D139" t="s">
        <v>1778</v>
      </c>
      <c r="E139" t="s">
        <v>546</v>
      </c>
      <c r="F139" t="s">
        <v>918</v>
      </c>
      <c r="G139" t="s">
        <v>923</v>
      </c>
      <c r="H139" s="1" t="s">
        <v>838</v>
      </c>
      <c r="I139" t="s">
        <v>546</v>
      </c>
      <c r="J139" t="s">
        <v>546</v>
      </c>
      <c r="K139" s="2">
        <v>11.9</v>
      </c>
      <c r="L139" s="2">
        <v>88.9</v>
      </c>
      <c r="M139" s="2">
        <v>12.9</v>
      </c>
      <c r="N139" s="2">
        <f ca="1">Table1[[#This Row],[2026 (EUR)]]*(1-INDIRECT(Table1[[#This Row],[Discount Name]]))</f>
        <v>11.9</v>
      </c>
      <c r="O139" s="2">
        <f ca="1">Table1[[#This Row],[2026 (DKK)]]*(1-INDIRECT(Table1[[#This Row],[Discount Name]]))</f>
        <v>88.9</v>
      </c>
      <c r="P139" s="2" cm="1">
        <f t="array" aca="1" ref="P139" ca="1">Table1[[#This Row],[2026 (USD)]]*(1-INDIRECT(Table1[[#This Row],[Discount Name]]))</f>
        <v>12.9</v>
      </c>
      <c r="Q139" s="31">
        <f ca="1">INDIRECT(Table1[[#This Row],[Discount Name]])</f>
        <v>0</v>
      </c>
      <c r="S139" s="2">
        <f t="shared" ca="1" si="4"/>
        <v>11.9</v>
      </c>
      <c r="T139" s="2">
        <f t="shared" ca="1" si="5"/>
        <v>88.9</v>
      </c>
      <c r="U139" s="71" t="str">
        <f>IFERROR(VLOOKUP(Table1[[#This Row],[No_]],'Customer Net Price'!A:F,5,FALSE),"0")</f>
        <v>0</v>
      </c>
      <c r="V139" s="71" t="str">
        <f>IFERROR(VLOOKUP(Table1[[#This Row],[No_]],'Customer Net Price'!A:G,6,FALSE),"0")</f>
        <v>0</v>
      </c>
    </row>
    <row r="140" spans="1:22" x14ac:dyDescent="0.25">
      <c r="A140" s="23" t="s">
        <v>668</v>
      </c>
      <c r="B140" s="23" t="s">
        <v>24</v>
      </c>
      <c r="C140" t="s">
        <v>669</v>
      </c>
      <c r="D140" t="s">
        <v>310</v>
      </c>
      <c r="E140" t="s">
        <v>546</v>
      </c>
      <c r="F140" t="s">
        <v>918</v>
      </c>
      <c r="G140" t="s">
        <v>923</v>
      </c>
      <c r="H140" s="1" t="s">
        <v>670</v>
      </c>
      <c r="I140">
        <v>1</v>
      </c>
      <c r="J140" t="s">
        <v>562</v>
      </c>
      <c r="K140" s="2">
        <v>10.9</v>
      </c>
      <c r="L140" s="2">
        <v>79.900000000000006</v>
      </c>
      <c r="M140" s="2">
        <v>11.9</v>
      </c>
      <c r="N140" s="2">
        <f ca="1">Table1[[#This Row],[2026 (EUR)]]*(1-INDIRECT(Table1[[#This Row],[Discount Name]]))</f>
        <v>10.9</v>
      </c>
      <c r="O140" s="2">
        <f ca="1">Table1[[#This Row],[2026 (DKK)]]*(1-INDIRECT(Table1[[#This Row],[Discount Name]]))</f>
        <v>79.900000000000006</v>
      </c>
      <c r="P140" s="2" cm="1">
        <f t="array" aca="1" ref="P140" ca="1">Table1[[#This Row],[2026 (USD)]]*(1-INDIRECT(Table1[[#This Row],[Discount Name]]))</f>
        <v>11.9</v>
      </c>
      <c r="Q140" s="31">
        <f ca="1">INDIRECT(Table1[[#This Row],[Discount Name]])</f>
        <v>0</v>
      </c>
      <c r="S140" s="2">
        <f t="shared" ca="1" si="4"/>
        <v>10.9</v>
      </c>
      <c r="T140" s="2">
        <f t="shared" ca="1" si="5"/>
        <v>79.900000000000006</v>
      </c>
      <c r="U140" s="71" t="str">
        <f>IFERROR(VLOOKUP(Table1[[#This Row],[No_]],'Customer Net Price'!A:F,5,FALSE),"0")</f>
        <v>0</v>
      </c>
      <c r="V140" s="71" t="str">
        <f>IFERROR(VLOOKUP(Table1[[#This Row],[No_]],'Customer Net Price'!A:G,6,FALSE),"0")</f>
        <v>0</v>
      </c>
    </row>
    <row r="141" spans="1:22" x14ac:dyDescent="0.25">
      <c r="A141" s="23" t="s">
        <v>671</v>
      </c>
      <c r="B141" s="23" t="s">
        <v>671</v>
      </c>
      <c r="C141" t="s">
        <v>672</v>
      </c>
      <c r="D141" t="s">
        <v>1778</v>
      </c>
      <c r="E141" t="s">
        <v>546</v>
      </c>
      <c r="F141" t="s">
        <v>918</v>
      </c>
      <c r="G141" t="s">
        <v>923</v>
      </c>
      <c r="H141" s="1" t="s">
        <v>839</v>
      </c>
      <c r="I141" t="s">
        <v>546</v>
      </c>
      <c r="J141" t="s">
        <v>546</v>
      </c>
      <c r="K141" s="2">
        <v>11.9</v>
      </c>
      <c r="L141" s="2">
        <v>88.9</v>
      </c>
      <c r="M141" s="2">
        <v>12.9</v>
      </c>
      <c r="N141" s="2">
        <f ca="1">Table1[[#This Row],[2026 (EUR)]]*(1-INDIRECT(Table1[[#This Row],[Discount Name]]))</f>
        <v>11.9</v>
      </c>
      <c r="O141" s="2">
        <f ca="1">Table1[[#This Row],[2026 (DKK)]]*(1-INDIRECT(Table1[[#This Row],[Discount Name]]))</f>
        <v>88.9</v>
      </c>
      <c r="P141" s="2" cm="1">
        <f t="array" aca="1" ref="P141" ca="1">Table1[[#This Row],[2026 (USD)]]*(1-INDIRECT(Table1[[#This Row],[Discount Name]]))</f>
        <v>12.9</v>
      </c>
      <c r="Q141" s="31">
        <f ca="1">INDIRECT(Table1[[#This Row],[Discount Name]])</f>
        <v>0</v>
      </c>
      <c r="S141" s="2">
        <f t="shared" ca="1" si="4"/>
        <v>11.9</v>
      </c>
      <c r="T141" s="2">
        <f t="shared" ca="1" si="5"/>
        <v>88.9</v>
      </c>
      <c r="U141" s="71" t="str">
        <f>IFERROR(VLOOKUP(Table1[[#This Row],[No_]],'Customer Net Price'!A:F,5,FALSE),"0")</f>
        <v>0</v>
      </c>
      <c r="V141" s="71" t="str">
        <f>IFERROR(VLOOKUP(Table1[[#This Row],[No_]],'Customer Net Price'!A:G,6,FALSE),"0")</f>
        <v>0</v>
      </c>
    </row>
    <row r="142" spans="1:22" x14ac:dyDescent="0.25">
      <c r="A142" s="23" t="s">
        <v>673</v>
      </c>
      <c r="B142" s="23" t="s">
        <v>673</v>
      </c>
      <c r="C142" t="s">
        <v>672</v>
      </c>
      <c r="D142" t="s">
        <v>1778</v>
      </c>
      <c r="E142" t="s">
        <v>546</v>
      </c>
      <c r="F142" t="s">
        <v>918</v>
      </c>
      <c r="G142" t="s">
        <v>923</v>
      </c>
      <c r="H142" s="1" t="s">
        <v>840</v>
      </c>
      <c r="I142" t="s">
        <v>546</v>
      </c>
      <c r="J142" t="s">
        <v>546</v>
      </c>
      <c r="K142" s="2">
        <v>47.9</v>
      </c>
      <c r="L142" s="2">
        <v>355.9</v>
      </c>
      <c r="M142" s="2">
        <v>53.9</v>
      </c>
      <c r="N142" s="2">
        <f ca="1">Table1[[#This Row],[2026 (EUR)]]*(1-INDIRECT(Table1[[#This Row],[Discount Name]]))</f>
        <v>47.9</v>
      </c>
      <c r="O142" s="2">
        <f ca="1">Table1[[#This Row],[2026 (DKK)]]*(1-INDIRECT(Table1[[#This Row],[Discount Name]]))</f>
        <v>355.9</v>
      </c>
      <c r="P142" s="2" cm="1">
        <f t="array" aca="1" ref="P142" ca="1">Table1[[#This Row],[2026 (USD)]]*(1-INDIRECT(Table1[[#This Row],[Discount Name]]))</f>
        <v>53.9</v>
      </c>
      <c r="Q142" s="31">
        <f ca="1">INDIRECT(Table1[[#This Row],[Discount Name]])</f>
        <v>0</v>
      </c>
      <c r="S142" s="2">
        <f t="shared" ca="1" si="4"/>
        <v>47.9</v>
      </c>
      <c r="T142" s="2">
        <f t="shared" ca="1" si="5"/>
        <v>355.9</v>
      </c>
      <c r="U142" s="71" t="str">
        <f>IFERROR(VLOOKUP(Table1[[#This Row],[No_]],'Customer Net Price'!A:F,5,FALSE),"0")</f>
        <v>0</v>
      </c>
      <c r="V142" s="71" t="str">
        <f>IFERROR(VLOOKUP(Table1[[#This Row],[No_]],'Customer Net Price'!A:G,6,FALSE),"0")</f>
        <v>0</v>
      </c>
    </row>
    <row r="143" spans="1:22" x14ac:dyDescent="0.25">
      <c r="A143" s="23" t="s">
        <v>674</v>
      </c>
      <c r="B143" s="23" t="s">
        <v>674</v>
      </c>
      <c r="C143" t="s">
        <v>672</v>
      </c>
      <c r="D143" t="s">
        <v>1778</v>
      </c>
      <c r="E143" t="s">
        <v>546</v>
      </c>
      <c r="F143" t="s">
        <v>918</v>
      </c>
      <c r="G143" t="s">
        <v>923</v>
      </c>
      <c r="H143" s="1" t="s">
        <v>841</v>
      </c>
      <c r="I143" t="s">
        <v>546</v>
      </c>
      <c r="J143" t="s">
        <v>546</v>
      </c>
      <c r="K143" s="2">
        <v>11.9</v>
      </c>
      <c r="L143" s="2">
        <v>88.9</v>
      </c>
      <c r="M143" s="2">
        <v>12.9</v>
      </c>
      <c r="N143" s="2">
        <f ca="1">Table1[[#This Row],[2026 (EUR)]]*(1-INDIRECT(Table1[[#This Row],[Discount Name]]))</f>
        <v>11.9</v>
      </c>
      <c r="O143" s="2">
        <f ca="1">Table1[[#This Row],[2026 (DKK)]]*(1-INDIRECT(Table1[[#This Row],[Discount Name]]))</f>
        <v>88.9</v>
      </c>
      <c r="P143" s="2" cm="1">
        <f t="array" aca="1" ref="P143" ca="1">Table1[[#This Row],[2026 (USD)]]*(1-INDIRECT(Table1[[#This Row],[Discount Name]]))</f>
        <v>12.9</v>
      </c>
      <c r="Q143" s="31">
        <f ca="1">INDIRECT(Table1[[#This Row],[Discount Name]])</f>
        <v>0</v>
      </c>
      <c r="S143" s="2">
        <f t="shared" ca="1" si="4"/>
        <v>11.9</v>
      </c>
      <c r="T143" s="2">
        <f t="shared" ca="1" si="5"/>
        <v>88.9</v>
      </c>
      <c r="U143" s="71" t="str">
        <f>IFERROR(VLOOKUP(Table1[[#This Row],[No_]],'Customer Net Price'!A:F,5,FALSE),"0")</f>
        <v>0</v>
      </c>
      <c r="V143" s="71" t="str">
        <f>IFERROR(VLOOKUP(Table1[[#This Row],[No_]],'Customer Net Price'!A:G,6,FALSE),"0")</f>
        <v>0</v>
      </c>
    </row>
    <row r="144" spans="1:22" x14ac:dyDescent="0.25">
      <c r="A144" s="23" t="s">
        <v>675</v>
      </c>
      <c r="B144" s="23" t="s">
        <v>675</v>
      </c>
      <c r="C144" t="s">
        <v>672</v>
      </c>
      <c r="D144" t="s">
        <v>1778</v>
      </c>
      <c r="E144" t="s">
        <v>546</v>
      </c>
      <c r="F144" t="s">
        <v>918</v>
      </c>
      <c r="G144" t="s">
        <v>923</v>
      </c>
      <c r="H144" s="1" t="s">
        <v>842</v>
      </c>
      <c r="I144" t="s">
        <v>546</v>
      </c>
      <c r="J144" t="s">
        <v>546</v>
      </c>
      <c r="K144" s="2">
        <v>39.9</v>
      </c>
      <c r="L144" s="2">
        <v>296.89999999999998</v>
      </c>
      <c r="M144" s="2">
        <v>44.9</v>
      </c>
      <c r="N144" s="2">
        <f ca="1">Table1[[#This Row],[2026 (EUR)]]*(1-INDIRECT(Table1[[#This Row],[Discount Name]]))</f>
        <v>39.9</v>
      </c>
      <c r="O144" s="2">
        <f ca="1">Table1[[#This Row],[2026 (DKK)]]*(1-INDIRECT(Table1[[#This Row],[Discount Name]]))</f>
        <v>296.89999999999998</v>
      </c>
      <c r="P144" s="2" cm="1">
        <f t="array" aca="1" ref="P144" ca="1">Table1[[#This Row],[2026 (USD)]]*(1-INDIRECT(Table1[[#This Row],[Discount Name]]))</f>
        <v>44.9</v>
      </c>
      <c r="Q144" s="31">
        <f ca="1">INDIRECT(Table1[[#This Row],[Discount Name]])</f>
        <v>0</v>
      </c>
      <c r="S144" s="2">
        <f t="shared" ca="1" si="4"/>
        <v>39.9</v>
      </c>
      <c r="T144" s="2">
        <f t="shared" ca="1" si="5"/>
        <v>296.89999999999998</v>
      </c>
      <c r="U144" s="71" t="str">
        <f>IFERROR(VLOOKUP(Table1[[#This Row],[No_]],'Customer Net Price'!A:F,5,FALSE),"0")</f>
        <v>0</v>
      </c>
      <c r="V144" s="71" t="str">
        <f>IFERROR(VLOOKUP(Table1[[#This Row],[No_]],'Customer Net Price'!A:G,6,FALSE),"0")</f>
        <v>0</v>
      </c>
    </row>
    <row r="145" spans="1:22" x14ac:dyDescent="0.25">
      <c r="A145" s="23" t="s">
        <v>676</v>
      </c>
      <c r="B145" s="23" t="s">
        <v>676</v>
      </c>
      <c r="C145" t="s">
        <v>672</v>
      </c>
      <c r="D145" t="s">
        <v>1778</v>
      </c>
      <c r="E145" t="s">
        <v>546</v>
      </c>
      <c r="F145" t="s">
        <v>918</v>
      </c>
      <c r="G145" t="s">
        <v>923</v>
      </c>
      <c r="H145" s="1" t="s">
        <v>843</v>
      </c>
      <c r="I145" t="s">
        <v>546</v>
      </c>
      <c r="J145" t="s">
        <v>546</v>
      </c>
      <c r="K145" s="2">
        <v>56.9</v>
      </c>
      <c r="L145" s="2">
        <v>422.9</v>
      </c>
      <c r="M145" s="2">
        <v>62.9</v>
      </c>
      <c r="N145" s="2">
        <f ca="1">Table1[[#This Row],[2026 (EUR)]]*(1-INDIRECT(Table1[[#This Row],[Discount Name]]))</f>
        <v>56.9</v>
      </c>
      <c r="O145" s="2">
        <f ca="1">Table1[[#This Row],[2026 (DKK)]]*(1-INDIRECT(Table1[[#This Row],[Discount Name]]))</f>
        <v>422.9</v>
      </c>
      <c r="P145" s="2" cm="1">
        <f t="array" aca="1" ref="P145" ca="1">Table1[[#This Row],[2026 (USD)]]*(1-INDIRECT(Table1[[#This Row],[Discount Name]]))</f>
        <v>62.9</v>
      </c>
      <c r="Q145" s="31">
        <f ca="1">INDIRECT(Table1[[#This Row],[Discount Name]])</f>
        <v>0</v>
      </c>
      <c r="S145" s="2">
        <f t="shared" ca="1" si="4"/>
        <v>56.9</v>
      </c>
      <c r="T145" s="2">
        <f t="shared" ca="1" si="5"/>
        <v>422.9</v>
      </c>
      <c r="U145" s="71" t="str">
        <f>IFERROR(VLOOKUP(Table1[[#This Row],[No_]],'Customer Net Price'!A:F,5,FALSE),"0")</f>
        <v>0</v>
      </c>
      <c r="V145" s="71" t="str">
        <f>IFERROR(VLOOKUP(Table1[[#This Row],[No_]],'Customer Net Price'!A:G,6,FALSE),"0")</f>
        <v>0</v>
      </c>
    </row>
    <row r="146" spans="1:22" x14ac:dyDescent="0.25">
      <c r="A146" s="23" t="s">
        <v>677</v>
      </c>
      <c r="B146" s="23" t="s">
        <v>677</v>
      </c>
      <c r="C146" t="s">
        <v>982</v>
      </c>
      <c r="D146" t="s">
        <v>1778</v>
      </c>
      <c r="E146" t="s">
        <v>546</v>
      </c>
      <c r="F146" t="s">
        <v>918</v>
      </c>
      <c r="G146" t="s">
        <v>923</v>
      </c>
      <c r="H146" s="1" t="s">
        <v>678</v>
      </c>
      <c r="I146" t="s">
        <v>546</v>
      </c>
      <c r="J146" t="s">
        <v>546</v>
      </c>
      <c r="K146" s="2">
        <v>10.9</v>
      </c>
      <c r="L146" s="2">
        <v>80.900000000000006</v>
      </c>
      <c r="M146" s="2">
        <v>11.9</v>
      </c>
      <c r="N146" s="2">
        <f ca="1">Table1[[#This Row],[2026 (EUR)]]*(1-INDIRECT(Table1[[#This Row],[Discount Name]]))</f>
        <v>10.9</v>
      </c>
      <c r="O146" s="2">
        <f ca="1">Table1[[#This Row],[2026 (DKK)]]*(1-INDIRECT(Table1[[#This Row],[Discount Name]]))</f>
        <v>80.900000000000006</v>
      </c>
      <c r="P146" s="2" cm="1">
        <f t="array" aca="1" ref="P146" ca="1">Table1[[#This Row],[2026 (USD)]]*(1-INDIRECT(Table1[[#This Row],[Discount Name]]))</f>
        <v>11.9</v>
      </c>
      <c r="Q146" s="31">
        <f ca="1">INDIRECT(Table1[[#This Row],[Discount Name]])</f>
        <v>0</v>
      </c>
      <c r="S146" s="2">
        <f t="shared" ca="1" si="4"/>
        <v>10.9</v>
      </c>
      <c r="T146" s="2">
        <f t="shared" ca="1" si="5"/>
        <v>80.900000000000006</v>
      </c>
      <c r="U146" s="71" t="str">
        <f>IFERROR(VLOOKUP(Table1[[#This Row],[No_]],'Customer Net Price'!A:F,5,FALSE),"0")</f>
        <v>0</v>
      </c>
      <c r="V146" s="71" t="str">
        <f>IFERROR(VLOOKUP(Table1[[#This Row],[No_]],'Customer Net Price'!A:G,6,FALSE),"0")</f>
        <v>0</v>
      </c>
    </row>
    <row r="147" spans="1:22" x14ac:dyDescent="0.25">
      <c r="A147" s="23" t="s">
        <v>679</v>
      </c>
      <c r="B147" s="23" t="s">
        <v>679</v>
      </c>
      <c r="C147" t="s">
        <v>680</v>
      </c>
      <c r="D147" t="s">
        <v>1778</v>
      </c>
      <c r="E147" t="s">
        <v>546</v>
      </c>
      <c r="F147" t="s">
        <v>918</v>
      </c>
      <c r="G147" t="s">
        <v>923</v>
      </c>
      <c r="H147" s="1" t="s">
        <v>844</v>
      </c>
      <c r="I147" t="s">
        <v>546</v>
      </c>
      <c r="J147" t="s">
        <v>546</v>
      </c>
      <c r="K147" s="2">
        <v>24.9</v>
      </c>
      <c r="L147" s="2">
        <v>184.9</v>
      </c>
      <c r="M147" s="2">
        <v>27.9</v>
      </c>
      <c r="N147" s="2">
        <f ca="1">Table1[[#This Row],[2026 (EUR)]]*(1-INDIRECT(Table1[[#This Row],[Discount Name]]))</f>
        <v>24.9</v>
      </c>
      <c r="O147" s="2">
        <f ca="1">Table1[[#This Row],[2026 (DKK)]]*(1-INDIRECT(Table1[[#This Row],[Discount Name]]))</f>
        <v>184.9</v>
      </c>
      <c r="P147" s="2" cm="1">
        <f t="array" aca="1" ref="P147" ca="1">Table1[[#This Row],[2026 (USD)]]*(1-INDIRECT(Table1[[#This Row],[Discount Name]]))</f>
        <v>27.9</v>
      </c>
      <c r="Q147" s="31">
        <f ca="1">INDIRECT(Table1[[#This Row],[Discount Name]])</f>
        <v>0</v>
      </c>
      <c r="S147" s="2">
        <f t="shared" ca="1" si="4"/>
        <v>24.9</v>
      </c>
      <c r="T147" s="2">
        <f t="shared" ca="1" si="5"/>
        <v>184.9</v>
      </c>
      <c r="U147" s="71" t="str">
        <f>IFERROR(VLOOKUP(Table1[[#This Row],[No_]],'Customer Net Price'!A:F,5,FALSE),"0")</f>
        <v>0</v>
      </c>
      <c r="V147" s="71" t="str">
        <f>IFERROR(VLOOKUP(Table1[[#This Row],[No_]],'Customer Net Price'!A:G,6,FALSE),"0")</f>
        <v>0</v>
      </c>
    </row>
    <row r="148" spans="1:22" x14ac:dyDescent="0.25">
      <c r="A148" s="23" t="s">
        <v>681</v>
      </c>
      <c r="B148" s="23" t="s">
        <v>681</v>
      </c>
      <c r="C148" t="s">
        <v>682</v>
      </c>
      <c r="D148" t="s">
        <v>1778</v>
      </c>
      <c r="E148" t="s">
        <v>546</v>
      </c>
      <c r="F148" t="s">
        <v>918</v>
      </c>
      <c r="G148" t="s">
        <v>923</v>
      </c>
      <c r="H148" t="s">
        <v>845</v>
      </c>
      <c r="I148" t="s">
        <v>546</v>
      </c>
      <c r="J148" t="s">
        <v>546</v>
      </c>
      <c r="K148" s="2">
        <v>26.9</v>
      </c>
      <c r="L148" s="2">
        <v>199.9</v>
      </c>
      <c r="M148" s="2">
        <v>29.9</v>
      </c>
      <c r="N148" s="2">
        <f ca="1">Table1[[#This Row],[2026 (EUR)]]*(1-INDIRECT(Table1[[#This Row],[Discount Name]]))</f>
        <v>26.9</v>
      </c>
      <c r="O148" s="2">
        <f ca="1">Table1[[#This Row],[2026 (DKK)]]*(1-INDIRECT(Table1[[#This Row],[Discount Name]]))</f>
        <v>199.9</v>
      </c>
      <c r="P148" s="2" cm="1">
        <f t="array" aca="1" ref="P148" ca="1">Table1[[#This Row],[2026 (USD)]]*(1-INDIRECT(Table1[[#This Row],[Discount Name]]))</f>
        <v>29.9</v>
      </c>
      <c r="Q148" s="31">
        <f ca="1">INDIRECT(Table1[[#This Row],[Discount Name]])</f>
        <v>0</v>
      </c>
      <c r="S148" s="2">
        <f t="shared" ca="1" si="4"/>
        <v>26.9</v>
      </c>
      <c r="T148" s="2">
        <f t="shared" ca="1" si="5"/>
        <v>199.9</v>
      </c>
      <c r="U148" s="71" t="str">
        <f>IFERROR(VLOOKUP(Table1[[#This Row],[No_]],'Customer Net Price'!A:F,5,FALSE),"0")</f>
        <v>0</v>
      </c>
      <c r="V148" s="71" t="str">
        <f>IFERROR(VLOOKUP(Table1[[#This Row],[No_]],'Customer Net Price'!A:G,6,FALSE),"0")</f>
        <v>0</v>
      </c>
    </row>
    <row r="149" spans="1:22" x14ac:dyDescent="0.25">
      <c r="A149" s="23" t="s">
        <v>683</v>
      </c>
      <c r="B149" s="23" t="s">
        <v>683</v>
      </c>
      <c r="C149" t="s">
        <v>684</v>
      </c>
      <c r="D149" t="s">
        <v>1778</v>
      </c>
      <c r="E149" t="s">
        <v>546</v>
      </c>
      <c r="F149" t="s">
        <v>918</v>
      </c>
      <c r="G149" t="s">
        <v>923</v>
      </c>
      <c r="H149" t="s">
        <v>685</v>
      </c>
      <c r="I149" t="s">
        <v>546</v>
      </c>
      <c r="J149" t="s">
        <v>546</v>
      </c>
      <c r="K149" s="2">
        <v>11.9</v>
      </c>
      <c r="L149" s="2">
        <v>88.9</v>
      </c>
      <c r="M149" s="2">
        <v>12.9</v>
      </c>
      <c r="N149" s="2">
        <f ca="1">Table1[[#This Row],[2026 (EUR)]]*(1-INDIRECT(Table1[[#This Row],[Discount Name]]))</f>
        <v>11.9</v>
      </c>
      <c r="O149" s="2">
        <f ca="1">Table1[[#This Row],[2026 (DKK)]]*(1-INDIRECT(Table1[[#This Row],[Discount Name]]))</f>
        <v>88.9</v>
      </c>
      <c r="P149" s="2" cm="1">
        <f t="array" aca="1" ref="P149" ca="1">Table1[[#This Row],[2026 (USD)]]*(1-INDIRECT(Table1[[#This Row],[Discount Name]]))</f>
        <v>12.9</v>
      </c>
      <c r="Q149" s="31">
        <f ca="1">INDIRECT(Table1[[#This Row],[Discount Name]])</f>
        <v>0</v>
      </c>
      <c r="S149" s="2">
        <f t="shared" ca="1" si="4"/>
        <v>11.9</v>
      </c>
      <c r="T149" s="2">
        <f t="shared" ca="1" si="5"/>
        <v>88.9</v>
      </c>
      <c r="U149" s="71" t="str">
        <f>IFERROR(VLOOKUP(Table1[[#This Row],[No_]],'Customer Net Price'!A:F,5,FALSE),"0")</f>
        <v>0</v>
      </c>
      <c r="V149" s="71" t="str">
        <f>IFERROR(VLOOKUP(Table1[[#This Row],[No_]],'Customer Net Price'!A:G,6,FALSE),"0")</f>
        <v>0</v>
      </c>
    </row>
    <row r="150" spans="1:22" x14ac:dyDescent="0.25">
      <c r="A150" s="23" t="s">
        <v>686</v>
      </c>
      <c r="B150" s="23" t="s">
        <v>686</v>
      </c>
      <c r="C150" t="s">
        <v>609</v>
      </c>
      <c r="D150" t="s">
        <v>1778</v>
      </c>
      <c r="E150" t="s">
        <v>546</v>
      </c>
      <c r="F150" t="s">
        <v>918</v>
      </c>
      <c r="G150" t="s">
        <v>923</v>
      </c>
      <c r="H150" t="s">
        <v>846</v>
      </c>
      <c r="I150" t="s">
        <v>546</v>
      </c>
      <c r="J150" t="s">
        <v>546</v>
      </c>
      <c r="K150" s="2">
        <v>9.9</v>
      </c>
      <c r="L150" s="2">
        <v>73.900000000000006</v>
      </c>
      <c r="M150" s="2">
        <v>10.9</v>
      </c>
      <c r="N150" s="2">
        <f ca="1">Table1[[#This Row],[2026 (EUR)]]*(1-INDIRECT(Table1[[#This Row],[Discount Name]]))</f>
        <v>9.9</v>
      </c>
      <c r="O150" s="2">
        <f ca="1">Table1[[#This Row],[2026 (DKK)]]*(1-INDIRECT(Table1[[#This Row],[Discount Name]]))</f>
        <v>73.900000000000006</v>
      </c>
      <c r="P150" s="2" cm="1">
        <f t="array" aca="1" ref="P150" ca="1">Table1[[#This Row],[2026 (USD)]]*(1-INDIRECT(Table1[[#This Row],[Discount Name]]))</f>
        <v>10.9</v>
      </c>
      <c r="Q150" s="31">
        <f ca="1">INDIRECT(Table1[[#This Row],[Discount Name]])</f>
        <v>0</v>
      </c>
      <c r="S150" s="2">
        <f t="shared" ca="1" si="4"/>
        <v>9.9</v>
      </c>
      <c r="T150" s="2">
        <f t="shared" ca="1" si="5"/>
        <v>73.900000000000006</v>
      </c>
      <c r="U150" s="71" t="str">
        <f>IFERROR(VLOOKUP(Table1[[#This Row],[No_]],'Customer Net Price'!A:F,5,FALSE),"0")</f>
        <v>0</v>
      </c>
      <c r="V150" s="71" t="str">
        <f>IFERROR(VLOOKUP(Table1[[#This Row],[No_]],'Customer Net Price'!A:G,6,FALSE),"0")</f>
        <v>0</v>
      </c>
    </row>
    <row r="151" spans="1:22" x14ac:dyDescent="0.25">
      <c r="A151" s="23" t="s">
        <v>687</v>
      </c>
      <c r="B151" s="23" t="s">
        <v>687</v>
      </c>
      <c r="C151" t="s">
        <v>688</v>
      </c>
      <c r="D151" t="s">
        <v>310</v>
      </c>
      <c r="E151" t="s">
        <v>546</v>
      </c>
      <c r="F151" t="s">
        <v>918</v>
      </c>
      <c r="G151" t="s">
        <v>923</v>
      </c>
      <c r="H151" t="s">
        <v>689</v>
      </c>
      <c r="I151" t="s">
        <v>546</v>
      </c>
      <c r="J151" t="s">
        <v>571</v>
      </c>
      <c r="K151" s="2">
        <v>10.9</v>
      </c>
      <c r="L151" s="2">
        <v>79.900000000000006</v>
      </c>
      <c r="M151" s="2">
        <v>11.9</v>
      </c>
      <c r="N151" s="2">
        <f ca="1">Table1[[#This Row],[2026 (EUR)]]*(1-INDIRECT(Table1[[#This Row],[Discount Name]]))</f>
        <v>10.9</v>
      </c>
      <c r="O151" s="2">
        <f ca="1">Table1[[#This Row],[2026 (DKK)]]*(1-INDIRECT(Table1[[#This Row],[Discount Name]]))</f>
        <v>79.900000000000006</v>
      </c>
      <c r="P151" s="2" cm="1">
        <f t="array" aca="1" ref="P151" ca="1">Table1[[#This Row],[2026 (USD)]]*(1-INDIRECT(Table1[[#This Row],[Discount Name]]))</f>
        <v>11.9</v>
      </c>
      <c r="Q151" s="31">
        <f ca="1">INDIRECT(Table1[[#This Row],[Discount Name]])</f>
        <v>0</v>
      </c>
      <c r="S151" s="2">
        <f t="shared" ca="1" si="4"/>
        <v>10.9</v>
      </c>
      <c r="T151" s="2">
        <f t="shared" ca="1" si="5"/>
        <v>79.900000000000006</v>
      </c>
      <c r="U151" s="71" t="str">
        <f>IFERROR(VLOOKUP(Table1[[#This Row],[No_]],'Customer Net Price'!A:F,5,FALSE),"0")</f>
        <v>0</v>
      </c>
      <c r="V151" s="71" t="str">
        <f>IFERROR(VLOOKUP(Table1[[#This Row],[No_]],'Customer Net Price'!A:G,6,FALSE),"0")</f>
        <v>0</v>
      </c>
    </row>
    <row r="152" spans="1:22" x14ac:dyDescent="0.25">
      <c r="A152" s="23" t="s">
        <v>690</v>
      </c>
      <c r="B152" s="23" t="s">
        <v>690</v>
      </c>
      <c r="C152" t="s">
        <v>691</v>
      </c>
      <c r="D152" t="s">
        <v>1778</v>
      </c>
      <c r="E152" t="s">
        <v>546</v>
      </c>
      <c r="F152" t="s">
        <v>918</v>
      </c>
      <c r="G152" t="s">
        <v>923</v>
      </c>
      <c r="H152" t="s">
        <v>847</v>
      </c>
      <c r="I152" t="s">
        <v>546</v>
      </c>
      <c r="J152" t="s">
        <v>546</v>
      </c>
      <c r="K152" s="2">
        <v>11.6</v>
      </c>
      <c r="L152" s="2">
        <v>85.9</v>
      </c>
      <c r="M152" s="2">
        <v>12.9</v>
      </c>
      <c r="N152" s="2">
        <f ca="1">Table1[[#This Row],[2026 (EUR)]]*(1-INDIRECT(Table1[[#This Row],[Discount Name]]))</f>
        <v>11.6</v>
      </c>
      <c r="O152" s="2">
        <f ca="1">Table1[[#This Row],[2026 (DKK)]]*(1-INDIRECT(Table1[[#This Row],[Discount Name]]))</f>
        <v>85.9</v>
      </c>
      <c r="P152" s="2" cm="1">
        <f t="array" aca="1" ref="P152" ca="1">Table1[[#This Row],[2026 (USD)]]*(1-INDIRECT(Table1[[#This Row],[Discount Name]]))</f>
        <v>12.9</v>
      </c>
      <c r="Q152" s="31">
        <f ca="1">INDIRECT(Table1[[#This Row],[Discount Name]])</f>
        <v>0</v>
      </c>
      <c r="S152" s="2">
        <f t="shared" ca="1" si="4"/>
        <v>11.6</v>
      </c>
      <c r="T152" s="2">
        <f t="shared" ca="1" si="5"/>
        <v>85.9</v>
      </c>
      <c r="U152" s="71" t="str">
        <f>IFERROR(VLOOKUP(Table1[[#This Row],[No_]],'Customer Net Price'!A:F,5,FALSE),"0")</f>
        <v>0</v>
      </c>
      <c r="V152" s="71" t="str">
        <f>IFERROR(VLOOKUP(Table1[[#This Row],[No_]],'Customer Net Price'!A:G,6,FALSE),"0")</f>
        <v>0</v>
      </c>
    </row>
    <row r="153" spans="1:22" x14ac:dyDescent="0.25">
      <c r="A153" s="23" t="s">
        <v>692</v>
      </c>
      <c r="B153" s="23" t="s">
        <v>692</v>
      </c>
      <c r="C153" t="s">
        <v>693</v>
      </c>
      <c r="D153" t="s">
        <v>1778</v>
      </c>
      <c r="E153" t="s">
        <v>546</v>
      </c>
      <c r="F153" t="s">
        <v>918</v>
      </c>
      <c r="G153" t="s">
        <v>923</v>
      </c>
      <c r="H153" t="s">
        <v>848</v>
      </c>
      <c r="I153" t="s">
        <v>546</v>
      </c>
      <c r="J153" t="s">
        <v>546</v>
      </c>
      <c r="K153" s="2">
        <v>18.200000000000003</v>
      </c>
      <c r="L153" s="2">
        <v>134.9</v>
      </c>
      <c r="M153" s="2">
        <v>20.9</v>
      </c>
      <c r="N153" s="2">
        <f ca="1">Table1[[#This Row],[2026 (EUR)]]*(1-INDIRECT(Table1[[#This Row],[Discount Name]]))</f>
        <v>18.200000000000003</v>
      </c>
      <c r="O153" s="2">
        <f ca="1">Table1[[#This Row],[2026 (DKK)]]*(1-INDIRECT(Table1[[#This Row],[Discount Name]]))</f>
        <v>134.9</v>
      </c>
      <c r="P153" s="2" cm="1">
        <f t="array" aca="1" ref="P153" ca="1">Table1[[#This Row],[2026 (USD)]]*(1-INDIRECT(Table1[[#This Row],[Discount Name]]))</f>
        <v>20.9</v>
      </c>
      <c r="Q153" s="31">
        <f ca="1">INDIRECT(Table1[[#This Row],[Discount Name]])</f>
        <v>0</v>
      </c>
      <c r="S153" s="2">
        <f t="shared" ca="1" si="4"/>
        <v>18.200000000000003</v>
      </c>
      <c r="T153" s="2">
        <f t="shared" ca="1" si="5"/>
        <v>134.9</v>
      </c>
      <c r="U153" s="71" t="str">
        <f>IFERROR(VLOOKUP(Table1[[#This Row],[No_]],'Customer Net Price'!A:F,5,FALSE),"0")</f>
        <v>0</v>
      </c>
      <c r="V153" s="71" t="str">
        <f>IFERROR(VLOOKUP(Table1[[#This Row],[No_]],'Customer Net Price'!A:G,6,FALSE),"0")</f>
        <v>0</v>
      </c>
    </row>
    <row r="154" spans="1:22" x14ac:dyDescent="0.25">
      <c r="A154" s="23" t="s">
        <v>140</v>
      </c>
      <c r="B154" s="23" t="s">
        <v>140</v>
      </c>
      <c r="C154" t="s">
        <v>198</v>
      </c>
      <c r="D154" t="s">
        <v>310</v>
      </c>
      <c r="E154" t="s">
        <v>546</v>
      </c>
      <c r="F154" t="s">
        <v>918</v>
      </c>
      <c r="G154" t="s">
        <v>923</v>
      </c>
      <c r="H154" s="1" t="s">
        <v>398</v>
      </c>
      <c r="I154">
        <v>1</v>
      </c>
      <c r="J154" t="s">
        <v>545</v>
      </c>
      <c r="K154" s="2">
        <v>13.9</v>
      </c>
      <c r="L154" s="2">
        <v>104.9</v>
      </c>
      <c r="M154" s="2">
        <v>15.9</v>
      </c>
      <c r="N154" s="2">
        <f ca="1">Table1[[#This Row],[2026 (EUR)]]*(1-INDIRECT(Table1[[#This Row],[Discount Name]]))</f>
        <v>13.9</v>
      </c>
      <c r="O154" s="2">
        <f ca="1">Table1[[#This Row],[2026 (DKK)]]*(1-INDIRECT(Table1[[#This Row],[Discount Name]]))</f>
        <v>104.9</v>
      </c>
      <c r="P154" s="2" cm="1">
        <f t="array" aca="1" ref="P154" ca="1">Table1[[#This Row],[2026 (USD)]]*(1-INDIRECT(Table1[[#This Row],[Discount Name]]))</f>
        <v>15.9</v>
      </c>
      <c r="Q154" s="31">
        <f ca="1">INDIRECT(Table1[[#This Row],[Discount Name]])</f>
        <v>0</v>
      </c>
      <c r="S154" s="2">
        <f t="shared" ca="1" si="4"/>
        <v>13.9</v>
      </c>
      <c r="T154" s="2">
        <f t="shared" ca="1" si="5"/>
        <v>104.9</v>
      </c>
      <c r="U154" s="71" t="str">
        <f>IFERROR(VLOOKUP(Table1[[#This Row],[No_]],'Customer Net Price'!A:F,5,FALSE),"0")</f>
        <v>0</v>
      </c>
      <c r="V154" s="71" t="str">
        <f>IFERROR(VLOOKUP(Table1[[#This Row],[No_]],'Customer Net Price'!A:G,6,FALSE),"0")</f>
        <v>0</v>
      </c>
    </row>
    <row r="155" spans="1:22" x14ac:dyDescent="0.25">
      <c r="A155" s="23" t="s">
        <v>144</v>
      </c>
      <c r="B155" s="23" t="s">
        <v>140</v>
      </c>
      <c r="C155" t="s">
        <v>198</v>
      </c>
      <c r="D155" t="s">
        <v>310</v>
      </c>
      <c r="E155" t="s">
        <v>546</v>
      </c>
      <c r="F155" t="s">
        <v>918</v>
      </c>
      <c r="G155" t="s">
        <v>923</v>
      </c>
      <c r="H155" s="48" t="s">
        <v>399</v>
      </c>
      <c r="I155">
        <v>1</v>
      </c>
      <c r="J155" t="s">
        <v>571</v>
      </c>
      <c r="K155" s="2">
        <v>13.9</v>
      </c>
      <c r="L155" s="2">
        <v>104.9</v>
      </c>
      <c r="M155" s="2">
        <v>15.9</v>
      </c>
      <c r="N155" s="2">
        <f ca="1">Table1[[#This Row],[2026 (EUR)]]*(1-INDIRECT(Table1[[#This Row],[Discount Name]]))</f>
        <v>13.9</v>
      </c>
      <c r="O155" s="2">
        <f ca="1">Table1[[#This Row],[2026 (DKK)]]*(1-INDIRECT(Table1[[#This Row],[Discount Name]]))</f>
        <v>104.9</v>
      </c>
      <c r="P155" s="2" cm="1">
        <f t="array" aca="1" ref="P155" ca="1">Table1[[#This Row],[2026 (USD)]]*(1-INDIRECT(Table1[[#This Row],[Discount Name]]))</f>
        <v>15.9</v>
      </c>
      <c r="Q155" s="31">
        <f ca="1">INDIRECT(Table1[[#This Row],[Discount Name]])</f>
        <v>0</v>
      </c>
      <c r="S155" s="2">
        <f t="shared" ca="1" si="4"/>
        <v>13.9</v>
      </c>
      <c r="T155" s="2">
        <f t="shared" ca="1" si="5"/>
        <v>104.9</v>
      </c>
      <c r="U155" s="71" t="str">
        <f>IFERROR(VLOOKUP(Table1[[#This Row],[No_]],'Customer Net Price'!A:F,5,FALSE),"0")</f>
        <v>0</v>
      </c>
      <c r="V155" s="71" t="str">
        <f>IFERROR(VLOOKUP(Table1[[#This Row],[No_]],'Customer Net Price'!A:G,6,FALSE),"0")</f>
        <v>0</v>
      </c>
    </row>
    <row r="156" spans="1:22" x14ac:dyDescent="0.25">
      <c r="A156" s="23" t="s">
        <v>148</v>
      </c>
      <c r="B156" s="23" t="s">
        <v>140</v>
      </c>
      <c r="C156" t="s">
        <v>198</v>
      </c>
      <c r="D156" t="s">
        <v>310</v>
      </c>
      <c r="E156" t="s">
        <v>546</v>
      </c>
      <c r="F156" t="s">
        <v>918</v>
      </c>
      <c r="G156" t="s">
        <v>923</v>
      </c>
      <c r="H156" s="48" t="s">
        <v>400</v>
      </c>
      <c r="I156">
        <v>1</v>
      </c>
      <c r="J156" t="s">
        <v>570</v>
      </c>
      <c r="K156" s="2">
        <v>13.9</v>
      </c>
      <c r="L156" s="2">
        <v>104.9</v>
      </c>
      <c r="M156" s="2">
        <v>15.9</v>
      </c>
      <c r="N156" s="2">
        <f ca="1">Table1[[#This Row],[2026 (EUR)]]*(1-INDIRECT(Table1[[#This Row],[Discount Name]]))</f>
        <v>13.9</v>
      </c>
      <c r="O156" s="2">
        <f ca="1">Table1[[#This Row],[2026 (DKK)]]*(1-INDIRECT(Table1[[#This Row],[Discount Name]]))</f>
        <v>104.9</v>
      </c>
      <c r="P156" s="2" cm="1">
        <f t="array" aca="1" ref="P156" ca="1">Table1[[#This Row],[2026 (USD)]]*(1-INDIRECT(Table1[[#This Row],[Discount Name]]))</f>
        <v>15.9</v>
      </c>
      <c r="Q156" s="31">
        <f ca="1">INDIRECT(Table1[[#This Row],[Discount Name]])</f>
        <v>0</v>
      </c>
      <c r="S156" s="2">
        <f t="shared" ca="1" si="4"/>
        <v>13.9</v>
      </c>
      <c r="T156" s="2">
        <f t="shared" ca="1" si="5"/>
        <v>104.9</v>
      </c>
      <c r="U156" s="71" t="str">
        <f>IFERROR(VLOOKUP(Table1[[#This Row],[No_]],'Customer Net Price'!A:F,5,FALSE),"0")</f>
        <v>0</v>
      </c>
      <c r="V156" s="71" t="str">
        <f>IFERROR(VLOOKUP(Table1[[#This Row],[No_]],'Customer Net Price'!A:G,6,FALSE),"0")</f>
        <v>0</v>
      </c>
    </row>
    <row r="157" spans="1:22" x14ac:dyDescent="0.25">
      <c r="A157" s="23" t="s">
        <v>154</v>
      </c>
      <c r="B157" s="23" t="s">
        <v>140</v>
      </c>
      <c r="C157" t="s">
        <v>198</v>
      </c>
      <c r="D157" t="s">
        <v>310</v>
      </c>
      <c r="E157" t="s">
        <v>546</v>
      </c>
      <c r="F157" t="s">
        <v>918</v>
      </c>
      <c r="G157" t="s">
        <v>923</v>
      </c>
      <c r="H157" s="48" t="s">
        <v>401</v>
      </c>
      <c r="I157">
        <v>1</v>
      </c>
      <c r="J157" t="s">
        <v>562</v>
      </c>
      <c r="K157" s="2">
        <v>13.9</v>
      </c>
      <c r="L157" s="2">
        <v>104.9</v>
      </c>
      <c r="M157" s="2">
        <v>15.9</v>
      </c>
      <c r="N157" s="2">
        <f ca="1">Table1[[#This Row],[2026 (EUR)]]*(1-INDIRECT(Table1[[#This Row],[Discount Name]]))</f>
        <v>13.9</v>
      </c>
      <c r="O157" s="2">
        <f ca="1">Table1[[#This Row],[2026 (DKK)]]*(1-INDIRECT(Table1[[#This Row],[Discount Name]]))</f>
        <v>104.9</v>
      </c>
      <c r="P157" s="2" cm="1">
        <f t="array" aca="1" ref="P157" ca="1">Table1[[#This Row],[2026 (USD)]]*(1-INDIRECT(Table1[[#This Row],[Discount Name]]))</f>
        <v>15.9</v>
      </c>
      <c r="Q157" s="31">
        <f ca="1">INDIRECT(Table1[[#This Row],[Discount Name]])</f>
        <v>0</v>
      </c>
      <c r="S157" s="2">
        <f t="shared" ca="1" si="4"/>
        <v>13.9</v>
      </c>
      <c r="T157" s="2">
        <f t="shared" ca="1" si="5"/>
        <v>104.9</v>
      </c>
      <c r="U157" s="71" t="str">
        <f>IFERROR(VLOOKUP(Table1[[#This Row],[No_]],'Customer Net Price'!A:F,5,FALSE),"0")</f>
        <v>0</v>
      </c>
      <c r="V157" s="71" t="str">
        <f>IFERROR(VLOOKUP(Table1[[#This Row],[No_]],'Customer Net Price'!A:G,6,FALSE),"0")</f>
        <v>0</v>
      </c>
    </row>
    <row r="158" spans="1:22" x14ac:dyDescent="0.25">
      <c r="A158" s="23" t="s">
        <v>694</v>
      </c>
      <c r="B158" s="23" t="s">
        <v>694</v>
      </c>
      <c r="C158" t="s">
        <v>695</v>
      </c>
      <c r="D158" t="s">
        <v>1778</v>
      </c>
      <c r="E158" t="s">
        <v>546</v>
      </c>
      <c r="F158" t="s">
        <v>918</v>
      </c>
      <c r="G158" t="s">
        <v>923</v>
      </c>
      <c r="H158" s="1" t="s">
        <v>849</v>
      </c>
      <c r="I158" t="s">
        <v>546</v>
      </c>
      <c r="J158" t="s">
        <v>546</v>
      </c>
      <c r="K158" s="2">
        <v>23.9</v>
      </c>
      <c r="L158" s="2">
        <v>177.9</v>
      </c>
      <c r="M158" s="2">
        <v>26.9</v>
      </c>
      <c r="N158" s="2">
        <f ca="1">Table1[[#This Row],[2026 (EUR)]]*(1-INDIRECT(Table1[[#This Row],[Discount Name]]))</f>
        <v>23.9</v>
      </c>
      <c r="O158" s="2">
        <f ca="1">Table1[[#This Row],[2026 (DKK)]]*(1-INDIRECT(Table1[[#This Row],[Discount Name]]))</f>
        <v>177.9</v>
      </c>
      <c r="P158" s="2" cm="1">
        <f t="array" aca="1" ref="P158" ca="1">Table1[[#This Row],[2026 (USD)]]*(1-INDIRECT(Table1[[#This Row],[Discount Name]]))</f>
        <v>26.9</v>
      </c>
      <c r="Q158" s="31">
        <f ca="1">INDIRECT(Table1[[#This Row],[Discount Name]])</f>
        <v>0</v>
      </c>
      <c r="S158" s="2">
        <f t="shared" ca="1" si="4"/>
        <v>23.9</v>
      </c>
      <c r="T158" s="2">
        <f t="shared" ca="1" si="5"/>
        <v>177.9</v>
      </c>
      <c r="U158" s="71" t="str">
        <f>IFERROR(VLOOKUP(Table1[[#This Row],[No_]],'Customer Net Price'!A:F,5,FALSE),"0")</f>
        <v>0</v>
      </c>
      <c r="V158" s="71" t="str">
        <f>IFERROR(VLOOKUP(Table1[[#This Row],[No_]],'Customer Net Price'!A:G,6,FALSE),"0")</f>
        <v>0</v>
      </c>
    </row>
    <row r="159" spans="1:22" x14ac:dyDescent="0.25">
      <c r="A159" s="23" t="s">
        <v>696</v>
      </c>
      <c r="B159" s="23" t="s">
        <v>696</v>
      </c>
      <c r="C159" t="s">
        <v>697</v>
      </c>
      <c r="D159" t="s">
        <v>1778</v>
      </c>
      <c r="E159" t="s">
        <v>546</v>
      </c>
      <c r="F159" t="s">
        <v>918</v>
      </c>
      <c r="G159" t="s">
        <v>923</v>
      </c>
      <c r="H159" s="1" t="s">
        <v>850</v>
      </c>
      <c r="I159" t="s">
        <v>546</v>
      </c>
      <c r="J159" t="s">
        <v>546</v>
      </c>
      <c r="K159" s="2">
        <v>32.9</v>
      </c>
      <c r="L159" s="2">
        <v>244.9</v>
      </c>
      <c r="M159" s="2">
        <v>35.9</v>
      </c>
      <c r="N159" s="2">
        <f ca="1">Table1[[#This Row],[2026 (EUR)]]*(1-INDIRECT(Table1[[#This Row],[Discount Name]]))</f>
        <v>32.9</v>
      </c>
      <c r="O159" s="2">
        <f ca="1">Table1[[#This Row],[2026 (DKK)]]*(1-INDIRECT(Table1[[#This Row],[Discount Name]]))</f>
        <v>244.9</v>
      </c>
      <c r="P159" s="2" cm="1">
        <f t="array" aca="1" ref="P159" ca="1">Table1[[#This Row],[2026 (USD)]]*(1-INDIRECT(Table1[[#This Row],[Discount Name]]))</f>
        <v>35.9</v>
      </c>
      <c r="Q159" s="31">
        <f ca="1">INDIRECT(Table1[[#This Row],[Discount Name]])</f>
        <v>0</v>
      </c>
      <c r="S159" s="2">
        <f t="shared" ca="1" si="4"/>
        <v>32.9</v>
      </c>
      <c r="T159" s="2">
        <f t="shared" ca="1" si="5"/>
        <v>244.9</v>
      </c>
      <c r="U159" s="71" t="str">
        <f>IFERROR(VLOOKUP(Table1[[#This Row],[No_]],'Customer Net Price'!A:F,5,FALSE),"0")</f>
        <v>0</v>
      </c>
      <c r="V159" s="71" t="str">
        <f>IFERROR(VLOOKUP(Table1[[#This Row],[No_]],'Customer Net Price'!A:G,6,FALSE),"0")</f>
        <v>0</v>
      </c>
    </row>
    <row r="160" spans="1:22" x14ac:dyDescent="0.25">
      <c r="A160" s="23" t="s">
        <v>952</v>
      </c>
      <c r="B160" s="23" t="s">
        <v>952</v>
      </c>
      <c r="C160" t="s">
        <v>967</v>
      </c>
      <c r="D160" t="s">
        <v>310</v>
      </c>
      <c r="E160" t="s">
        <v>546</v>
      </c>
      <c r="F160" t="s">
        <v>918</v>
      </c>
      <c r="G160" t="s">
        <v>923</v>
      </c>
      <c r="H160" s="1" t="s">
        <v>979</v>
      </c>
      <c r="I160">
        <v>1</v>
      </c>
      <c r="J160" t="s">
        <v>1384</v>
      </c>
      <c r="K160" s="2">
        <v>24.9</v>
      </c>
      <c r="L160" s="2">
        <v>184.9</v>
      </c>
      <c r="M160" s="2">
        <v>26.9</v>
      </c>
      <c r="N160" s="2">
        <f ca="1">Table1[[#This Row],[2026 (EUR)]]*(1-INDIRECT(Table1[[#This Row],[Discount Name]]))</f>
        <v>24.9</v>
      </c>
      <c r="O160" s="2">
        <f ca="1">Table1[[#This Row],[2026 (DKK)]]*(1-INDIRECT(Table1[[#This Row],[Discount Name]]))</f>
        <v>184.9</v>
      </c>
      <c r="P160" s="2" cm="1">
        <f t="array" aca="1" ref="P160" ca="1">Table1[[#This Row],[2026 (USD)]]*(1-INDIRECT(Table1[[#This Row],[Discount Name]]))</f>
        <v>26.9</v>
      </c>
      <c r="Q160" s="31">
        <f ca="1">INDIRECT(Table1[[#This Row],[Discount Name]])</f>
        <v>0</v>
      </c>
      <c r="S160" s="2">
        <f t="shared" ca="1" si="4"/>
        <v>24.9</v>
      </c>
      <c r="T160" s="2">
        <f t="shared" ca="1" si="5"/>
        <v>184.9</v>
      </c>
      <c r="U160" s="71" t="str">
        <f>IFERROR(VLOOKUP(Table1[[#This Row],[No_]],'Customer Net Price'!A:F,5,FALSE),"0")</f>
        <v>0</v>
      </c>
      <c r="V160" s="71" t="str">
        <f>IFERROR(VLOOKUP(Table1[[#This Row],[No_]],'Customer Net Price'!A:G,6,FALSE),"0")</f>
        <v>0</v>
      </c>
    </row>
    <row r="161" spans="1:22" x14ac:dyDescent="0.25">
      <c r="A161" s="23" t="s">
        <v>698</v>
      </c>
      <c r="B161" s="23" t="s">
        <v>698</v>
      </c>
      <c r="C161" t="s">
        <v>699</v>
      </c>
      <c r="D161" t="s">
        <v>1778</v>
      </c>
      <c r="E161" t="s">
        <v>546</v>
      </c>
      <c r="F161" t="s">
        <v>918</v>
      </c>
      <c r="G161" t="s">
        <v>923</v>
      </c>
      <c r="H161" s="1" t="s">
        <v>851</v>
      </c>
      <c r="I161" t="s">
        <v>546</v>
      </c>
      <c r="J161" t="s">
        <v>546</v>
      </c>
      <c r="K161" s="2">
        <v>1.3</v>
      </c>
      <c r="L161" s="2">
        <v>9.9</v>
      </c>
      <c r="M161" s="2">
        <v>1.49</v>
      </c>
      <c r="N161" s="2">
        <f ca="1">Table1[[#This Row],[2026 (EUR)]]*(1-INDIRECT(Table1[[#This Row],[Discount Name]]))</f>
        <v>1.3</v>
      </c>
      <c r="O161" s="2">
        <f ca="1">Table1[[#This Row],[2026 (DKK)]]*(1-INDIRECT(Table1[[#This Row],[Discount Name]]))</f>
        <v>9.9</v>
      </c>
      <c r="P161" s="2" cm="1">
        <f t="array" aca="1" ref="P161" ca="1">Table1[[#This Row],[2026 (USD)]]*(1-INDIRECT(Table1[[#This Row],[Discount Name]]))</f>
        <v>1.49</v>
      </c>
      <c r="Q161" s="31">
        <f ca="1">INDIRECT(Table1[[#This Row],[Discount Name]])</f>
        <v>0</v>
      </c>
      <c r="S161" s="2">
        <f t="shared" ca="1" si="4"/>
        <v>1.3</v>
      </c>
      <c r="T161" s="2">
        <f t="shared" ca="1" si="5"/>
        <v>9.9</v>
      </c>
      <c r="U161" s="71" t="str">
        <f>IFERROR(VLOOKUP(Table1[[#This Row],[No_]],'Customer Net Price'!A:F,5,FALSE),"0")</f>
        <v>0</v>
      </c>
      <c r="V161" s="71" t="str">
        <f>IFERROR(VLOOKUP(Table1[[#This Row],[No_]],'Customer Net Price'!A:G,6,FALSE),"0")</f>
        <v>0</v>
      </c>
    </row>
    <row r="162" spans="1:22" x14ac:dyDescent="0.25">
      <c r="A162" s="23" t="s">
        <v>700</v>
      </c>
      <c r="B162" s="23" t="s">
        <v>700</v>
      </c>
      <c r="C162" t="s">
        <v>701</v>
      </c>
      <c r="D162" t="s">
        <v>1778</v>
      </c>
      <c r="E162" t="s">
        <v>546</v>
      </c>
      <c r="F162" t="s">
        <v>918</v>
      </c>
      <c r="G162" t="s">
        <v>923</v>
      </c>
      <c r="H162" s="1" t="s">
        <v>702</v>
      </c>
      <c r="I162" t="s">
        <v>546</v>
      </c>
      <c r="J162" t="s">
        <v>546</v>
      </c>
      <c r="K162" s="2">
        <v>26.9</v>
      </c>
      <c r="L162" s="2">
        <v>199.9</v>
      </c>
      <c r="M162" s="2">
        <v>29.9</v>
      </c>
      <c r="N162" s="2">
        <f ca="1">Table1[[#This Row],[2026 (EUR)]]*(1-INDIRECT(Table1[[#This Row],[Discount Name]]))</f>
        <v>26.9</v>
      </c>
      <c r="O162" s="2">
        <f ca="1">Table1[[#This Row],[2026 (DKK)]]*(1-INDIRECT(Table1[[#This Row],[Discount Name]]))</f>
        <v>199.9</v>
      </c>
      <c r="P162" s="2" cm="1">
        <f t="array" aca="1" ref="P162" ca="1">Table1[[#This Row],[2026 (USD)]]*(1-INDIRECT(Table1[[#This Row],[Discount Name]]))</f>
        <v>29.9</v>
      </c>
      <c r="Q162" s="31">
        <f ca="1">INDIRECT(Table1[[#This Row],[Discount Name]])</f>
        <v>0</v>
      </c>
      <c r="S162" s="2">
        <f t="shared" ca="1" si="4"/>
        <v>26.9</v>
      </c>
      <c r="T162" s="2">
        <f t="shared" ca="1" si="5"/>
        <v>199.9</v>
      </c>
      <c r="U162" s="71" t="str">
        <f>IFERROR(VLOOKUP(Table1[[#This Row],[No_]],'Customer Net Price'!A:F,5,FALSE),"0")</f>
        <v>0</v>
      </c>
      <c r="V162" s="71" t="str">
        <f>IFERROR(VLOOKUP(Table1[[#This Row],[No_]],'Customer Net Price'!A:G,6,FALSE),"0")</f>
        <v>0</v>
      </c>
    </row>
    <row r="163" spans="1:22" x14ac:dyDescent="0.25">
      <c r="A163" s="23" t="s">
        <v>703</v>
      </c>
      <c r="B163" s="23" t="s">
        <v>703</v>
      </c>
      <c r="C163" t="s">
        <v>985</v>
      </c>
      <c r="D163" t="s">
        <v>1778</v>
      </c>
      <c r="E163" t="s">
        <v>546</v>
      </c>
      <c r="F163" t="s">
        <v>918</v>
      </c>
      <c r="G163" t="s">
        <v>923</v>
      </c>
      <c r="H163" s="1" t="s">
        <v>852</v>
      </c>
      <c r="I163" t="s">
        <v>546</v>
      </c>
      <c r="J163" t="s">
        <v>546</v>
      </c>
      <c r="K163" s="2">
        <v>7.3</v>
      </c>
      <c r="L163" s="2">
        <v>53.9</v>
      </c>
      <c r="M163" s="2">
        <v>7.9</v>
      </c>
      <c r="N163" s="2">
        <f ca="1">Table1[[#This Row],[2026 (EUR)]]*(1-INDIRECT(Table1[[#This Row],[Discount Name]]))</f>
        <v>7.3</v>
      </c>
      <c r="O163" s="2">
        <f ca="1">Table1[[#This Row],[2026 (DKK)]]*(1-INDIRECT(Table1[[#This Row],[Discount Name]]))</f>
        <v>53.9</v>
      </c>
      <c r="P163" s="2" cm="1">
        <f t="array" aca="1" ref="P163" ca="1">Table1[[#This Row],[2026 (USD)]]*(1-INDIRECT(Table1[[#This Row],[Discount Name]]))</f>
        <v>7.9</v>
      </c>
      <c r="Q163" s="31">
        <f ca="1">INDIRECT(Table1[[#This Row],[Discount Name]])</f>
        <v>0</v>
      </c>
      <c r="S163" s="2">
        <f t="shared" ca="1" si="4"/>
        <v>7.3</v>
      </c>
      <c r="T163" s="2">
        <f t="shared" ca="1" si="5"/>
        <v>53.9</v>
      </c>
      <c r="U163" s="71" t="str">
        <f>IFERROR(VLOOKUP(Table1[[#This Row],[No_]],'Customer Net Price'!A:F,5,FALSE),"0")</f>
        <v>0</v>
      </c>
      <c r="V163" s="71" t="str">
        <f>IFERROR(VLOOKUP(Table1[[#This Row],[No_]],'Customer Net Price'!A:G,6,FALSE),"0")</f>
        <v>0</v>
      </c>
    </row>
    <row r="164" spans="1:22" x14ac:dyDescent="0.25">
      <c r="A164" s="23" t="s">
        <v>704</v>
      </c>
      <c r="B164" s="23" t="s">
        <v>704</v>
      </c>
      <c r="C164" t="s">
        <v>705</v>
      </c>
      <c r="D164" t="s">
        <v>1778</v>
      </c>
      <c r="E164" t="s">
        <v>546</v>
      </c>
      <c r="F164" t="s">
        <v>918</v>
      </c>
      <c r="G164" t="s">
        <v>923</v>
      </c>
      <c r="H164" s="1" t="s">
        <v>706</v>
      </c>
      <c r="I164" t="s">
        <v>546</v>
      </c>
      <c r="J164" t="s">
        <v>546</v>
      </c>
      <c r="K164" s="2">
        <v>18.200000000000003</v>
      </c>
      <c r="L164" s="2">
        <v>134.9</v>
      </c>
      <c r="M164" s="2">
        <v>20.9</v>
      </c>
      <c r="N164" s="2">
        <f ca="1">Table1[[#This Row],[2026 (EUR)]]*(1-INDIRECT(Table1[[#This Row],[Discount Name]]))</f>
        <v>18.200000000000003</v>
      </c>
      <c r="O164" s="2">
        <f ca="1">Table1[[#This Row],[2026 (DKK)]]*(1-INDIRECT(Table1[[#This Row],[Discount Name]]))</f>
        <v>134.9</v>
      </c>
      <c r="P164" s="2" cm="1">
        <f t="array" aca="1" ref="P164" ca="1">Table1[[#This Row],[2026 (USD)]]*(1-INDIRECT(Table1[[#This Row],[Discount Name]]))</f>
        <v>20.9</v>
      </c>
      <c r="Q164" s="31">
        <f ca="1">INDIRECT(Table1[[#This Row],[Discount Name]])</f>
        <v>0</v>
      </c>
      <c r="S164" s="2">
        <f t="shared" ca="1" si="4"/>
        <v>18.200000000000003</v>
      </c>
      <c r="T164" s="2">
        <f t="shared" ca="1" si="5"/>
        <v>134.9</v>
      </c>
      <c r="U164" s="71" t="str">
        <f>IFERROR(VLOOKUP(Table1[[#This Row],[No_]],'Customer Net Price'!A:F,5,FALSE),"0")</f>
        <v>0</v>
      </c>
      <c r="V164" s="71" t="str">
        <f>IFERROR(VLOOKUP(Table1[[#This Row],[No_]],'Customer Net Price'!A:G,6,FALSE),"0")</f>
        <v>0</v>
      </c>
    </row>
    <row r="165" spans="1:22" x14ac:dyDescent="0.25">
      <c r="A165" s="23" t="s">
        <v>707</v>
      </c>
      <c r="B165" s="23" t="s">
        <v>707</v>
      </c>
      <c r="C165" t="s">
        <v>708</v>
      </c>
      <c r="D165" t="s">
        <v>1778</v>
      </c>
      <c r="E165" t="s">
        <v>546</v>
      </c>
      <c r="F165" t="s">
        <v>918</v>
      </c>
      <c r="G165" t="s">
        <v>923</v>
      </c>
      <c r="H165" s="1" t="s">
        <v>709</v>
      </c>
      <c r="I165" t="s">
        <v>546</v>
      </c>
      <c r="J165" t="s">
        <v>546</v>
      </c>
      <c r="K165" s="2">
        <v>9.9</v>
      </c>
      <c r="L165" s="2">
        <v>73.900000000000006</v>
      </c>
      <c r="M165" s="2">
        <v>10.9</v>
      </c>
      <c r="N165" s="2">
        <f ca="1">Table1[[#This Row],[2026 (EUR)]]*(1-INDIRECT(Table1[[#This Row],[Discount Name]]))</f>
        <v>9.9</v>
      </c>
      <c r="O165" s="2">
        <f ca="1">Table1[[#This Row],[2026 (DKK)]]*(1-INDIRECT(Table1[[#This Row],[Discount Name]]))</f>
        <v>73.900000000000006</v>
      </c>
      <c r="P165" s="2" cm="1">
        <f t="array" aca="1" ref="P165" ca="1">Table1[[#This Row],[2026 (USD)]]*(1-INDIRECT(Table1[[#This Row],[Discount Name]]))</f>
        <v>10.9</v>
      </c>
      <c r="Q165" s="31">
        <f ca="1">INDIRECT(Table1[[#This Row],[Discount Name]])</f>
        <v>0</v>
      </c>
      <c r="S165" s="2">
        <f t="shared" ca="1" si="4"/>
        <v>9.9</v>
      </c>
      <c r="T165" s="2">
        <f t="shared" ca="1" si="5"/>
        <v>73.900000000000006</v>
      </c>
      <c r="U165" s="71" t="str">
        <f>IFERROR(VLOOKUP(Table1[[#This Row],[No_]],'Customer Net Price'!A:F,5,FALSE),"0")</f>
        <v>0</v>
      </c>
      <c r="V165" s="71" t="str">
        <f>IFERROR(VLOOKUP(Table1[[#This Row],[No_]],'Customer Net Price'!A:G,6,FALSE),"0")</f>
        <v>0</v>
      </c>
    </row>
    <row r="166" spans="1:22" x14ac:dyDescent="0.25">
      <c r="A166" s="23" t="s">
        <v>710</v>
      </c>
      <c r="B166" s="23" t="s">
        <v>710</v>
      </c>
      <c r="C166" t="s">
        <v>711</v>
      </c>
      <c r="D166" t="s">
        <v>1778</v>
      </c>
      <c r="E166" t="s">
        <v>546</v>
      </c>
      <c r="F166" t="s">
        <v>918</v>
      </c>
      <c r="G166" t="s">
        <v>923</v>
      </c>
      <c r="H166" s="1" t="s">
        <v>853</v>
      </c>
      <c r="I166" t="s">
        <v>546</v>
      </c>
      <c r="J166" t="s">
        <v>546</v>
      </c>
      <c r="K166" s="2">
        <v>16.100000000000001</v>
      </c>
      <c r="L166" s="2">
        <v>119.9</v>
      </c>
      <c r="M166" s="2">
        <v>17.899999999999999</v>
      </c>
      <c r="N166" s="2">
        <f ca="1">Table1[[#This Row],[2026 (EUR)]]*(1-INDIRECT(Table1[[#This Row],[Discount Name]]))</f>
        <v>16.100000000000001</v>
      </c>
      <c r="O166" s="2">
        <f ca="1">Table1[[#This Row],[2026 (DKK)]]*(1-INDIRECT(Table1[[#This Row],[Discount Name]]))</f>
        <v>119.9</v>
      </c>
      <c r="P166" s="2" cm="1">
        <f t="array" aca="1" ref="P166" ca="1">Table1[[#This Row],[2026 (USD)]]*(1-INDIRECT(Table1[[#This Row],[Discount Name]]))</f>
        <v>17.899999999999999</v>
      </c>
      <c r="Q166" s="31">
        <f ca="1">INDIRECT(Table1[[#This Row],[Discount Name]])</f>
        <v>0</v>
      </c>
      <c r="S166" s="2">
        <f t="shared" ca="1" si="4"/>
        <v>16.100000000000001</v>
      </c>
      <c r="T166" s="2">
        <f t="shared" ca="1" si="5"/>
        <v>119.9</v>
      </c>
      <c r="U166" s="71" t="str">
        <f>IFERROR(VLOOKUP(Table1[[#This Row],[No_]],'Customer Net Price'!A:F,5,FALSE),"0")</f>
        <v>0</v>
      </c>
      <c r="V166" s="71" t="str">
        <f>IFERROR(VLOOKUP(Table1[[#This Row],[No_]],'Customer Net Price'!A:G,6,FALSE),"0")</f>
        <v>0</v>
      </c>
    </row>
    <row r="167" spans="1:22" x14ac:dyDescent="0.25">
      <c r="A167" s="23" t="s">
        <v>712</v>
      </c>
      <c r="B167" s="23" t="s">
        <v>712</v>
      </c>
      <c r="C167" t="s">
        <v>713</v>
      </c>
      <c r="D167" t="s">
        <v>1778</v>
      </c>
      <c r="E167" t="s">
        <v>546</v>
      </c>
      <c r="F167" t="s">
        <v>918</v>
      </c>
      <c r="G167" t="s">
        <v>923</v>
      </c>
      <c r="H167" s="1" t="s">
        <v>854</v>
      </c>
      <c r="I167" t="s">
        <v>546</v>
      </c>
      <c r="J167" t="s">
        <v>546</v>
      </c>
      <c r="K167" s="2">
        <v>19.3</v>
      </c>
      <c r="L167" s="2">
        <v>143.9</v>
      </c>
      <c r="M167" s="2">
        <v>21.9</v>
      </c>
      <c r="N167" s="2">
        <f ca="1">Table1[[#This Row],[2026 (EUR)]]*(1-INDIRECT(Table1[[#This Row],[Discount Name]]))</f>
        <v>19.3</v>
      </c>
      <c r="O167" s="2">
        <f ca="1">Table1[[#This Row],[2026 (DKK)]]*(1-INDIRECT(Table1[[#This Row],[Discount Name]]))</f>
        <v>143.9</v>
      </c>
      <c r="P167" s="2" cm="1">
        <f t="array" aca="1" ref="P167" ca="1">Table1[[#This Row],[2026 (USD)]]*(1-INDIRECT(Table1[[#This Row],[Discount Name]]))</f>
        <v>21.9</v>
      </c>
      <c r="Q167" s="31">
        <f ca="1">INDIRECT(Table1[[#This Row],[Discount Name]])</f>
        <v>0</v>
      </c>
      <c r="S167" s="2">
        <f t="shared" ca="1" si="4"/>
        <v>19.3</v>
      </c>
      <c r="T167" s="2">
        <f t="shared" ca="1" si="5"/>
        <v>143.9</v>
      </c>
      <c r="U167" s="71" t="str">
        <f>IFERROR(VLOOKUP(Table1[[#This Row],[No_]],'Customer Net Price'!A:F,5,FALSE),"0")</f>
        <v>0</v>
      </c>
      <c r="V167" s="71" t="str">
        <f>IFERROR(VLOOKUP(Table1[[#This Row],[No_]],'Customer Net Price'!A:G,6,FALSE),"0")</f>
        <v>0</v>
      </c>
    </row>
    <row r="168" spans="1:22" x14ac:dyDescent="0.25">
      <c r="A168" s="23" t="s">
        <v>953</v>
      </c>
      <c r="B168" s="23" t="s">
        <v>953</v>
      </c>
      <c r="C168" t="s">
        <v>968</v>
      </c>
      <c r="D168" t="s">
        <v>1778</v>
      </c>
      <c r="E168" t="s">
        <v>546</v>
      </c>
      <c r="F168" t="s">
        <v>918</v>
      </c>
      <c r="G168" t="s">
        <v>923</v>
      </c>
      <c r="H168" s="1" t="s">
        <v>1073</v>
      </c>
      <c r="I168" t="s">
        <v>546</v>
      </c>
      <c r="J168" t="s">
        <v>546</v>
      </c>
      <c r="K168" s="2">
        <v>26.9</v>
      </c>
      <c r="L168" s="2">
        <v>199.9</v>
      </c>
      <c r="M168" s="2">
        <v>29.9</v>
      </c>
      <c r="N168" s="2">
        <f ca="1">Table1[[#This Row],[2026 (EUR)]]*(1-INDIRECT(Table1[[#This Row],[Discount Name]]))</f>
        <v>26.9</v>
      </c>
      <c r="O168" s="2">
        <f ca="1">Table1[[#This Row],[2026 (DKK)]]*(1-INDIRECT(Table1[[#This Row],[Discount Name]]))</f>
        <v>199.9</v>
      </c>
      <c r="P168" s="2" cm="1">
        <f t="array" aca="1" ref="P168" ca="1">Table1[[#This Row],[2026 (USD)]]*(1-INDIRECT(Table1[[#This Row],[Discount Name]]))</f>
        <v>29.9</v>
      </c>
      <c r="Q168" s="31">
        <f ca="1">INDIRECT(Table1[[#This Row],[Discount Name]])</f>
        <v>0</v>
      </c>
      <c r="S168" s="2">
        <f t="shared" ca="1" si="4"/>
        <v>26.9</v>
      </c>
      <c r="T168" s="2">
        <f t="shared" ca="1" si="5"/>
        <v>199.9</v>
      </c>
      <c r="U168" s="71" t="str">
        <f>IFERROR(VLOOKUP(Table1[[#This Row],[No_]],'Customer Net Price'!A:F,5,FALSE),"0")</f>
        <v>0</v>
      </c>
      <c r="V168" s="71" t="str">
        <f>IFERROR(VLOOKUP(Table1[[#This Row],[No_]],'Customer Net Price'!A:G,6,FALSE),"0")</f>
        <v>0</v>
      </c>
    </row>
    <row r="169" spans="1:22" x14ac:dyDescent="0.25">
      <c r="A169" s="23" t="s">
        <v>51</v>
      </c>
      <c r="B169" s="23" t="s">
        <v>51</v>
      </c>
      <c r="C169" t="s">
        <v>714</v>
      </c>
      <c r="D169" t="s">
        <v>310</v>
      </c>
      <c r="E169" t="s">
        <v>546</v>
      </c>
      <c r="F169" t="s">
        <v>918</v>
      </c>
      <c r="G169" t="s">
        <v>923</v>
      </c>
      <c r="H169" s="1" t="s">
        <v>402</v>
      </c>
      <c r="I169">
        <v>1</v>
      </c>
      <c r="J169" t="s">
        <v>546</v>
      </c>
      <c r="K169" s="2">
        <v>31.9</v>
      </c>
      <c r="L169" s="2">
        <v>234.9</v>
      </c>
      <c r="M169" s="2">
        <v>36.9</v>
      </c>
      <c r="N169" s="2">
        <f ca="1">Table1[[#This Row],[2026 (EUR)]]*(1-INDIRECT(Table1[[#This Row],[Discount Name]]))</f>
        <v>31.9</v>
      </c>
      <c r="O169" s="2">
        <f ca="1">Table1[[#This Row],[2026 (DKK)]]*(1-INDIRECT(Table1[[#This Row],[Discount Name]]))</f>
        <v>234.9</v>
      </c>
      <c r="P169" s="2" cm="1">
        <f t="array" aca="1" ref="P169" ca="1">Table1[[#This Row],[2026 (USD)]]*(1-INDIRECT(Table1[[#This Row],[Discount Name]]))</f>
        <v>36.9</v>
      </c>
      <c r="Q169" s="31">
        <f ca="1">INDIRECT(Table1[[#This Row],[Discount Name]])</f>
        <v>0</v>
      </c>
      <c r="S169" s="2">
        <f t="shared" ca="1" si="4"/>
        <v>31.9</v>
      </c>
      <c r="T169" s="2">
        <f t="shared" ca="1" si="5"/>
        <v>234.9</v>
      </c>
      <c r="U169" s="71" t="str">
        <f>IFERROR(VLOOKUP(Table1[[#This Row],[No_]],'Customer Net Price'!A:F,5,FALSE),"0")</f>
        <v>0</v>
      </c>
      <c r="V169" s="71" t="str">
        <f>IFERROR(VLOOKUP(Table1[[#This Row],[No_]],'Customer Net Price'!A:G,6,FALSE),"0")</f>
        <v>0</v>
      </c>
    </row>
    <row r="170" spans="1:22" x14ac:dyDescent="0.25">
      <c r="A170" s="23" t="s">
        <v>52</v>
      </c>
      <c r="B170" s="23" t="s">
        <v>52</v>
      </c>
      <c r="C170" t="s">
        <v>715</v>
      </c>
      <c r="D170" t="s">
        <v>310</v>
      </c>
      <c r="E170" t="s">
        <v>546</v>
      </c>
      <c r="F170" t="s">
        <v>918</v>
      </c>
      <c r="G170" t="s">
        <v>923</v>
      </c>
      <c r="H170" s="1" t="s">
        <v>403</v>
      </c>
      <c r="I170">
        <v>1</v>
      </c>
      <c r="J170" t="s">
        <v>546</v>
      </c>
      <c r="K170" s="2">
        <v>54.9</v>
      </c>
      <c r="L170" s="2">
        <v>399.9</v>
      </c>
      <c r="M170" s="2">
        <v>61.9</v>
      </c>
      <c r="N170" s="2">
        <f ca="1">Table1[[#This Row],[2026 (EUR)]]*(1-INDIRECT(Table1[[#This Row],[Discount Name]]))</f>
        <v>54.9</v>
      </c>
      <c r="O170" s="2">
        <f ca="1">Table1[[#This Row],[2026 (DKK)]]*(1-INDIRECT(Table1[[#This Row],[Discount Name]]))</f>
        <v>399.9</v>
      </c>
      <c r="P170" s="2" cm="1">
        <f t="array" aca="1" ref="P170" ca="1">Table1[[#This Row],[2026 (USD)]]*(1-INDIRECT(Table1[[#This Row],[Discount Name]]))</f>
        <v>61.9</v>
      </c>
      <c r="Q170" s="31">
        <f ca="1">INDIRECT(Table1[[#This Row],[Discount Name]])</f>
        <v>0</v>
      </c>
      <c r="S170" s="2">
        <f t="shared" ca="1" si="4"/>
        <v>54.9</v>
      </c>
      <c r="T170" s="2">
        <f t="shared" ca="1" si="5"/>
        <v>399.9</v>
      </c>
      <c r="U170" s="71" t="str">
        <f>IFERROR(VLOOKUP(Table1[[#This Row],[No_]],'Customer Net Price'!A:F,5,FALSE),"0")</f>
        <v>0</v>
      </c>
      <c r="V170" s="71" t="str">
        <f>IFERROR(VLOOKUP(Table1[[#This Row],[No_]],'Customer Net Price'!A:G,6,FALSE),"0")</f>
        <v>0</v>
      </c>
    </row>
    <row r="171" spans="1:22" x14ac:dyDescent="0.25">
      <c r="A171" s="23" t="s">
        <v>716</v>
      </c>
      <c r="B171" s="23" t="s">
        <v>716</v>
      </c>
      <c r="C171" t="s">
        <v>717</v>
      </c>
      <c r="D171" t="s">
        <v>1778</v>
      </c>
      <c r="E171" t="s">
        <v>546</v>
      </c>
      <c r="F171" t="s">
        <v>918</v>
      </c>
      <c r="G171" t="s">
        <v>923</v>
      </c>
      <c r="H171" s="1" t="s">
        <v>855</v>
      </c>
      <c r="I171" t="s">
        <v>546</v>
      </c>
      <c r="J171" t="s">
        <v>546</v>
      </c>
      <c r="K171" s="2">
        <v>6.3999999999999995</v>
      </c>
      <c r="L171" s="2">
        <v>47.9</v>
      </c>
      <c r="M171" s="2">
        <v>6.9</v>
      </c>
      <c r="N171" s="2">
        <f ca="1">Table1[[#This Row],[2026 (EUR)]]*(1-INDIRECT(Table1[[#This Row],[Discount Name]]))</f>
        <v>6.3999999999999995</v>
      </c>
      <c r="O171" s="2">
        <f ca="1">Table1[[#This Row],[2026 (DKK)]]*(1-INDIRECT(Table1[[#This Row],[Discount Name]]))</f>
        <v>47.9</v>
      </c>
      <c r="P171" s="2" cm="1">
        <f t="array" aca="1" ref="P171" ca="1">Table1[[#This Row],[2026 (USD)]]*(1-INDIRECT(Table1[[#This Row],[Discount Name]]))</f>
        <v>6.9</v>
      </c>
      <c r="Q171" s="31">
        <f ca="1">INDIRECT(Table1[[#This Row],[Discount Name]])</f>
        <v>0</v>
      </c>
      <c r="S171" s="2">
        <f t="shared" ca="1" si="4"/>
        <v>6.3999999999999995</v>
      </c>
      <c r="T171" s="2">
        <f t="shared" ca="1" si="5"/>
        <v>47.9</v>
      </c>
      <c r="U171" s="71" t="str">
        <f>IFERROR(VLOOKUP(Table1[[#This Row],[No_]],'Customer Net Price'!A:F,5,FALSE),"0")</f>
        <v>0</v>
      </c>
      <c r="V171" s="71" t="str">
        <f>IFERROR(VLOOKUP(Table1[[#This Row],[No_]],'Customer Net Price'!A:G,6,FALSE),"0")</f>
        <v>0</v>
      </c>
    </row>
    <row r="172" spans="1:22" x14ac:dyDescent="0.25">
      <c r="A172" s="23" t="s">
        <v>718</v>
      </c>
      <c r="B172" s="23" t="s">
        <v>718</v>
      </c>
      <c r="C172" t="s">
        <v>719</v>
      </c>
      <c r="D172" t="s">
        <v>1778</v>
      </c>
      <c r="E172" t="s">
        <v>546</v>
      </c>
      <c r="F172" t="s">
        <v>918</v>
      </c>
      <c r="G172" t="s">
        <v>923</v>
      </c>
      <c r="H172" s="1" t="s">
        <v>856</v>
      </c>
      <c r="I172" t="s">
        <v>546</v>
      </c>
      <c r="J172" t="s">
        <v>546</v>
      </c>
      <c r="K172" s="2">
        <v>39.9</v>
      </c>
      <c r="L172" s="2">
        <v>296.89999999999998</v>
      </c>
      <c r="M172" s="2">
        <v>43.9</v>
      </c>
      <c r="N172" s="2">
        <f ca="1">Table1[[#This Row],[2026 (EUR)]]*(1-INDIRECT(Table1[[#This Row],[Discount Name]]))</f>
        <v>39.9</v>
      </c>
      <c r="O172" s="2">
        <f ca="1">Table1[[#This Row],[2026 (DKK)]]*(1-INDIRECT(Table1[[#This Row],[Discount Name]]))</f>
        <v>296.89999999999998</v>
      </c>
      <c r="P172" s="2" cm="1">
        <f t="array" aca="1" ref="P172" ca="1">Table1[[#This Row],[2026 (USD)]]*(1-INDIRECT(Table1[[#This Row],[Discount Name]]))</f>
        <v>43.9</v>
      </c>
      <c r="Q172" s="31">
        <f ca="1">INDIRECT(Table1[[#This Row],[Discount Name]])</f>
        <v>0</v>
      </c>
      <c r="S172" s="2">
        <f t="shared" ca="1" si="4"/>
        <v>39.9</v>
      </c>
      <c r="T172" s="2">
        <f t="shared" ca="1" si="5"/>
        <v>296.89999999999998</v>
      </c>
      <c r="U172" s="71" t="str">
        <f>IFERROR(VLOOKUP(Table1[[#This Row],[No_]],'Customer Net Price'!A:F,5,FALSE),"0")</f>
        <v>0</v>
      </c>
      <c r="V172" s="71" t="str">
        <f>IFERROR(VLOOKUP(Table1[[#This Row],[No_]],'Customer Net Price'!A:G,6,FALSE),"0")</f>
        <v>0</v>
      </c>
    </row>
    <row r="173" spans="1:22" x14ac:dyDescent="0.25">
      <c r="A173" s="23" t="s">
        <v>720</v>
      </c>
      <c r="B173" s="23" t="s">
        <v>720</v>
      </c>
      <c r="C173" t="s">
        <v>721</v>
      </c>
      <c r="D173" t="s">
        <v>1778</v>
      </c>
      <c r="E173" t="s">
        <v>546</v>
      </c>
      <c r="F173" t="s">
        <v>918</v>
      </c>
      <c r="G173" t="s">
        <v>923</v>
      </c>
      <c r="H173" s="1" t="s">
        <v>857</v>
      </c>
      <c r="I173" t="s">
        <v>546</v>
      </c>
      <c r="J173" t="s">
        <v>546</v>
      </c>
      <c r="K173" s="2">
        <v>18.3</v>
      </c>
      <c r="L173" s="2">
        <v>135.9</v>
      </c>
      <c r="M173" s="2">
        <v>20.9</v>
      </c>
      <c r="N173" s="2">
        <f ca="1">Table1[[#This Row],[2026 (EUR)]]*(1-INDIRECT(Table1[[#This Row],[Discount Name]]))</f>
        <v>18.3</v>
      </c>
      <c r="O173" s="2">
        <f ca="1">Table1[[#This Row],[2026 (DKK)]]*(1-INDIRECT(Table1[[#This Row],[Discount Name]]))</f>
        <v>135.9</v>
      </c>
      <c r="P173" s="2" cm="1">
        <f t="array" aca="1" ref="P173" ca="1">Table1[[#This Row],[2026 (USD)]]*(1-INDIRECT(Table1[[#This Row],[Discount Name]]))</f>
        <v>20.9</v>
      </c>
      <c r="Q173" s="31">
        <f ca="1">INDIRECT(Table1[[#This Row],[Discount Name]])</f>
        <v>0</v>
      </c>
      <c r="S173" s="2">
        <f t="shared" ca="1" si="4"/>
        <v>18.3</v>
      </c>
      <c r="T173" s="2">
        <f t="shared" ca="1" si="5"/>
        <v>135.9</v>
      </c>
      <c r="U173" s="71" t="str">
        <f>IFERROR(VLOOKUP(Table1[[#This Row],[No_]],'Customer Net Price'!A:F,5,FALSE),"0")</f>
        <v>0</v>
      </c>
      <c r="V173" s="71" t="str">
        <f>IFERROR(VLOOKUP(Table1[[#This Row],[No_]],'Customer Net Price'!A:G,6,FALSE),"0")</f>
        <v>0</v>
      </c>
    </row>
    <row r="174" spans="1:22" x14ac:dyDescent="0.25">
      <c r="A174" s="23" t="s">
        <v>722</v>
      </c>
      <c r="B174" s="23" t="s">
        <v>722</v>
      </c>
      <c r="C174" t="s">
        <v>723</v>
      </c>
      <c r="D174" t="s">
        <v>1778</v>
      </c>
      <c r="E174" t="s">
        <v>546</v>
      </c>
      <c r="F174" t="s">
        <v>918</v>
      </c>
      <c r="G174" t="s">
        <v>923</v>
      </c>
      <c r="H174" s="1" t="s">
        <v>858</v>
      </c>
      <c r="I174" t="s">
        <v>546</v>
      </c>
      <c r="J174" t="s">
        <v>546</v>
      </c>
      <c r="K174" s="2">
        <v>3.8000000000000003</v>
      </c>
      <c r="L174" s="2">
        <v>27.9</v>
      </c>
      <c r="M174" s="2">
        <v>4.09</v>
      </c>
      <c r="N174" s="2">
        <f ca="1">Table1[[#This Row],[2026 (EUR)]]*(1-INDIRECT(Table1[[#This Row],[Discount Name]]))</f>
        <v>3.8000000000000003</v>
      </c>
      <c r="O174" s="2">
        <f ca="1">Table1[[#This Row],[2026 (DKK)]]*(1-INDIRECT(Table1[[#This Row],[Discount Name]]))</f>
        <v>27.9</v>
      </c>
      <c r="P174" s="2" cm="1">
        <f t="array" aca="1" ref="P174" ca="1">Table1[[#This Row],[2026 (USD)]]*(1-INDIRECT(Table1[[#This Row],[Discount Name]]))</f>
        <v>4.09</v>
      </c>
      <c r="Q174" s="31">
        <f ca="1">INDIRECT(Table1[[#This Row],[Discount Name]])</f>
        <v>0</v>
      </c>
      <c r="S174" s="2">
        <f t="shared" ca="1" si="4"/>
        <v>3.8000000000000003</v>
      </c>
      <c r="T174" s="2">
        <f t="shared" ca="1" si="5"/>
        <v>27.9</v>
      </c>
      <c r="U174" s="71" t="str">
        <f>IFERROR(VLOOKUP(Table1[[#This Row],[No_]],'Customer Net Price'!A:F,5,FALSE),"0")</f>
        <v>0</v>
      </c>
      <c r="V174" s="71" t="str">
        <f>IFERROR(VLOOKUP(Table1[[#This Row],[No_]],'Customer Net Price'!A:G,6,FALSE),"0")</f>
        <v>0</v>
      </c>
    </row>
    <row r="175" spans="1:22" x14ac:dyDescent="0.25">
      <c r="A175" s="23" t="s">
        <v>724</v>
      </c>
      <c r="B175" s="23" t="s">
        <v>724</v>
      </c>
      <c r="C175" t="s">
        <v>725</v>
      </c>
      <c r="D175" t="s">
        <v>1778</v>
      </c>
      <c r="E175" t="s">
        <v>546</v>
      </c>
      <c r="F175" t="s">
        <v>918</v>
      </c>
      <c r="G175" t="s">
        <v>923</v>
      </c>
      <c r="H175" s="1" t="s">
        <v>859</v>
      </c>
      <c r="I175" t="s">
        <v>546</v>
      </c>
      <c r="J175" t="s">
        <v>546</v>
      </c>
      <c r="K175" s="2">
        <v>7.3999999999999995</v>
      </c>
      <c r="L175" s="2">
        <v>54.9</v>
      </c>
      <c r="M175" s="2">
        <v>7.9</v>
      </c>
      <c r="N175" s="2">
        <f ca="1">Table1[[#This Row],[2026 (EUR)]]*(1-INDIRECT(Table1[[#This Row],[Discount Name]]))</f>
        <v>7.3999999999999995</v>
      </c>
      <c r="O175" s="2">
        <f ca="1">Table1[[#This Row],[2026 (DKK)]]*(1-INDIRECT(Table1[[#This Row],[Discount Name]]))</f>
        <v>54.9</v>
      </c>
      <c r="P175" s="2" cm="1">
        <f t="array" aca="1" ref="P175" ca="1">Table1[[#This Row],[2026 (USD)]]*(1-INDIRECT(Table1[[#This Row],[Discount Name]]))</f>
        <v>7.9</v>
      </c>
      <c r="Q175" s="31">
        <f ca="1">INDIRECT(Table1[[#This Row],[Discount Name]])</f>
        <v>0</v>
      </c>
      <c r="S175" s="2">
        <f t="shared" ca="1" si="4"/>
        <v>7.3999999999999995</v>
      </c>
      <c r="T175" s="2">
        <f t="shared" ca="1" si="5"/>
        <v>54.9</v>
      </c>
      <c r="U175" s="71" t="str">
        <f>IFERROR(VLOOKUP(Table1[[#This Row],[No_]],'Customer Net Price'!A:F,5,FALSE),"0")</f>
        <v>0</v>
      </c>
      <c r="V175" s="71" t="str">
        <f>IFERROR(VLOOKUP(Table1[[#This Row],[No_]],'Customer Net Price'!A:G,6,FALSE),"0")</f>
        <v>0</v>
      </c>
    </row>
    <row r="176" spans="1:22" x14ac:dyDescent="0.25">
      <c r="A176" s="23" t="s">
        <v>726</v>
      </c>
      <c r="B176" s="23" t="s">
        <v>726</v>
      </c>
      <c r="C176" t="s">
        <v>727</v>
      </c>
      <c r="D176" t="s">
        <v>1778</v>
      </c>
      <c r="E176" t="s">
        <v>546</v>
      </c>
      <c r="F176" t="s">
        <v>918</v>
      </c>
      <c r="G176" t="s">
        <v>923</v>
      </c>
      <c r="H176" s="1" t="s">
        <v>860</v>
      </c>
      <c r="I176" t="s">
        <v>546</v>
      </c>
      <c r="J176" t="s">
        <v>546</v>
      </c>
      <c r="K176" s="2">
        <v>8.9</v>
      </c>
      <c r="L176" s="2">
        <v>65.900000000000006</v>
      </c>
      <c r="M176" s="2">
        <v>9.9</v>
      </c>
      <c r="N176" s="2">
        <f ca="1">Table1[[#This Row],[2026 (EUR)]]*(1-INDIRECT(Table1[[#This Row],[Discount Name]]))</f>
        <v>8.9</v>
      </c>
      <c r="O176" s="2">
        <f ca="1">Table1[[#This Row],[2026 (DKK)]]*(1-INDIRECT(Table1[[#This Row],[Discount Name]]))</f>
        <v>65.900000000000006</v>
      </c>
      <c r="P176" s="2" cm="1">
        <f t="array" aca="1" ref="P176" ca="1">Table1[[#This Row],[2026 (USD)]]*(1-INDIRECT(Table1[[#This Row],[Discount Name]]))</f>
        <v>9.9</v>
      </c>
      <c r="Q176" s="31">
        <f ca="1">INDIRECT(Table1[[#This Row],[Discount Name]])</f>
        <v>0</v>
      </c>
      <c r="S176" s="2">
        <f t="shared" ca="1" si="4"/>
        <v>8.9</v>
      </c>
      <c r="T176" s="2">
        <f t="shared" ca="1" si="5"/>
        <v>65.900000000000006</v>
      </c>
      <c r="U176" s="71" t="str">
        <f>IFERROR(VLOOKUP(Table1[[#This Row],[No_]],'Customer Net Price'!A:F,5,FALSE),"0")</f>
        <v>0</v>
      </c>
      <c r="V176" s="71" t="str">
        <f>IFERROR(VLOOKUP(Table1[[#This Row],[No_]],'Customer Net Price'!A:G,6,FALSE),"0")</f>
        <v>0</v>
      </c>
    </row>
    <row r="177" spans="1:22" x14ac:dyDescent="0.25">
      <c r="A177" s="23" t="s">
        <v>37</v>
      </c>
      <c r="B177" s="23" t="s">
        <v>37</v>
      </c>
      <c r="C177" t="s">
        <v>199</v>
      </c>
      <c r="D177" t="s">
        <v>305</v>
      </c>
      <c r="E177" t="s">
        <v>199</v>
      </c>
      <c r="F177" t="s">
        <v>916</v>
      </c>
      <c r="G177" t="s">
        <v>916</v>
      </c>
      <c r="H177" s="1" t="s">
        <v>359</v>
      </c>
      <c r="I177">
        <v>24</v>
      </c>
      <c r="J177" t="s">
        <v>546</v>
      </c>
      <c r="K177" s="2">
        <v>52.899999999999991</v>
      </c>
      <c r="L177" s="2">
        <v>389.9</v>
      </c>
      <c r="M177" s="2">
        <v>61.9</v>
      </c>
      <c r="N177" s="2">
        <f ca="1">Table1[[#This Row],[2026 (EUR)]]*(1-INDIRECT(Table1[[#This Row],[Discount Name]]))</f>
        <v>52.899999999999991</v>
      </c>
      <c r="O177" s="2">
        <f ca="1">Table1[[#This Row],[2026 (DKK)]]*(1-INDIRECT(Table1[[#This Row],[Discount Name]]))</f>
        <v>389.9</v>
      </c>
      <c r="P177" s="2" cm="1">
        <f t="array" aca="1" ref="P177" ca="1">Table1[[#This Row],[2026 (USD)]]*(1-INDIRECT(Table1[[#This Row],[Discount Name]]))</f>
        <v>61.9</v>
      </c>
      <c r="Q177" s="31">
        <f ca="1">INDIRECT(Table1[[#This Row],[Discount Name]])</f>
        <v>0</v>
      </c>
      <c r="S177" s="2">
        <f t="shared" ca="1" si="4"/>
        <v>52.899999999999991</v>
      </c>
      <c r="T177" s="2">
        <f t="shared" ca="1" si="5"/>
        <v>389.9</v>
      </c>
      <c r="U177" s="71" t="str">
        <f>IFERROR(VLOOKUP(Table1[[#This Row],[No_]],'Customer Net Price'!A:F,5,FALSE),"0")</f>
        <v>0</v>
      </c>
      <c r="V177" s="71" t="str">
        <f>IFERROR(VLOOKUP(Table1[[#This Row],[No_]],'Customer Net Price'!A:G,6,FALSE),"0")</f>
        <v>0</v>
      </c>
    </row>
    <row r="178" spans="1:22" x14ac:dyDescent="0.25">
      <c r="A178" s="23" t="s">
        <v>29</v>
      </c>
      <c r="B178" s="23" t="s">
        <v>29</v>
      </c>
      <c r="C178" t="s">
        <v>201</v>
      </c>
      <c r="D178" t="s">
        <v>305</v>
      </c>
      <c r="E178" t="s">
        <v>481</v>
      </c>
      <c r="F178" t="s">
        <v>916</v>
      </c>
      <c r="G178" t="s">
        <v>916</v>
      </c>
      <c r="H178" s="1" t="s">
        <v>360</v>
      </c>
      <c r="I178">
        <v>12</v>
      </c>
      <c r="J178" t="s">
        <v>572</v>
      </c>
      <c r="K178" s="2">
        <v>61.900000000000006</v>
      </c>
      <c r="L178" s="2">
        <v>459.90000000000003</v>
      </c>
      <c r="M178" s="2">
        <v>74.900000000000006</v>
      </c>
      <c r="N178" s="2">
        <f ca="1">Table1[[#This Row],[2026 (EUR)]]*(1-INDIRECT(Table1[[#This Row],[Discount Name]]))</f>
        <v>61.900000000000006</v>
      </c>
      <c r="O178" s="2">
        <f ca="1">Table1[[#This Row],[2026 (DKK)]]*(1-INDIRECT(Table1[[#This Row],[Discount Name]]))</f>
        <v>459.90000000000003</v>
      </c>
      <c r="P178" s="2" cm="1">
        <f t="array" aca="1" ref="P178" ca="1">Table1[[#This Row],[2026 (USD)]]*(1-INDIRECT(Table1[[#This Row],[Discount Name]]))</f>
        <v>74.900000000000006</v>
      </c>
      <c r="Q178" s="31">
        <f ca="1">INDIRECT(Table1[[#This Row],[Discount Name]])</f>
        <v>0</v>
      </c>
      <c r="S178" s="2">
        <f t="shared" ca="1" si="4"/>
        <v>61.900000000000006</v>
      </c>
      <c r="T178" s="2">
        <f t="shared" ca="1" si="5"/>
        <v>459.90000000000003</v>
      </c>
      <c r="U178" s="71" t="str">
        <f>IFERROR(VLOOKUP(Table1[[#This Row],[No_]],'Customer Net Price'!A:F,5,FALSE),"0")</f>
        <v>0</v>
      </c>
      <c r="V178" s="71" t="str">
        <f>IFERROR(VLOOKUP(Table1[[#This Row],[No_]],'Customer Net Price'!A:G,6,FALSE),"0")</f>
        <v>0</v>
      </c>
    </row>
    <row r="179" spans="1:22" x14ac:dyDescent="0.25">
      <c r="A179" s="23" t="s">
        <v>728</v>
      </c>
      <c r="B179" s="23" t="s">
        <v>29</v>
      </c>
      <c r="C179" t="s">
        <v>201</v>
      </c>
      <c r="D179" t="s">
        <v>305</v>
      </c>
      <c r="E179" t="s">
        <v>481</v>
      </c>
      <c r="F179" t="s">
        <v>916</v>
      </c>
      <c r="G179" t="s">
        <v>916</v>
      </c>
      <c r="H179" s="1" t="s">
        <v>729</v>
      </c>
      <c r="I179">
        <v>12</v>
      </c>
      <c r="J179" t="s">
        <v>575</v>
      </c>
      <c r="K179" s="2">
        <v>61.900000000000006</v>
      </c>
      <c r="L179" s="2">
        <v>459.90000000000003</v>
      </c>
      <c r="M179" s="2">
        <v>74.900000000000006</v>
      </c>
      <c r="N179" s="2">
        <f ca="1">Table1[[#This Row],[2026 (EUR)]]*(1-INDIRECT(Table1[[#This Row],[Discount Name]]))</f>
        <v>61.900000000000006</v>
      </c>
      <c r="O179" s="2">
        <f ca="1">Table1[[#This Row],[2026 (DKK)]]*(1-INDIRECT(Table1[[#This Row],[Discount Name]]))</f>
        <v>459.90000000000003</v>
      </c>
      <c r="P179" s="2" cm="1">
        <f t="array" aca="1" ref="P179" ca="1">Table1[[#This Row],[2026 (USD)]]*(1-INDIRECT(Table1[[#This Row],[Discount Name]]))</f>
        <v>74.900000000000006</v>
      </c>
      <c r="Q179" s="31">
        <f ca="1">INDIRECT(Table1[[#This Row],[Discount Name]])</f>
        <v>0</v>
      </c>
      <c r="S179" s="2">
        <f t="shared" ca="1" si="4"/>
        <v>61.900000000000006</v>
      </c>
      <c r="T179" s="2">
        <f t="shared" ca="1" si="5"/>
        <v>459.90000000000003</v>
      </c>
      <c r="U179" s="71" t="str">
        <f>IFERROR(VLOOKUP(Table1[[#This Row],[No_]],'Customer Net Price'!A:F,5,FALSE),"0")</f>
        <v>0</v>
      </c>
      <c r="V179" s="71" t="str">
        <f>IFERROR(VLOOKUP(Table1[[#This Row],[No_]],'Customer Net Price'!A:G,6,FALSE),"0")</f>
        <v>0</v>
      </c>
    </row>
    <row r="180" spans="1:22" x14ac:dyDescent="0.25">
      <c r="A180" s="23" t="s">
        <v>32</v>
      </c>
      <c r="B180" s="23" t="s">
        <v>32</v>
      </c>
      <c r="C180" t="s">
        <v>203</v>
      </c>
      <c r="D180" t="s">
        <v>305</v>
      </c>
      <c r="E180" t="s">
        <v>481</v>
      </c>
      <c r="F180" t="s">
        <v>916</v>
      </c>
      <c r="G180" t="s">
        <v>916</v>
      </c>
      <c r="H180" s="1" t="s">
        <v>362</v>
      </c>
      <c r="I180">
        <v>24</v>
      </c>
      <c r="J180" t="s">
        <v>546</v>
      </c>
      <c r="K180" s="2">
        <v>79.900000000000006</v>
      </c>
      <c r="L180" s="2">
        <v>589.9</v>
      </c>
      <c r="M180" s="2">
        <v>92.9</v>
      </c>
      <c r="N180" s="2">
        <f ca="1">Table1[[#This Row],[2026 (EUR)]]*(1-INDIRECT(Table1[[#This Row],[Discount Name]]))</f>
        <v>79.900000000000006</v>
      </c>
      <c r="O180" s="2">
        <f ca="1">Table1[[#This Row],[2026 (DKK)]]*(1-INDIRECT(Table1[[#This Row],[Discount Name]]))</f>
        <v>589.9</v>
      </c>
      <c r="P180" s="2" cm="1">
        <f t="array" aca="1" ref="P180" ca="1">Table1[[#This Row],[2026 (USD)]]*(1-INDIRECT(Table1[[#This Row],[Discount Name]]))</f>
        <v>92.9</v>
      </c>
      <c r="Q180" s="31">
        <f ca="1">INDIRECT(Table1[[#This Row],[Discount Name]])</f>
        <v>0</v>
      </c>
      <c r="S180" s="2">
        <f t="shared" ca="1" si="4"/>
        <v>79.900000000000006</v>
      </c>
      <c r="T180" s="2">
        <f t="shared" ca="1" si="5"/>
        <v>589.9</v>
      </c>
      <c r="U180" s="71" t="str">
        <f>IFERROR(VLOOKUP(Table1[[#This Row],[No_]],'Customer Net Price'!A:F,5,FALSE),"0")</f>
        <v>0</v>
      </c>
      <c r="V180" s="71" t="str">
        <f>IFERROR(VLOOKUP(Table1[[#This Row],[No_]],'Customer Net Price'!A:G,6,FALSE),"0")</f>
        <v>0</v>
      </c>
    </row>
    <row r="181" spans="1:22" x14ac:dyDescent="0.25">
      <c r="A181" s="23" t="s">
        <v>38</v>
      </c>
      <c r="B181" s="23" t="s">
        <v>38</v>
      </c>
      <c r="C181" t="s">
        <v>205</v>
      </c>
      <c r="D181" t="s">
        <v>310</v>
      </c>
      <c r="E181" t="s">
        <v>546</v>
      </c>
      <c r="F181" t="s">
        <v>918</v>
      </c>
      <c r="G181" t="s">
        <v>923</v>
      </c>
      <c r="H181" s="1" t="s">
        <v>404</v>
      </c>
      <c r="I181">
        <v>1</v>
      </c>
      <c r="J181" t="s">
        <v>546</v>
      </c>
      <c r="K181" s="2">
        <v>129.9</v>
      </c>
      <c r="L181" s="2">
        <v>966.9</v>
      </c>
      <c r="M181" s="2">
        <v>144.9</v>
      </c>
      <c r="N181" s="2">
        <f ca="1">Table1[[#This Row],[2026 (EUR)]]*(1-INDIRECT(Table1[[#This Row],[Discount Name]]))</f>
        <v>129.9</v>
      </c>
      <c r="O181" s="2">
        <f ca="1">Table1[[#This Row],[2026 (DKK)]]*(1-INDIRECT(Table1[[#This Row],[Discount Name]]))</f>
        <v>966.9</v>
      </c>
      <c r="P181" s="2" cm="1">
        <f t="array" aca="1" ref="P181" ca="1">Table1[[#This Row],[2026 (USD)]]*(1-INDIRECT(Table1[[#This Row],[Discount Name]]))</f>
        <v>144.9</v>
      </c>
      <c r="Q181" s="31">
        <f ca="1">INDIRECT(Table1[[#This Row],[Discount Name]])</f>
        <v>0</v>
      </c>
      <c r="S181" s="2">
        <f t="shared" ca="1" si="4"/>
        <v>129.9</v>
      </c>
      <c r="T181" s="2">
        <f t="shared" ca="1" si="5"/>
        <v>966.9</v>
      </c>
      <c r="U181" s="71" t="str">
        <f>IFERROR(VLOOKUP(Table1[[#This Row],[No_]],'Customer Net Price'!A:F,5,FALSE),"0")</f>
        <v>0</v>
      </c>
      <c r="V181" s="71" t="str">
        <f>IFERROR(VLOOKUP(Table1[[#This Row],[No_]],'Customer Net Price'!A:G,6,FALSE),"0")</f>
        <v>0</v>
      </c>
    </row>
    <row r="182" spans="1:22" x14ac:dyDescent="0.25">
      <c r="A182" s="23" t="s">
        <v>1641</v>
      </c>
      <c r="B182" s="23" t="s">
        <v>1641</v>
      </c>
      <c r="C182" t="s">
        <v>1642</v>
      </c>
      <c r="D182" t="s">
        <v>310</v>
      </c>
      <c r="E182" t="s">
        <v>546</v>
      </c>
      <c r="F182" t="s">
        <v>918</v>
      </c>
      <c r="G182" t="s">
        <v>923</v>
      </c>
      <c r="H182" s="48" t="s">
        <v>1643</v>
      </c>
      <c r="I182">
        <v>1</v>
      </c>
      <c r="J182" t="s">
        <v>546</v>
      </c>
      <c r="K182" s="2">
        <v>129.9</v>
      </c>
      <c r="L182" s="2">
        <v>966.9</v>
      </c>
      <c r="M182" s="2">
        <v>144.9</v>
      </c>
      <c r="N182" s="2">
        <f ca="1">Table1[[#This Row],[2026 (EUR)]]*(1-INDIRECT(Table1[[#This Row],[Discount Name]]))</f>
        <v>129.9</v>
      </c>
      <c r="O182" s="2">
        <f ca="1">Table1[[#This Row],[2026 (DKK)]]*(1-INDIRECT(Table1[[#This Row],[Discount Name]]))</f>
        <v>966.9</v>
      </c>
      <c r="P182" s="2" cm="1">
        <f t="array" aca="1" ref="P182" ca="1">Table1[[#This Row],[2026 (USD)]]*(1-INDIRECT(Table1[[#This Row],[Discount Name]]))</f>
        <v>144.9</v>
      </c>
      <c r="Q182" s="31">
        <f ca="1">INDIRECT(Table1[[#This Row],[Discount Name]])</f>
        <v>0</v>
      </c>
      <c r="S182" s="2">
        <f t="shared" ca="1" si="4"/>
        <v>129.9</v>
      </c>
      <c r="T182" s="2">
        <f t="shared" ca="1" si="5"/>
        <v>966.9</v>
      </c>
      <c r="U182" s="71" t="str">
        <f>IFERROR(VLOOKUP(Table1[[#This Row],[No_]],'Customer Net Price'!A:F,5,FALSE),"0")</f>
        <v>0</v>
      </c>
      <c r="V182" s="71" t="str">
        <f>IFERROR(VLOOKUP(Table1[[#This Row],[No_]],'Customer Net Price'!A:G,6,FALSE),"0")</f>
        <v>0</v>
      </c>
    </row>
    <row r="183" spans="1:22" x14ac:dyDescent="0.25">
      <c r="A183" s="23" t="s">
        <v>39</v>
      </c>
      <c r="B183" s="23" t="s">
        <v>39</v>
      </c>
      <c r="C183" t="s">
        <v>897</v>
      </c>
      <c r="D183" t="s">
        <v>305</v>
      </c>
      <c r="E183" t="s">
        <v>486</v>
      </c>
      <c r="F183" t="s">
        <v>918</v>
      </c>
      <c r="G183" t="s">
        <v>923</v>
      </c>
      <c r="H183" s="1" t="s">
        <v>367</v>
      </c>
      <c r="I183">
        <v>4</v>
      </c>
      <c r="J183" t="s">
        <v>572</v>
      </c>
      <c r="K183" s="2">
        <v>134.9</v>
      </c>
      <c r="L183" s="2">
        <v>999.9</v>
      </c>
      <c r="M183" s="2">
        <v>149.9</v>
      </c>
      <c r="N183" s="2">
        <f ca="1">Table1[[#This Row],[2026 (EUR)]]*(1-INDIRECT(Table1[[#This Row],[Discount Name]]))</f>
        <v>134.9</v>
      </c>
      <c r="O183" s="2">
        <f ca="1">Table1[[#This Row],[2026 (DKK)]]*(1-INDIRECT(Table1[[#This Row],[Discount Name]]))</f>
        <v>999.9</v>
      </c>
      <c r="P183" s="2" cm="1">
        <f t="array" aca="1" ref="P183" ca="1">Table1[[#This Row],[2026 (USD)]]*(1-INDIRECT(Table1[[#This Row],[Discount Name]]))</f>
        <v>149.9</v>
      </c>
      <c r="Q183" s="31">
        <f ca="1">INDIRECT(Table1[[#This Row],[Discount Name]])</f>
        <v>0</v>
      </c>
      <c r="S183" s="2">
        <f t="shared" ca="1" si="4"/>
        <v>134.9</v>
      </c>
      <c r="T183" s="2">
        <f t="shared" ca="1" si="5"/>
        <v>999.9</v>
      </c>
      <c r="U183" s="71" t="str">
        <f>IFERROR(VLOOKUP(Table1[[#This Row],[No_]],'Customer Net Price'!A:F,5,FALSE),"0")</f>
        <v>0</v>
      </c>
      <c r="V183" s="71" t="str">
        <f>IFERROR(VLOOKUP(Table1[[#This Row],[No_]],'Customer Net Price'!A:G,6,FALSE),"0")</f>
        <v>0</v>
      </c>
    </row>
    <row r="184" spans="1:22" x14ac:dyDescent="0.25">
      <c r="A184" s="23" t="s">
        <v>730</v>
      </c>
      <c r="B184" s="23" t="s">
        <v>39</v>
      </c>
      <c r="C184" t="s">
        <v>897</v>
      </c>
      <c r="D184" t="s">
        <v>305</v>
      </c>
      <c r="E184" t="s">
        <v>486</v>
      </c>
      <c r="F184" t="s">
        <v>918</v>
      </c>
      <c r="G184" t="s">
        <v>923</v>
      </c>
      <c r="H184" s="1" t="s">
        <v>731</v>
      </c>
      <c r="I184">
        <v>4</v>
      </c>
      <c r="J184" t="s">
        <v>575</v>
      </c>
      <c r="K184" s="2">
        <v>134.9</v>
      </c>
      <c r="L184" s="2">
        <v>999.9</v>
      </c>
      <c r="M184" s="2">
        <v>149.9</v>
      </c>
      <c r="N184" s="2">
        <f ca="1">Table1[[#This Row],[2026 (EUR)]]*(1-INDIRECT(Table1[[#This Row],[Discount Name]]))</f>
        <v>134.9</v>
      </c>
      <c r="O184" s="2">
        <f ca="1">Table1[[#This Row],[2026 (DKK)]]*(1-INDIRECT(Table1[[#This Row],[Discount Name]]))</f>
        <v>999.9</v>
      </c>
      <c r="P184" s="2" cm="1">
        <f t="array" aca="1" ref="P184" ca="1">Table1[[#This Row],[2026 (USD)]]*(1-INDIRECT(Table1[[#This Row],[Discount Name]]))</f>
        <v>149.9</v>
      </c>
      <c r="Q184" s="31">
        <f ca="1">INDIRECT(Table1[[#This Row],[Discount Name]])</f>
        <v>0</v>
      </c>
      <c r="S184" s="2">
        <f t="shared" ca="1" si="4"/>
        <v>134.9</v>
      </c>
      <c r="T184" s="2">
        <f t="shared" ca="1" si="5"/>
        <v>999.9</v>
      </c>
      <c r="U184" s="71" t="str">
        <f>IFERROR(VLOOKUP(Table1[[#This Row],[No_]],'Customer Net Price'!A:F,5,FALSE),"0")</f>
        <v>0</v>
      </c>
      <c r="V184" s="71" t="str">
        <f>IFERROR(VLOOKUP(Table1[[#This Row],[No_]],'Customer Net Price'!A:G,6,FALSE),"0")</f>
        <v>0</v>
      </c>
    </row>
    <row r="185" spans="1:22" x14ac:dyDescent="0.25">
      <c r="A185" s="23" t="s">
        <v>40</v>
      </c>
      <c r="B185" s="23" t="s">
        <v>40</v>
      </c>
      <c r="C185" t="s">
        <v>486</v>
      </c>
      <c r="D185" t="s">
        <v>305</v>
      </c>
      <c r="E185" t="s">
        <v>486</v>
      </c>
      <c r="F185" t="s">
        <v>918</v>
      </c>
      <c r="G185" t="s">
        <v>923</v>
      </c>
      <c r="H185" s="1" t="s">
        <v>368</v>
      </c>
      <c r="I185">
        <v>4</v>
      </c>
      <c r="J185" t="s">
        <v>572</v>
      </c>
      <c r="K185" s="2">
        <v>154.9</v>
      </c>
      <c r="L185" s="2">
        <v>1152.9000000000001</v>
      </c>
      <c r="M185" s="2">
        <v>171.9</v>
      </c>
      <c r="N185" s="2">
        <f ca="1">Table1[[#This Row],[2026 (EUR)]]*(1-INDIRECT(Table1[[#This Row],[Discount Name]]))</f>
        <v>154.9</v>
      </c>
      <c r="O185" s="2">
        <f ca="1">Table1[[#This Row],[2026 (DKK)]]*(1-INDIRECT(Table1[[#This Row],[Discount Name]]))</f>
        <v>1152.9000000000001</v>
      </c>
      <c r="P185" s="2" cm="1">
        <f t="array" aca="1" ref="P185" ca="1">Table1[[#This Row],[2026 (USD)]]*(1-INDIRECT(Table1[[#This Row],[Discount Name]]))</f>
        <v>171.9</v>
      </c>
      <c r="Q185" s="31">
        <f ca="1">INDIRECT(Table1[[#This Row],[Discount Name]])</f>
        <v>0</v>
      </c>
      <c r="S185" s="2">
        <f t="shared" ca="1" si="4"/>
        <v>154.9</v>
      </c>
      <c r="T185" s="2">
        <f t="shared" ca="1" si="5"/>
        <v>1152.9000000000001</v>
      </c>
      <c r="U185" s="71" t="str">
        <f>IFERROR(VLOOKUP(Table1[[#This Row],[No_]],'Customer Net Price'!A:F,5,FALSE),"0")</f>
        <v>0</v>
      </c>
      <c r="V185" s="71" t="str">
        <f>IFERROR(VLOOKUP(Table1[[#This Row],[No_]],'Customer Net Price'!A:G,6,FALSE),"0")</f>
        <v>0</v>
      </c>
    </row>
    <row r="186" spans="1:22" x14ac:dyDescent="0.25">
      <c r="A186" s="23" t="s">
        <v>518</v>
      </c>
      <c r="B186" s="23" t="s">
        <v>518</v>
      </c>
      <c r="C186" t="s">
        <v>519</v>
      </c>
      <c r="D186" t="s">
        <v>305</v>
      </c>
      <c r="E186" t="s">
        <v>482</v>
      </c>
      <c r="F186" t="s">
        <v>916</v>
      </c>
      <c r="G186" t="s">
        <v>916</v>
      </c>
      <c r="H186" s="1" t="s">
        <v>520</v>
      </c>
      <c r="I186" t="s">
        <v>546</v>
      </c>
      <c r="J186" t="s">
        <v>546</v>
      </c>
      <c r="K186" s="2">
        <v>149.9</v>
      </c>
      <c r="L186" s="2">
        <v>1114.9000000000001</v>
      </c>
      <c r="M186" s="2">
        <v>180.9</v>
      </c>
      <c r="N186" s="2">
        <f ca="1">Table1[[#This Row],[2026 (EUR)]]*(1-INDIRECT(Table1[[#This Row],[Discount Name]]))</f>
        <v>149.9</v>
      </c>
      <c r="O186" s="2">
        <f ca="1">Table1[[#This Row],[2026 (DKK)]]*(1-INDIRECT(Table1[[#This Row],[Discount Name]]))</f>
        <v>1114.9000000000001</v>
      </c>
      <c r="P186" s="2" cm="1">
        <f t="array" aca="1" ref="P186" ca="1">Table1[[#This Row],[2026 (USD)]]*(1-INDIRECT(Table1[[#This Row],[Discount Name]]))</f>
        <v>180.9</v>
      </c>
      <c r="Q186" s="31">
        <f ca="1">INDIRECT(Table1[[#This Row],[Discount Name]])</f>
        <v>0</v>
      </c>
      <c r="S186" s="2">
        <f t="shared" ca="1" si="4"/>
        <v>149.9</v>
      </c>
      <c r="T186" s="2">
        <f t="shared" ca="1" si="5"/>
        <v>1114.9000000000001</v>
      </c>
      <c r="U186" s="71" t="str">
        <f>IFERROR(VLOOKUP(Table1[[#This Row],[No_]],'Customer Net Price'!A:F,5,FALSE),"0")</f>
        <v>0</v>
      </c>
      <c r="V186" s="71" t="str">
        <f>IFERROR(VLOOKUP(Table1[[#This Row],[No_]],'Customer Net Price'!A:G,6,FALSE),"0")</f>
        <v>0</v>
      </c>
    </row>
    <row r="187" spans="1:22" x14ac:dyDescent="0.25">
      <c r="A187" s="23" t="s">
        <v>1198</v>
      </c>
      <c r="B187" s="23" t="s">
        <v>1198</v>
      </c>
      <c r="C187" t="s">
        <v>1199</v>
      </c>
      <c r="D187" t="s">
        <v>305</v>
      </c>
      <c r="E187" t="s">
        <v>486</v>
      </c>
      <c r="F187" t="s">
        <v>918</v>
      </c>
      <c r="G187" t="s">
        <v>923</v>
      </c>
      <c r="H187" s="44" t="s">
        <v>1200</v>
      </c>
      <c r="I187">
        <v>4</v>
      </c>
      <c r="J187" t="s">
        <v>572</v>
      </c>
      <c r="K187" s="2">
        <v>179.9</v>
      </c>
      <c r="L187" s="2">
        <v>1349.9</v>
      </c>
      <c r="M187" s="2">
        <v>214.9</v>
      </c>
      <c r="N187" s="2">
        <f ca="1">Table1[[#This Row],[2026 (EUR)]]*(1-INDIRECT(Table1[[#This Row],[Discount Name]]))</f>
        <v>179.9</v>
      </c>
      <c r="O187" s="2">
        <f ca="1">Table1[[#This Row],[2026 (DKK)]]*(1-INDIRECT(Table1[[#This Row],[Discount Name]]))</f>
        <v>1349.9</v>
      </c>
      <c r="P187" s="2" cm="1">
        <f t="array" aca="1" ref="P187" ca="1">Table1[[#This Row],[2026 (USD)]]*(1-INDIRECT(Table1[[#This Row],[Discount Name]]))</f>
        <v>214.9</v>
      </c>
      <c r="Q187" s="31">
        <f ca="1">INDIRECT(Table1[[#This Row],[Discount Name]])</f>
        <v>0</v>
      </c>
      <c r="S187" s="2">
        <f t="shared" ca="1" si="4"/>
        <v>179.9</v>
      </c>
      <c r="T187" s="2">
        <f t="shared" ca="1" si="5"/>
        <v>1349.9</v>
      </c>
      <c r="U187" s="71" t="str">
        <f>IFERROR(VLOOKUP(Table1[[#This Row],[No_]],'Customer Net Price'!A:F,5,FALSE),"0")</f>
        <v>0</v>
      </c>
      <c r="V187" s="71" t="str">
        <f>IFERROR(VLOOKUP(Table1[[#This Row],[No_]],'Customer Net Price'!A:G,6,FALSE),"0")</f>
        <v>0</v>
      </c>
    </row>
    <row r="188" spans="1:22" x14ac:dyDescent="0.25">
      <c r="A188" s="23" t="s">
        <v>1750</v>
      </c>
      <c r="B188" s="23" t="s">
        <v>1198</v>
      </c>
      <c r="C188" t="s">
        <v>1199</v>
      </c>
      <c r="D188" t="s">
        <v>305</v>
      </c>
      <c r="E188" t="s">
        <v>486</v>
      </c>
      <c r="F188" t="s">
        <v>918</v>
      </c>
      <c r="G188" t="s">
        <v>923</v>
      </c>
      <c r="H188" s="48" t="s">
        <v>1749</v>
      </c>
      <c r="I188">
        <v>4</v>
      </c>
      <c r="J188" t="s">
        <v>903</v>
      </c>
      <c r="K188" s="2">
        <v>179.9</v>
      </c>
      <c r="L188" s="2">
        <v>1349.9</v>
      </c>
      <c r="M188" s="2">
        <v>214.9</v>
      </c>
      <c r="N188" s="2">
        <f ca="1">Table1[[#This Row],[2026 (EUR)]]*(1-INDIRECT(Table1[[#This Row],[Discount Name]]))</f>
        <v>179.9</v>
      </c>
      <c r="O188" s="2">
        <f ca="1">Table1[[#This Row],[2026 (DKK)]]*(1-INDIRECT(Table1[[#This Row],[Discount Name]]))</f>
        <v>1349.9</v>
      </c>
      <c r="P188" s="2" cm="1">
        <f t="array" aca="1" ref="P188" ca="1">Table1[[#This Row],[2026 (USD)]]*(1-INDIRECT(Table1[[#This Row],[Discount Name]]))</f>
        <v>214.9</v>
      </c>
      <c r="Q188" s="31">
        <f ca="1">INDIRECT(Table1[[#This Row],[Discount Name]])</f>
        <v>0</v>
      </c>
      <c r="S188" s="2">
        <f t="shared" ca="1" si="4"/>
        <v>179.9</v>
      </c>
      <c r="T188" s="2">
        <f t="shared" ca="1" si="5"/>
        <v>1349.9</v>
      </c>
      <c r="U188" s="71" t="str">
        <f>IFERROR(VLOOKUP(Table1[[#This Row],[No_]],'Customer Net Price'!A:F,5,FALSE),"0")</f>
        <v>0</v>
      </c>
      <c r="V188" s="71" t="str">
        <f>IFERROR(VLOOKUP(Table1[[#This Row],[No_]],'Customer Net Price'!A:G,6,FALSE),"0")</f>
        <v>0</v>
      </c>
    </row>
    <row r="189" spans="1:22" x14ac:dyDescent="0.25">
      <c r="A189" s="23" t="s">
        <v>149</v>
      </c>
      <c r="B189" s="23" t="s">
        <v>29</v>
      </c>
      <c r="C189" t="s">
        <v>201</v>
      </c>
      <c r="D189" t="s">
        <v>305</v>
      </c>
      <c r="E189" t="s">
        <v>481</v>
      </c>
      <c r="F189" t="s">
        <v>916</v>
      </c>
      <c r="G189" t="s">
        <v>916</v>
      </c>
      <c r="H189" s="1" t="s">
        <v>361</v>
      </c>
      <c r="I189">
        <v>20</v>
      </c>
      <c r="J189" t="s">
        <v>570</v>
      </c>
      <c r="K189" s="2">
        <v>61.900000000000006</v>
      </c>
      <c r="L189" s="2">
        <v>459.9</v>
      </c>
      <c r="M189" s="2">
        <v>76.900000000000006</v>
      </c>
      <c r="N189" s="2">
        <f ca="1">Table1[[#This Row],[2026 (EUR)]]*(1-INDIRECT(Table1[[#This Row],[Discount Name]]))</f>
        <v>61.900000000000006</v>
      </c>
      <c r="O189" s="2">
        <f ca="1">Table1[[#This Row],[2026 (DKK)]]*(1-INDIRECT(Table1[[#This Row],[Discount Name]]))</f>
        <v>459.9</v>
      </c>
      <c r="P189" s="2" cm="1">
        <f t="array" aca="1" ref="P189" ca="1">Table1[[#This Row],[2026 (USD)]]*(1-INDIRECT(Table1[[#This Row],[Discount Name]]))</f>
        <v>76.900000000000006</v>
      </c>
      <c r="Q189" s="31">
        <f ca="1">INDIRECT(Table1[[#This Row],[Discount Name]])</f>
        <v>0</v>
      </c>
      <c r="S189" s="2">
        <f t="shared" ca="1" si="4"/>
        <v>61.900000000000006</v>
      </c>
      <c r="T189" s="2">
        <f t="shared" ca="1" si="5"/>
        <v>459.9</v>
      </c>
      <c r="U189" s="71" t="str">
        <f>IFERROR(VLOOKUP(Table1[[#This Row],[No_]],'Customer Net Price'!A:F,5,FALSE),"0")</f>
        <v>0</v>
      </c>
      <c r="V189" s="71" t="str">
        <f>IFERROR(VLOOKUP(Table1[[#This Row],[No_]],'Customer Net Price'!A:G,6,FALSE),"0")</f>
        <v>0</v>
      </c>
    </row>
    <row r="190" spans="1:22" x14ac:dyDescent="0.25">
      <c r="A190" s="23" t="s">
        <v>150</v>
      </c>
      <c r="B190" s="23" t="s">
        <v>39</v>
      </c>
      <c r="C190" t="s">
        <v>897</v>
      </c>
      <c r="D190" t="s">
        <v>305</v>
      </c>
      <c r="E190" t="s">
        <v>486</v>
      </c>
      <c r="F190" t="s">
        <v>918</v>
      </c>
      <c r="G190" t="s">
        <v>923</v>
      </c>
      <c r="H190" s="1" t="s">
        <v>366</v>
      </c>
      <c r="I190" t="s">
        <v>546</v>
      </c>
      <c r="J190" t="s">
        <v>570</v>
      </c>
      <c r="K190" s="2">
        <v>129.9</v>
      </c>
      <c r="L190" s="2">
        <v>966.9</v>
      </c>
      <c r="M190" s="2">
        <v>144.9</v>
      </c>
      <c r="N190" s="2">
        <f ca="1">Table1[[#This Row],[2026 (EUR)]]*(1-INDIRECT(Table1[[#This Row],[Discount Name]]))</f>
        <v>129.9</v>
      </c>
      <c r="O190" s="2">
        <f ca="1">Table1[[#This Row],[2026 (DKK)]]*(1-INDIRECT(Table1[[#This Row],[Discount Name]]))</f>
        <v>966.9</v>
      </c>
      <c r="P190" s="2" cm="1">
        <f t="array" aca="1" ref="P190" ca="1">Table1[[#This Row],[2026 (USD)]]*(1-INDIRECT(Table1[[#This Row],[Discount Name]]))</f>
        <v>144.9</v>
      </c>
      <c r="Q190" s="31">
        <f ca="1">INDIRECT(Table1[[#This Row],[Discount Name]])</f>
        <v>0</v>
      </c>
      <c r="S190" s="2">
        <f t="shared" ca="1" si="4"/>
        <v>129.9</v>
      </c>
      <c r="T190" s="2">
        <f t="shared" ca="1" si="5"/>
        <v>966.9</v>
      </c>
      <c r="U190" s="71" t="str">
        <f>IFERROR(VLOOKUP(Table1[[#This Row],[No_]],'Customer Net Price'!A:F,5,FALSE),"0")</f>
        <v>0</v>
      </c>
      <c r="V190" s="71" t="str">
        <f>IFERROR(VLOOKUP(Table1[[#This Row],[No_]],'Customer Net Price'!A:G,6,FALSE),"0")</f>
        <v>0</v>
      </c>
    </row>
    <row r="191" spans="1:22" x14ac:dyDescent="0.25">
      <c r="A191" s="23" t="s">
        <v>116</v>
      </c>
      <c r="B191" s="23" t="s">
        <v>116</v>
      </c>
      <c r="C191" s="23" t="s">
        <v>226</v>
      </c>
      <c r="D191" s="23" t="s">
        <v>306</v>
      </c>
      <c r="F191" t="s">
        <v>922</v>
      </c>
      <c r="G191" t="s">
        <v>922</v>
      </c>
      <c r="H191" s="48" t="s">
        <v>378</v>
      </c>
      <c r="I191">
        <v>24</v>
      </c>
      <c r="J191" s="23" t="s">
        <v>545</v>
      </c>
      <c r="K191" s="2">
        <v>104.9</v>
      </c>
      <c r="L191" s="2">
        <v>779.9</v>
      </c>
      <c r="M191" s="2">
        <v>123.9</v>
      </c>
      <c r="N191" s="2">
        <f ca="1">Table1[[#This Row],[2026 (EUR)]]*(1-INDIRECT(Table1[[#This Row],[Discount Name]]))</f>
        <v>104.9</v>
      </c>
      <c r="O191" s="2">
        <f ca="1">Table1[[#This Row],[2026 (DKK)]]*(1-INDIRECT(Table1[[#This Row],[Discount Name]]))</f>
        <v>779.9</v>
      </c>
      <c r="P191" s="2" cm="1">
        <f t="array" aca="1" ref="P191" ca="1">Table1[[#This Row],[2026 (USD)]]*(1-INDIRECT(Table1[[#This Row],[Discount Name]]))</f>
        <v>123.9</v>
      </c>
      <c r="Q191" s="31">
        <f ca="1">INDIRECT(Table1[[#This Row],[Discount Name]])</f>
        <v>0</v>
      </c>
      <c r="S191" s="2">
        <f t="shared" ca="1" si="4"/>
        <v>104.9</v>
      </c>
      <c r="T191" s="2">
        <f t="shared" ca="1" si="5"/>
        <v>779.9</v>
      </c>
      <c r="U191" s="71" t="str">
        <f>IFERROR(VLOOKUP(Table1[[#This Row],[No_]],'Customer Net Price'!A:F,5,FALSE),"0")</f>
        <v>0</v>
      </c>
      <c r="V191" s="71" t="str">
        <f>IFERROR(VLOOKUP(Table1[[#This Row],[No_]],'Customer Net Price'!A:G,6,FALSE),"0")</f>
        <v>0</v>
      </c>
    </row>
    <row r="192" spans="1:22" x14ac:dyDescent="0.25">
      <c r="A192" s="23" t="s">
        <v>42</v>
      </c>
      <c r="B192" s="23" t="s">
        <v>42</v>
      </c>
      <c r="C192" t="s">
        <v>227</v>
      </c>
      <c r="D192" t="s">
        <v>306</v>
      </c>
      <c r="F192" t="s">
        <v>922</v>
      </c>
      <c r="G192" t="s">
        <v>922</v>
      </c>
      <c r="H192" s="1" t="s">
        <v>379</v>
      </c>
      <c r="I192">
        <v>1</v>
      </c>
      <c r="J192" t="s">
        <v>546</v>
      </c>
      <c r="K192" s="2">
        <v>145.9</v>
      </c>
      <c r="L192" s="2">
        <v>1085.9000000000001</v>
      </c>
      <c r="M192" s="2">
        <v>155.9</v>
      </c>
      <c r="N192" s="2">
        <f ca="1">Table1[[#This Row],[2026 (EUR)]]*(1-INDIRECT(Table1[[#This Row],[Discount Name]]))</f>
        <v>145.9</v>
      </c>
      <c r="O192" s="2">
        <f ca="1">Table1[[#This Row],[2026 (DKK)]]*(1-INDIRECT(Table1[[#This Row],[Discount Name]]))</f>
        <v>1085.9000000000001</v>
      </c>
      <c r="P192" s="2" cm="1">
        <f t="array" aca="1" ref="P192" ca="1">Table1[[#This Row],[2026 (USD)]]*(1-INDIRECT(Table1[[#This Row],[Discount Name]]))</f>
        <v>155.9</v>
      </c>
      <c r="Q192" s="31">
        <f ca="1">INDIRECT(Table1[[#This Row],[Discount Name]])</f>
        <v>0</v>
      </c>
      <c r="S192" s="2">
        <f t="shared" ca="1" si="4"/>
        <v>145.9</v>
      </c>
      <c r="T192" s="2">
        <f t="shared" ca="1" si="5"/>
        <v>1085.9000000000001</v>
      </c>
      <c r="U192" s="71" t="str">
        <f>IFERROR(VLOOKUP(Table1[[#This Row],[No_]],'Customer Net Price'!A:F,5,FALSE),"0")</f>
        <v>0</v>
      </c>
      <c r="V192" s="71" t="str">
        <f>IFERROR(VLOOKUP(Table1[[#This Row],[No_]],'Customer Net Price'!A:G,6,FALSE),"0")</f>
        <v>0</v>
      </c>
    </row>
    <row r="193" spans="1:22" x14ac:dyDescent="0.25">
      <c r="A193" s="23" t="s">
        <v>43</v>
      </c>
      <c r="B193" s="23" t="s">
        <v>43</v>
      </c>
      <c r="C193" t="s">
        <v>237</v>
      </c>
      <c r="D193" t="s">
        <v>306</v>
      </c>
      <c r="F193" t="s">
        <v>922</v>
      </c>
      <c r="G193" t="s">
        <v>922</v>
      </c>
      <c r="H193" s="1" t="s">
        <v>380</v>
      </c>
      <c r="I193">
        <v>1</v>
      </c>
      <c r="J193" t="s">
        <v>546</v>
      </c>
      <c r="K193" s="2">
        <v>41.9</v>
      </c>
      <c r="L193" s="2">
        <v>308.89999999999998</v>
      </c>
      <c r="M193" s="2">
        <v>46.9</v>
      </c>
      <c r="N193" s="2">
        <f ca="1">Table1[[#This Row],[2026 (EUR)]]*(1-INDIRECT(Table1[[#This Row],[Discount Name]]))</f>
        <v>41.9</v>
      </c>
      <c r="O193" s="2">
        <f ca="1">Table1[[#This Row],[2026 (DKK)]]*(1-INDIRECT(Table1[[#This Row],[Discount Name]]))</f>
        <v>308.89999999999998</v>
      </c>
      <c r="P193" s="2" cm="1">
        <f t="array" aca="1" ref="P193" ca="1">Table1[[#This Row],[2026 (USD)]]*(1-INDIRECT(Table1[[#This Row],[Discount Name]]))</f>
        <v>46.9</v>
      </c>
      <c r="Q193" s="31">
        <f ca="1">INDIRECT(Table1[[#This Row],[Discount Name]])</f>
        <v>0</v>
      </c>
      <c r="S193" s="2">
        <f t="shared" ref="S193:S256" ca="1" si="6">IF(MAX(U193:U193)=0,+N193,MAX(U193:U193))</f>
        <v>41.9</v>
      </c>
      <c r="T193" s="2">
        <f t="shared" ref="T193:T256" ca="1" si="7">IF(MAX(V193:V193)=0,+O193,MAX(V193:V193))</f>
        <v>308.89999999999998</v>
      </c>
      <c r="U193" s="71" t="str">
        <f>IFERROR(VLOOKUP(Table1[[#This Row],[No_]],'Customer Net Price'!A:F,5,FALSE),"0")</f>
        <v>0</v>
      </c>
      <c r="V193" s="71" t="str">
        <f>IFERROR(VLOOKUP(Table1[[#This Row],[No_]],'Customer Net Price'!A:G,6,FALSE),"0")</f>
        <v>0</v>
      </c>
    </row>
    <row r="194" spans="1:22" x14ac:dyDescent="0.25">
      <c r="A194" s="23" t="s">
        <v>117</v>
      </c>
      <c r="B194" s="23" t="s">
        <v>117</v>
      </c>
      <c r="C194" t="s">
        <v>228</v>
      </c>
      <c r="D194" t="s">
        <v>306</v>
      </c>
      <c r="F194" t="s">
        <v>922</v>
      </c>
      <c r="G194" t="s">
        <v>922</v>
      </c>
      <c r="H194" s="1" t="s">
        <v>381</v>
      </c>
      <c r="I194">
        <v>24</v>
      </c>
      <c r="J194" s="23" t="s">
        <v>545</v>
      </c>
      <c r="K194" s="2">
        <v>104.9</v>
      </c>
      <c r="L194" s="2">
        <v>779.9</v>
      </c>
      <c r="M194" s="2">
        <v>123.9</v>
      </c>
      <c r="N194" s="2">
        <f ca="1">Table1[[#This Row],[2026 (EUR)]]*(1-INDIRECT(Table1[[#This Row],[Discount Name]]))</f>
        <v>104.9</v>
      </c>
      <c r="O194" s="2">
        <f ca="1">Table1[[#This Row],[2026 (DKK)]]*(1-INDIRECT(Table1[[#This Row],[Discount Name]]))</f>
        <v>779.9</v>
      </c>
      <c r="P194" s="2" cm="1">
        <f t="array" aca="1" ref="P194" ca="1">Table1[[#This Row],[2026 (USD)]]*(1-INDIRECT(Table1[[#This Row],[Discount Name]]))</f>
        <v>123.9</v>
      </c>
      <c r="Q194" s="31">
        <f ca="1">INDIRECT(Table1[[#This Row],[Discount Name]])</f>
        <v>0</v>
      </c>
      <c r="S194" s="2">
        <f t="shared" ca="1" si="6"/>
        <v>104.9</v>
      </c>
      <c r="T194" s="2">
        <f t="shared" ca="1" si="7"/>
        <v>779.9</v>
      </c>
      <c r="U194" s="71" t="str">
        <f>IFERROR(VLOOKUP(Table1[[#This Row],[No_]],'Customer Net Price'!A:F,5,FALSE),"0")</f>
        <v>0</v>
      </c>
      <c r="V194" s="71" t="str">
        <f>IFERROR(VLOOKUP(Table1[[#This Row],[No_]],'Customer Net Price'!A:G,6,FALSE),"0")</f>
        <v>0</v>
      </c>
    </row>
    <row r="195" spans="1:22" x14ac:dyDescent="0.25">
      <c r="A195" s="23" t="s">
        <v>157</v>
      </c>
      <c r="B195" s="23" t="s">
        <v>157</v>
      </c>
      <c r="C195" s="23" t="s">
        <v>229</v>
      </c>
      <c r="D195" t="s">
        <v>306</v>
      </c>
      <c r="F195" t="s">
        <v>922</v>
      </c>
      <c r="G195" t="s">
        <v>922</v>
      </c>
      <c r="H195" s="48" t="s">
        <v>382</v>
      </c>
      <c r="I195" t="s">
        <v>546</v>
      </c>
      <c r="J195" t="s">
        <v>546</v>
      </c>
      <c r="K195" s="2">
        <v>62.9</v>
      </c>
      <c r="L195" s="2">
        <v>467.9</v>
      </c>
      <c r="M195" s="2">
        <v>70.900000000000006</v>
      </c>
      <c r="N195" s="2">
        <f ca="1">Table1[[#This Row],[2026 (EUR)]]*(1-INDIRECT(Table1[[#This Row],[Discount Name]]))</f>
        <v>62.9</v>
      </c>
      <c r="O195" s="2">
        <f ca="1">Table1[[#This Row],[2026 (DKK)]]*(1-INDIRECT(Table1[[#This Row],[Discount Name]]))</f>
        <v>467.9</v>
      </c>
      <c r="P195" s="2" cm="1">
        <f t="array" aca="1" ref="P195" ca="1">Table1[[#This Row],[2026 (USD)]]*(1-INDIRECT(Table1[[#This Row],[Discount Name]]))</f>
        <v>70.900000000000006</v>
      </c>
      <c r="Q195" s="31">
        <f ca="1">INDIRECT(Table1[[#This Row],[Discount Name]])</f>
        <v>0</v>
      </c>
      <c r="S195" s="2">
        <f t="shared" ca="1" si="6"/>
        <v>62.9</v>
      </c>
      <c r="T195" s="2">
        <f t="shared" ca="1" si="7"/>
        <v>467.9</v>
      </c>
      <c r="U195" s="71" t="str">
        <f>IFERROR(VLOOKUP(Table1[[#This Row],[No_]],'Customer Net Price'!A:F,5,FALSE),"0")</f>
        <v>0</v>
      </c>
      <c r="V195" s="71" t="str">
        <f>IFERROR(VLOOKUP(Table1[[#This Row],[No_]],'Customer Net Price'!A:G,6,FALSE),"0")</f>
        <v>0</v>
      </c>
    </row>
    <row r="196" spans="1:22" x14ac:dyDescent="0.25">
      <c r="A196" s="23" t="s">
        <v>929</v>
      </c>
      <c r="B196" s="23" t="s">
        <v>929</v>
      </c>
      <c r="C196" t="s">
        <v>223</v>
      </c>
      <c r="D196" t="s">
        <v>306</v>
      </c>
      <c r="F196" t="s">
        <v>922</v>
      </c>
      <c r="G196" t="s">
        <v>922</v>
      </c>
      <c r="H196" s="46" t="s">
        <v>941</v>
      </c>
      <c r="I196" s="17">
        <v>12</v>
      </c>
      <c r="J196" s="23" t="s">
        <v>545</v>
      </c>
      <c r="K196" s="2">
        <v>279.89999999999998</v>
      </c>
      <c r="L196" s="2">
        <v>2082.9</v>
      </c>
      <c r="M196" s="2">
        <v>313.89999999999998</v>
      </c>
      <c r="N196" s="2">
        <f ca="1">Table1[[#This Row],[2026 (EUR)]]*(1-INDIRECT(Table1[[#This Row],[Discount Name]]))</f>
        <v>279.89999999999998</v>
      </c>
      <c r="O196" s="2">
        <f ca="1">Table1[[#This Row],[2026 (DKK)]]*(1-INDIRECT(Table1[[#This Row],[Discount Name]]))</f>
        <v>2082.9</v>
      </c>
      <c r="P196" s="2" cm="1">
        <f t="array" aca="1" ref="P196" ca="1">Table1[[#This Row],[2026 (USD)]]*(1-INDIRECT(Table1[[#This Row],[Discount Name]]))</f>
        <v>313.89999999999998</v>
      </c>
      <c r="Q196" s="31">
        <f ca="1">INDIRECT(Table1[[#This Row],[Discount Name]])</f>
        <v>0</v>
      </c>
      <c r="S196" s="2">
        <f t="shared" ca="1" si="6"/>
        <v>279.89999999999998</v>
      </c>
      <c r="T196" s="2">
        <f t="shared" ca="1" si="7"/>
        <v>2082.9</v>
      </c>
      <c r="U196" s="71" t="str">
        <f>IFERROR(VLOOKUP(Table1[[#This Row],[No_]],'Customer Net Price'!A:F,5,FALSE),"0")</f>
        <v>0</v>
      </c>
      <c r="V196" s="71" t="str">
        <f>IFERROR(VLOOKUP(Table1[[#This Row],[No_]],'Customer Net Price'!A:G,6,FALSE),"0")</f>
        <v>0</v>
      </c>
    </row>
    <row r="197" spans="1:22" x14ac:dyDescent="0.25">
      <c r="A197" s="23" t="s">
        <v>1647</v>
      </c>
      <c r="B197" s="23" t="s">
        <v>929</v>
      </c>
      <c r="C197" t="s">
        <v>223</v>
      </c>
      <c r="D197" t="s">
        <v>306</v>
      </c>
      <c r="F197" t="s">
        <v>922</v>
      </c>
      <c r="G197" t="s">
        <v>922</v>
      </c>
      <c r="H197" s="48" t="s">
        <v>1648</v>
      </c>
      <c r="I197">
        <v>12</v>
      </c>
      <c r="J197" t="s">
        <v>571</v>
      </c>
      <c r="K197" s="2">
        <v>279.89999999999998</v>
      </c>
      <c r="L197" s="2">
        <v>2082.9</v>
      </c>
      <c r="M197" s="2">
        <v>313.89999999999998</v>
      </c>
      <c r="N197" s="2">
        <f ca="1">Table1[[#This Row],[2026 (EUR)]]*(1-INDIRECT(Table1[[#This Row],[Discount Name]]))</f>
        <v>279.89999999999998</v>
      </c>
      <c r="O197" s="2">
        <f ca="1">Table1[[#This Row],[2026 (DKK)]]*(1-INDIRECT(Table1[[#This Row],[Discount Name]]))</f>
        <v>2082.9</v>
      </c>
      <c r="P197" s="2" cm="1">
        <f t="array" aca="1" ref="P197" ca="1">Table1[[#This Row],[2026 (USD)]]*(1-INDIRECT(Table1[[#This Row],[Discount Name]]))</f>
        <v>313.89999999999998</v>
      </c>
      <c r="Q197" s="31">
        <f ca="1">INDIRECT(Table1[[#This Row],[Discount Name]])</f>
        <v>0</v>
      </c>
      <c r="S197" s="77">
        <f t="shared" ca="1" si="6"/>
        <v>279.89999999999998</v>
      </c>
      <c r="T197" s="77">
        <f t="shared" ca="1" si="7"/>
        <v>2082.9</v>
      </c>
      <c r="U197" s="78" t="str">
        <f>IFERROR(VLOOKUP(Table1[[#This Row],[No_]],'Customer Net Price'!A:F,5,FALSE),"0")</f>
        <v>0</v>
      </c>
      <c r="V197" s="78" t="str">
        <f>IFERROR(VLOOKUP(Table1[[#This Row],[No_]],'Customer Net Price'!A:G,6,FALSE),"0")</f>
        <v>0</v>
      </c>
    </row>
    <row r="198" spans="1:22" x14ac:dyDescent="0.25">
      <c r="A198" s="23" t="s">
        <v>1366</v>
      </c>
      <c r="B198" s="23" t="s">
        <v>929</v>
      </c>
      <c r="C198" t="s">
        <v>223</v>
      </c>
      <c r="D198" t="s">
        <v>306</v>
      </c>
      <c r="F198" t="s">
        <v>922</v>
      </c>
      <c r="G198" t="s">
        <v>922</v>
      </c>
      <c r="H198" s="1" t="s">
        <v>1385</v>
      </c>
      <c r="I198">
        <v>12</v>
      </c>
      <c r="J198" t="s">
        <v>1380</v>
      </c>
      <c r="K198" s="2">
        <v>279.89999999999998</v>
      </c>
      <c r="L198" s="2">
        <v>2082.9</v>
      </c>
      <c r="M198" s="2">
        <v>313.89999999999998</v>
      </c>
      <c r="N198" s="2">
        <f ca="1">Table1[[#This Row],[2026 (EUR)]]*(1-INDIRECT(Table1[[#This Row],[Discount Name]]))</f>
        <v>279.89999999999998</v>
      </c>
      <c r="O198" s="2">
        <f ca="1">Table1[[#This Row],[2026 (DKK)]]*(1-INDIRECT(Table1[[#This Row],[Discount Name]]))</f>
        <v>2082.9</v>
      </c>
      <c r="P198" s="2" cm="1">
        <f t="array" aca="1" ref="P198" ca="1">Table1[[#This Row],[2026 (USD)]]*(1-INDIRECT(Table1[[#This Row],[Discount Name]]))</f>
        <v>313.89999999999998</v>
      </c>
      <c r="Q198" s="31">
        <f ca="1">INDIRECT(Table1[[#This Row],[Discount Name]])</f>
        <v>0</v>
      </c>
      <c r="S198" s="77">
        <f t="shared" ca="1" si="6"/>
        <v>279.89999999999998</v>
      </c>
      <c r="T198" s="77">
        <f t="shared" ca="1" si="7"/>
        <v>2082.9</v>
      </c>
      <c r="U198" s="78" t="str">
        <f>IFERROR(VLOOKUP(Table1[[#This Row],[No_]],'Customer Net Price'!A:F,5,FALSE),"0")</f>
        <v>0</v>
      </c>
      <c r="V198" s="78" t="str">
        <f>IFERROR(VLOOKUP(Table1[[#This Row],[No_]],'Customer Net Price'!A:G,6,FALSE),"0")</f>
        <v>0</v>
      </c>
    </row>
    <row r="199" spans="1:22" x14ac:dyDescent="0.25">
      <c r="A199" s="23" t="s">
        <v>732</v>
      </c>
      <c r="B199" s="23" t="s">
        <v>732</v>
      </c>
      <c r="C199" t="s">
        <v>224</v>
      </c>
      <c r="D199" t="s">
        <v>306</v>
      </c>
      <c r="F199" t="s">
        <v>922</v>
      </c>
      <c r="G199" t="s">
        <v>922</v>
      </c>
      <c r="H199" s="1" t="s">
        <v>733</v>
      </c>
      <c r="I199">
        <v>3</v>
      </c>
      <c r="J199" t="s">
        <v>572</v>
      </c>
      <c r="K199" s="2">
        <v>769.9</v>
      </c>
      <c r="L199" s="2">
        <v>5728.9</v>
      </c>
      <c r="M199" s="2">
        <v>847.9</v>
      </c>
      <c r="N199" s="2">
        <f ca="1">Table1[[#This Row],[2026 (EUR)]]*(1-INDIRECT(Table1[[#This Row],[Discount Name]]))</f>
        <v>769.9</v>
      </c>
      <c r="O199" s="2">
        <f ca="1">Table1[[#This Row],[2026 (DKK)]]*(1-INDIRECT(Table1[[#This Row],[Discount Name]]))</f>
        <v>5728.9</v>
      </c>
      <c r="P199" s="2" cm="1">
        <f t="array" aca="1" ref="P199" ca="1">Table1[[#This Row],[2026 (USD)]]*(1-INDIRECT(Table1[[#This Row],[Discount Name]]))</f>
        <v>847.9</v>
      </c>
      <c r="Q199" s="31">
        <f ca="1">INDIRECT(Table1[[#This Row],[Discount Name]])</f>
        <v>0</v>
      </c>
      <c r="S199" s="2">
        <f t="shared" ca="1" si="6"/>
        <v>769.9</v>
      </c>
      <c r="T199" s="2">
        <f t="shared" ca="1" si="7"/>
        <v>5728.9</v>
      </c>
      <c r="U199" s="71" t="str">
        <f>IFERROR(VLOOKUP(Table1[[#This Row],[No_]],'Customer Net Price'!A:F,5,FALSE),"0")</f>
        <v>0</v>
      </c>
      <c r="V199" s="71" t="str">
        <f>IFERROR(VLOOKUP(Table1[[#This Row],[No_]],'Customer Net Price'!A:G,6,FALSE),"0")</f>
        <v>0</v>
      </c>
    </row>
    <row r="200" spans="1:22" x14ac:dyDescent="0.25">
      <c r="A200" s="23" t="s">
        <v>1425</v>
      </c>
      <c r="B200" s="23" t="s">
        <v>732</v>
      </c>
      <c r="C200" t="s">
        <v>224</v>
      </c>
      <c r="D200" t="s">
        <v>306</v>
      </c>
      <c r="F200" t="s">
        <v>922</v>
      </c>
      <c r="G200" t="s">
        <v>922</v>
      </c>
      <c r="H200" s="48" t="s">
        <v>580</v>
      </c>
      <c r="I200" t="s">
        <v>546</v>
      </c>
      <c r="J200" t="s">
        <v>575</v>
      </c>
      <c r="K200" s="2">
        <v>769.9</v>
      </c>
      <c r="L200" s="2">
        <v>5728.9</v>
      </c>
      <c r="M200" s="2">
        <v>847.9</v>
      </c>
      <c r="N200" s="2">
        <f ca="1">Table1[[#This Row],[2026 (EUR)]]*(1-INDIRECT(Table1[[#This Row],[Discount Name]]))</f>
        <v>769.9</v>
      </c>
      <c r="O200" s="2">
        <f ca="1">Table1[[#This Row],[2026 (DKK)]]*(1-INDIRECT(Table1[[#This Row],[Discount Name]]))</f>
        <v>5728.9</v>
      </c>
      <c r="P200" s="2" cm="1">
        <f t="array" aca="1" ref="P200" ca="1">Table1[[#This Row],[2026 (USD)]]*(1-INDIRECT(Table1[[#This Row],[Discount Name]]))</f>
        <v>847.9</v>
      </c>
      <c r="Q200" s="31">
        <f ca="1">INDIRECT(Table1[[#This Row],[Discount Name]])</f>
        <v>0</v>
      </c>
      <c r="S200" s="2">
        <f t="shared" ca="1" si="6"/>
        <v>769.9</v>
      </c>
      <c r="T200" s="2">
        <f t="shared" ca="1" si="7"/>
        <v>5728.9</v>
      </c>
      <c r="U200" s="71" t="str">
        <f>IFERROR(VLOOKUP(Table1[[#This Row],[No_]],'Customer Net Price'!A:F,5,FALSE),"0")</f>
        <v>0</v>
      </c>
      <c r="V200" s="71" t="str">
        <f>IFERROR(VLOOKUP(Table1[[#This Row],[No_]],'Customer Net Price'!A:G,6,FALSE),"0")</f>
        <v>0</v>
      </c>
    </row>
    <row r="201" spans="1:22" x14ac:dyDescent="0.25">
      <c r="A201" s="23" t="s">
        <v>1774</v>
      </c>
      <c r="B201" s="23" t="s">
        <v>732</v>
      </c>
      <c r="C201" t="s">
        <v>224</v>
      </c>
      <c r="D201" t="s">
        <v>306</v>
      </c>
      <c r="F201" t="s">
        <v>922</v>
      </c>
      <c r="G201" t="s">
        <v>922</v>
      </c>
      <c r="H201" s="48" t="s">
        <v>1775</v>
      </c>
      <c r="I201" t="s">
        <v>546</v>
      </c>
      <c r="J201" t="s">
        <v>570</v>
      </c>
      <c r="K201" s="2">
        <v>769.9</v>
      </c>
      <c r="L201" s="2">
        <v>5728.9</v>
      </c>
      <c r="M201" s="2">
        <v>847.9</v>
      </c>
      <c r="N201" s="2">
        <f ca="1">Table1[[#This Row],[2026 (EUR)]]*(1-INDIRECT(Table1[[#This Row],[Discount Name]]))</f>
        <v>769.9</v>
      </c>
      <c r="O201" s="2">
        <f ca="1">Table1[[#This Row],[2026 (DKK)]]*(1-INDIRECT(Table1[[#This Row],[Discount Name]]))</f>
        <v>5728.9</v>
      </c>
      <c r="P201" s="2" cm="1">
        <f t="array" aca="1" ref="P201" ca="1">Table1[[#This Row],[2026 (USD)]]*(1-INDIRECT(Table1[[#This Row],[Discount Name]]))</f>
        <v>847.9</v>
      </c>
      <c r="Q201" s="31">
        <f ca="1">INDIRECT(Table1[[#This Row],[Discount Name]])</f>
        <v>0</v>
      </c>
      <c r="S201" s="2">
        <f t="shared" ca="1" si="6"/>
        <v>769.9</v>
      </c>
      <c r="T201" s="2">
        <f t="shared" ca="1" si="7"/>
        <v>5728.9</v>
      </c>
      <c r="U201" s="71" t="str">
        <f>IFERROR(VLOOKUP(Table1[[#This Row],[No_]],'Customer Net Price'!A:F,5,FALSE),"0")</f>
        <v>0</v>
      </c>
      <c r="V201" s="71" t="str">
        <f>IFERROR(VLOOKUP(Table1[[#This Row],[No_]],'Customer Net Price'!A:G,6,FALSE),"0")</f>
        <v>0</v>
      </c>
    </row>
    <row r="202" spans="1:22" x14ac:dyDescent="0.25">
      <c r="A202" s="23" t="s">
        <v>895</v>
      </c>
      <c r="B202" s="23" t="s">
        <v>895</v>
      </c>
      <c r="C202" s="23" t="s">
        <v>225</v>
      </c>
      <c r="D202" s="23" t="s">
        <v>306</v>
      </c>
      <c r="F202" t="s">
        <v>922</v>
      </c>
      <c r="G202" t="s">
        <v>922</v>
      </c>
      <c r="H202" s="48" t="s">
        <v>896</v>
      </c>
      <c r="I202">
        <v>3</v>
      </c>
      <c r="J202" s="23" t="s">
        <v>572</v>
      </c>
      <c r="K202" s="2">
        <v>479.9</v>
      </c>
      <c r="L202" s="2">
        <v>3570.9</v>
      </c>
      <c r="M202" s="2">
        <v>519.89599999999996</v>
      </c>
      <c r="N202" s="2">
        <f ca="1">Table1[[#This Row],[2026 (EUR)]]*(1-INDIRECT(Table1[[#This Row],[Discount Name]]))</f>
        <v>479.9</v>
      </c>
      <c r="O202" s="2">
        <f ca="1">Table1[[#This Row],[2026 (DKK)]]*(1-INDIRECT(Table1[[#This Row],[Discount Name]]))</f>
        <v>3570.9</v>
      </c>
      <c r="P202" s="2" cm="1">
        <f t="array" aca="1" ref="P202" ca="1">Table1[[#This Row],[2026 (USD)]]*(1-INDIRECT(Table1[[#This Row],[Discount Name]]))</f>
        <v>519.89599999999996</v>
      </c>
      <c r="Q202" s="31">
        <f ca="1">INDIRECT(Table1[[#This Row],[Discount Name]])</f>
        <v>0</v>
      </c>
      <c r="S202" s="2">
        <f t="shared" ca="1" si="6"/>
        <v>479.9</v>
      </c>
      <c r="T202" s="2">
        <f t="shared" ca="1" si="7"/>
        <v>3570.9</v>
      </c>
      <c r="U202" s="71" t="str">
        <f>IFERROR(VLOOKUP(Table1[[#This Row],[No_]],'Customer Net Price'!A:F,5,FALSE),"0")</f>
        <v>0</v>
      </c>
      <c r="V202" s="71" t="str">
        <f>IFERROR(VLOOKUP(Table1[[#This Row],[No_]],'Customer Net Price'!A:G,6,FALSE),"0")</f>
        <v>0</v>
      </c>
    </row>
    <row r="203" spans="1:22" x14ac:dyDescent="0.25">
      <c r="A203" s="23" t="s">
        <v>1415</v>
      </c>
      <c r="B203" s="23" t="s">
        <v>895</v>
      </c>
      <c r="C203" s="23" t="s">
        <v>225</v>
      </c>
      <c r="D203" s="23" t="s">
        <v>306</v>
      </c>
      <c r="F203" t="s">
        <v>922</v>
      </c>
      <c r="G203" t="s">
        <v>922</v>
      </c>
      <c r="H203" s="48" t="s">
        <v>1416</v>
      </c>
      <c r="I203">
        <v>3</v>
      </c>
      <c r="J203" t="s">
        <v>575</v>
      </c>
      <c r="K203" s="2">
        <v>479.9</v>
      </c>
      <c r="L203" s="2">
        <v>3570.9</v>
      </c>
      <c r="M203" s="2">
        <v>519.89599999999996</v>
      </c>
      <c r="N203" s="2">
        <f ca="1">Table1[[#This Row],[2026 (EUR)]]*(1-INDIRECT(Table1[[#This Row],[Discount Name]]))</f>
        <v>479.9</v>
      </c>
      <c r="O203" s="2">
        <f ca="1">Table1[[#This Row],[2026 (DKK)]]*(1-INDIRECT(Table1[[#This Row],[Discount Name]]))</f>
        <v>3570.9</v>
      </c>
      <c r="P203" s="2" cm="1">
        <f t="array" aca="1" ref="P203" ca="1">Table1[[#This Row],[2026 (USD)]]*(1-INDIRECT(Table1[[#This Row],[Discount Name]]))</f>
        <v>519.89599999999996</v>
      </c>
      <c r="Q203" s="31">
        <f ca="1">INDIRECT(Table1[[#This Row],[Discount Name]])</f>
        <v>0</v>
      </c>
      <c r="S203" s="2">
        <f t="shared" ca="1" si="6"/>
        <v>479.9</v>
      </c>
      <c r="T203" s="2">
        <f t="shared" ca="1" si="7"/>
        <v>3570.9</v>
      </c>
      <c r="U203" s="71" t="str">
        <f>IFERROR(VLOOKUP(Table1[[#This Row],[No_]],'Customer Net Price'!A:F,5,FALSE),"0")</f>
        <v>0</v>
      </c>
      <c r="V203" s="71" t="str">
        <f>IFERROR(VLOOKUP(Table1[[#This Row],[No_]],'Customer Net Price'!A:G,6,FALSE),"0")</f>
        <v>0</v>
      </c>
    </row>
    <row r="204" spans="1:22" x14ac:dyDescent="0.25">
      <c r="A204" s="23" t="s">
        <v>1414</v>
      </c>
      <c r="B204" s="23" t="s">
        <v>895</v>
      </c>
      <c r="C204" s="23" t="s">
        <v>225</v>
      </c>
      <c r="D204" s="23" t="s">
        <v>306</v>
      </c>
      <c r="F204" t="s">
        <v>922</v>
      </c>
      <c r="G204" t="s">
        <v>922</v>
      </c>
      <c r="H204" s="48" t="s">
        <v>1417</v>
      </c>
      <c r="I204">
        <v>3</v>
      </c>
      <c r="J204" t="s">
        <v>570</v>
      </c>
      <c r="K204" s="2">
        <v>479.9</v>
      </c>
      <c r="L204" s="2">
        <v>3570.9</v>
      </c>
      <c r="M204" s="2">
        <v>519.89599999999996</v>
      </c>
      <c r="N204" s="2">
        <f ca="1">Table1[[#This Row],[2026 (EUR)]]*(1-INDIRECT(Table1[[#This Row],[Discount Name]]))</f>
        <v>479.9</v>
      </c>
      <c r="O204" s="2">
        <f ca="1">Table1[[#This Row],[2026 (DKK)]]*(1-INDIRECT(Table1[[#This Row],[Discount Name]]))</f>
        <v>3570.9</v>
      </c>
      <c r="P204" s="2" cm="1">
        <f t="array" aca="1" ref="P204" ca="1">Table1[[#This Row],[2026 (USD)]]*(1-INDIRECT(Table1[[#This Row],[Discount Name]]))</f>
        <v>519.89599999999996</v>
      </c>
      <c r="Q204" s="31">
        <f ca="1">INDIRECT(Table1[[#This Row],[Discount Name]])</f>
        <v>0</v>
      </c>
      <c r="S204" s="2">
        <f t="shared" ca="1" si="6"/>
        <v>479.9</v>
      </c>
      <c r="T204" s="2">
        <f t="shared" ca="1" si="7"/>
        <v>3570.9</v>
      </c>
      <c r="U204" s="71" t="str">
        <f>IFERROR(VLOOKUP(Table1[[#This Row],[No_]],'Customer Net Price'!A:F,5,FALSE),"0")</f>
        <v>0</v>
      </c>
      <c r="V204" s="71" t="str">
        <f>IFERROR(VLOOKUP(Table1[[#This Row],[No_]],'Customer Net Price'!A:G,6,FALSE),"0")</f>
        <v>0</v>
      </c>
    </row>
    <row r="205" spans="1:22" x14ac:dyDescent="0.25">
      <c r="A205" s="23" t="s">
        <v>33</v>
      </c>
      <c r="B205" s="23" t="s">
        <v>33</v>
      </c>
      <c r="C205" t="s">
        <v>210</v>
      </c>
      <c r="D205" t="s">
        <v>305</v>
      </c>
      <c r="E205" t="s">
        <v>544</v>
      </c>
      <c r="F205" t="s">
        <v>916</v>
      </c>
      <c r="G205" t="s">
        <v>916</v>
      </c>
      <c r="H205" s="1" t="s">
        <v>363</v>
      </c>
      <c r="I205">
        <v>12</v>
      </c>
      <c r="J205" t="s">
        <v>546</v>
      </c>
      <c r="K205" s="2">
        <v>99.9</v>
      </c>
      <c r="L205" s="2">
        <v>739.9</v>
      </c>
      <c r="M205" s="2">
        <v>123.9</v>
      </c>
      <c r="N205" s="2">
        <f ca="1">Table1[[#This Row],[2026 (EUR)]]*(1-INDIRECT(Table1[[#This Row],[Discount Name]]))</f>
        <v>99.9</v>
      </c>
      <c r="O205" s="2">
        <f ca="1">Table1[[#This Row],[2026 (DKK)]]*(1-INDIRECT(Table1[[#This Row],[Discount Name]]))</f>
        <v>739.9</v>
      </c>
      <c r="P205" s="2" cm="1">
        <f t="array" aca="1" ref="P205" ca="1">Table1[[#This Row],[2026 (USD)]]*(1-INDIRECT(Table1[[#This Row],[Discount Name]]))</f>
        <v>123.9</v>
      </c>
      <c r="Q205" s="31">
        <f ca="1">INDIRECT(Table1[[#This Row],[Discount Name]])</f>
        <v>0</v>
      </c>
      <c r="S205" s="2">
        <f t="shared" ca="1" si="6"/>
        <v>99.9</v>
      </c>
      <c r="T205" s="2">
        <f t="shared" ca="1" si="7"/>
        <v>739.9</v>
      </c>
      <c r="U205" s="71" t="str">
        <f>IFERROR(VLOOKUP(Table1[[#This Row],[No_]],'Customer Net Price'!A:F,5,FALSE),"0")</f>
        <v>0</v>
      </c>
      <c r="V205" s="71" t="str">
        <f>IFERROR(VLOOKUP(Table1[[#This Row],[No_]],'Customer Net Price'!A:G,6,FALSE),"0")</f>
        <v>0</v>
      </c>
    </row>
    <row r="206" spans="1:22" x14ac:dyDescent="0.25">
      <c r="A206" s="23" t="s">
        <v>1702</v>
      </c>
      <c r="B206" s="23" t="s">
        <v>1702</v>
      </c>
      <c r="C206" t="s">
        <v>1703</v>
      </c>
      <c r="D206" t="s">
        <v>305</v>
      </c>
      <c r="E206" t="s">
        <v>544</v>
      </c>
      <c r="F206" t="s">
        <v>916</v>
      </c>
      <c r="G206" t="s">
        <v>916</v>
      </c>
      <c r="H206" s="48" t="s">
        <v>1704</v>
      </c>
      <c r="I206">
        <v>24</v>
      </c>
      <c r="J206" t="s">
        <v>546</v>
      </c>
      <c r="K206" s="2">
        <v>44.9</v>
      </c>
      <c r="L206" s="2">
        <v>334.9</v>
      </c>
      <c r="M206" s="2">
        <v>49.9</v>
      </c>
      <c r="N206" s="2">
        <f ca="1">Table1[[#This Row],[2026 (EUR)]]*(1-INDIRECT(Table1[[#This Row],[Discount Name]]))</f>
        <v>44.9</v>
      </c>
      <c r="O206" s="2">
        <f ca="1">Table1[[#This Row],[2026 (DKK)]]*(1-INDIRECT(Table1[[#This Row],[Discount Name]]))</f>
        <v>334.9</v>
      </c>
      <c r="P206" s="2" cm="1">
        <f t="array" aca="1" ref="P206" ca="1">Table1[[#This Row],[2026 (USD)]]*(1-INDIRECT(Table1[[#This Row],[Discount Name]]))</f>
        <v>49.9</v>
      </c>
      <c r="Q206" s="31">
        <f ca="1">INDIRECT(Table1[[#This Row],[Discount Name]])</f>
        <v>0</v>
      </c>
      <c r="S206" s="2">
        <f t="shared" ca="1" si="6"/>
        <v>44.9</v>
      </c>
      <c r="T206" s="2">
        <f t="shared" ca="1" si="7"/>
        <v>334.9</v>
      </c>
      <c r="U206" s="71" t="str">
        <f>IFERROR(VLOOKUP(Table1[[#This Row],[No_]],'Customer Net Price'!A:F,5,FALSE),"0")</f>
        <v>0</v>
      </c>
      <c r="V206" s="71" t="str">
        <f>IFERROR(VLOOKUP(Table1[[#This Row],[No_]],'Customer Net Price'!A:G,6,FALSE),"0")</f>
        <v>0</v>
      </c>
    </row>
    <row r="207" spans="1:22" x14ac:dyDescent="0.25">
      <c r="A207" s="23" t="s">
        <v>1135</v>
      </c>
      <c r="B207" s="23" t="s">
        <v>1135</v>
      </c>
      <c r="C207" t="s">
        <v>1136</v>
      </c>
      <c r="D207" t="s">
        <v>305</v>
      </c>
      <c r="E207" t="s">
        <v>544</v>
      </c>
      <c r="F207" t="s">
        <v>918</v>
      </c>
      <c r="G207" t="s">
        <v>923</v>
      </c>
      <c r="H207" s="46" t="s">
        <v>1137</v>
      </c>
      <c r="I207">
        <v>48</v>
      </c>
      <c r="J207" t="s">
        <v>546</v>
      </c>
      <c r="K207" s="2">
        <v>29.9</v>
      </c>
      <c r="L207" s="2">
        <v>219.9</v>
      </c>
      <c r="M207" s="2">
        <v>35.9</v>
      </c>
      <c r="N207" s="2">
        <f ca="1">Table1[[#This Row],[2026 (EUR)]]*(1-INDIRECT(Table1[[#This Row],[Discount Name]]))</f>
        <v>29.9</v>
      </c>
      <c r="O207" s="2">
        <f ca="1">Table1[[#This Row],[2026 (DKK)]]*(1-INDIRECT(Table1[[#This Row],[Discount Name]]))</f>
        <v>219.9</v>
      </c>
      <c r="P207" s="2" cm="1">
        <f t="array" aca="1" ref="P207" ca="1">Table1[[#This Row],[2026 (USD)]]*(1-INDIRECT(Table1[[#This Row],[Discount Name]]))</f>
        <v>35.9</v>
      </c>
      <c r="Q207" s="31">
        <f ca="1">INDIRECT(Table1[[#This Row],[Discount Name]])</f>
        <v>0</v>
      </c>
      <c r="S207" s="2">
        <f t="shared" ca="1" si="6"/>
        <v>29.9</v>
      </c>
      <c r="T207" s="2">
        <f t="shared" ca="1" si="7"/>
        <v>219.9</v>
      </c>
      <c r="U207" s="71" t="str">
        <f>IFERROR(VLOOKUP(Table1[[#This Row],[No_]],'Customer Net Price'!A:F,5,FALSE),"0")</f>
        <v>0</v>
      </c>
      <c r="V207" s="71" t="str">
        <f>IFERROR(VLOOKUP(Table1[[#This Row],[No_]],'Customer Net Price'!A:G,6,FALSE),"0")</f>
        <v>0</v>
      </c>
    </row>
    <row r="208" spans="1:22" x14ac:dyDescent="0.25">
      <c r="A208" s="23" t="s">
        <v>44</v>
      </c>
      <c r="B208" s="23" t="s">
        <v>44</v>
      </c>
      <c r="C208" t="s">
        <v>233</v>
      </c>
      <c r="D208" t="s">
        <v>305</v>
      </c>
      <c r="E208" t="s">
        <v>734</v>
      </c>
      <c r="F208" t="s">
        <v>918</v>
      </c>
      <c r="G208" t="s">
        <v>923</v>
      </c>
      <c r="H208" s="1" t="s">
        <v>369</v>
      </c>
      <c r="I208">
        <v>4</v>
      </c>
      <c r="J208" t="s">
        <v>572</v>
      </c>
      <c r="K208" s="2">
        <v>164.9</v>
      </c>
      <c r="L208" s="2">
        <v>1226.9000000000001</v>
      </c>
      <c r="M208" s="2">
        <v>183.9</v>
      </c>
      <c r="N208" s="2">
        <f ca="1">Table1[[#This Row],[2026 (EUR)]]*(1-INDIRECT(Table1[[#This Row],[Discount Name]]))</f>
        <v>164.9</v>
      </c>
      <c r="O208" s="2">
        <f ca="1">Table1[[#This Row],[2026 (DKK)]]*(1-INDIRECT(Table1[[#This Row],[Discount Name]]))</f>
        <v>1226.9000000000001</v>
      </c>
      <c r="P208" s="2" cm="1">
        <f t="array" aca="1" ref="P208" ca="1">Table1[[#This Row],[2026 (USD)]]*(1-INDIRECT(Table1[[#This Row],[Discount Name]]))</f>
        <v>183.9</v>
      </c>
      <c r="Q208" s="31">
        <f ca="1">INDIRECT(Table1[[#This Row],[Discount Name]])</f>
        <v>0</v>
      </c>
      <c r="S208" s="2">
        <f t="shared" ca="1" si="6"/>
        <v>164.9</v>
      </c>
      <c r="T208" s="2">
        <f t="shared" ca="1" si="7"/>
        <v>1226.9000000000001</v>
      </c>
      <c r="U208" s="71" t="str">
        <f>IFERROR(VLOOKUP(Table1[[#This Row],[No_]],'Customer Net Price'!A:F,5,FALSE),"0")</f>
        <v>0</v>
      </c>
      <c r="V208" s="71" t="str">
        <f>IFERROR(VLOOKUP(Table1[[#This Row],[No_]],'Customer Net Price'!A:G,6,FALSE),"0")</f>
        <v>0</v>
      </c>
    </row>
    <row r="209" spans="1:22" x14ac:dyDescent="0.25">
      <c r="A209" s="23" t="s">
        <v>1751</v>
      </c>
      <c r="B209" s="23" t="s">
        <v>44</v>
      </c>
      <c r="C209" t="s">
        <v>233</v>
      </c>
      <c r="D209" t="s">
        <v>305</v>
      </c>
      <c r="E209" t="s">
        <v>734</v>
      </c>
      <c r="F209" t="s">
        <v>918</v>
      </c>
      <c r="G209" t="s">
        <v>923</v>
      </c>
      <c r="H209" s="48" t="s">
        <v>735</v>
      </c>
      <c r="I209">
        <v>4</v>
      </c>
      <c r="J209" t="s">
        <v>903</v>
      </c>
      <c r="K209" s="2">
        <v>164.9</v>
      </c>
      <c r="L209" s="2">
        <v>1226.9000000000001</v>
      </c>
      <c r="M209" s="2">
        <v>183.9</v>
      </c>
      <c r="N209" s="2">
        <f ca="1">Table1[[#This Row],[2026 (EUR)]]*(1-INDIRECT(Table1[[#This Row],[Discount Name]]))</f>
        <v>164.9</v>
      </c>
      <c r="O209" s="2">
        <f ca="1">Table1[[#This Row],[2026 (DKK)]]*(1-INDIRECT(Table1[[#This Row],[Discount Name]]))</f>
        <v>1226.9000000000001</v>
      </c>
      <c r="P209" s="2" cm="1">
        <f t="array" aca="1" ref="P209" ca="1">Table1[[#This Row],[2026 (USD)]]*(1-INDIRECT(Table1[[#This Row],[Discount Name]]))</f>
        <v>183.9</v>
      </c>
      <c r="Q209" s="31">
        <f ca="1">INDIRECT(Table1[[#This Row],[Discount Name]])</f>
        <v>0</v>
      </c>
      <c r="S209" s="2">
        <f t="shared" ca="1" si="6"/>
        <v>164.9</v>
      </c>
      <c r="T209" s="2">
        <f t="shared" ca="1" si="7"/>
        <v>1226.9000000000001</v>
      </c>
      <c r="U209" s="71" t="str">
        <f>IFERROR(VLOOKUP(Table1[[#This Row],[No_]],'Customer Net Price'!A:F,5,FALSE),"0")</f>
        <v>0</v>
      </c>
      <c r="V209" s="71" t="str">
        <f>IFERROR(VLOOKUP(Table1[[#This Row],[No_]],'Customer Net Price'!A:G,6,FALSE),"0")</f>
        <v>0</v>
      </c>
    </row>
    <row r="210" spans="1:22" x14ac:dyDescent="0.25">
      <c r="A210" s="23" t="s">
        <v>528</v>
      </c>
      <c r="B210" s="23" t="s">
        <v>528</v>
      </c>
      <c r="C210" t="s">
        <v>535</v>
      </c>
      <c r="D210" t="s">
        <v>305</v>
      </c>
      <c r="E210" t="s">
        <v>234</v>
      </c>
      <c r="F210" t="s">
        <v>918</v>
      </c>
      <c r="G210" t="s">
        <v>923</v>
      </c>
      <c r="H210" s="1" t="s">
        <v>538</v>
      </c>
      <c r="I210">
        <v>24</v>
      </c>
      <c r="J210" t="s">
        <v>546</v>
      </c>
      <c r="K210" s="2">
        <v>14.9</v>
      </c>
      <c r="L210" s="2">
        <v>110.9</v>
      </c>
      <c r="M210" s="2">
        <v>16.899999999999999</v>
      </c>
      <c r="N210" s="2">
        <f ca="1">Table1[[#This Row],[2026 (EUR)]]*(1-INDIRECT(Table1[[#This Row],[Discount Name]]))</f>
        <v>14.9</v>
      </c>
      <c r="O210" s="2">
        <f ca="1">Table1[[#This Row],[2026 (DKK)]]*(1-INDIRECT(Table1[[#This Row],[Discount Name]]))</f>
        <v>110.9</v>
      </c>
      <c r="P210" s="2" cm="1">
        <f t="array" aca="1" ref="P210" ca="1">Table1[[#This Row],[2026 (USD)]]*(1-INDIRECT(Table1[[#This Row],[Discount Name]]))</f>
        <v>16.899999999999999</v>
      </c>
      <c r="Q210" s="31">
        <f ca="1">INDIRECT(Table1[[#This Row],[Discount Name]])</f>
        <v>0</v>
      </c>
      <c r="S210" s="2">
        <f t="shared" ca="1" si="6"/>
        <v>14.9</v>
      </c>
      <c r="T210" s="2">
        <f t="shared" ca="1" si="7"/>
        <v>110.9</v>
      </c>
      <c r="U210" s="71" t="str">
        <f>IFERROR(VLOOKUP(Table1[[#This Row],[No_]],'Customer Net Price'!A:F,5,FALSE),"0")</f>
        <v>0</v>
      </c>
      <c r="V210" s="71" t="str">
        <f>IFERROR(VLOOKUP(Table1[[#This Row],[No_]],'Customer Net Price'!A:G,6,FALSE),"0")</f>
        <v>0</v>
      </c>
    </row>
    <row r="211" spans="1:22" x14ac:dyDescent="0.25">
      <c r="A211" s="23" t="s">
        <v>121</v>
      </c>
      <c r="B211" s="23" t="s">
        <v>121</v>
      </c>
      <c r="C211" t="s">
        <v>218</v>
      </c>
      <c r="D211" t="s">
        <v>309</v>
      </c>
      <c r="F211" t="s">
        <v>920</v>
      </c>
      <c r="G211" t="s">
        <v>920</v>
      </c>
      <c r="H211" s="1" t="s">
        <v>372</v>
      </c>
      <c r="I211">
        <v>24</v>
      </c>
      <c r="J211" t="s">
        <v>546</v>
      </c>
      <c r="K211" s="2">
        <v>94.9</v>
      </c>
      <c r="L211" s="2">
        <v>699.9</v>
      </c>
      <c r="M211" s="2">
        <v>108.9</v>
      </c>
      <c r="N211" s="2">
        <f ca="1">Table1[[#This Row],[2026 (EUR)]]*(1-INDIRECT(Table1[[#This Row],[Discount Name]]))</f>
        <v>94.9</v>
      </c>
      <c r="O211" s="2">
        <f ca="1">Table1[[#This Row],[2026 (DKK)]]*(1-INDIRECT(Table1[[#This Row],[Discount Name]]))</f>
        <v>699.9</v>
      </c>
      <c r="P211" s="2" cm="1">
        <f t="array" aca="1" ref="P211" ca="1">Table1[[#This Row],[2026 (USD)]]*(1-INDIRECT(Table1[[#This Row],[Discount Name]]))</f>
        <v>108.9</v>
      </c>
      <c r="Q211" s="31">
        <f ca="1">INDIRECT(Table1[[#This Row],[Discount Name]])</f>
        <v>0</v>
      </c>
      <c r="S211" s="2">
        <f t="shared" ca="1" si="6"/>
        <v>94.9</v>
      </c>
      <c r="T211" s="2">
        <f t="shared" ca="1" si="7"/>
        <v>699.9</v>
      </c>
      <c r="U211" s="71" t="str">
        <f>IFERROR(VLOOKUP(Table1[[#This Row],[No_]],'Customer Net Price'!A:F,5,FALSE),"0")</f>
        <v>0</v>
      </c>
      <c r="V211" s="71" t="str">
        <f>IFERROR(VLOOKUP(Table1[[#This Row],[No_]],'Customer Net Price'!A:G,6,FALSE),"0")</f>
        <v>0</v>
      </c>
    </row>
    <row r="212" spans="1:22" x14ac:dyDescent="0.25">
      <c r="A212" s="23" t="s">
        <v>1081</v>
      </c>
      <c r="B212" s="23" t="s">
        <v>1081</v>
      </c>
      <c r="C212" t="s">
        <v>1082</v>
      </c>
      <c r="D212" t="s">
        <v>309</v>
      </c>
      <c r="F212" t="s">
        <v>920</v>
      </c>
      <c r="G212" t="s">
        <v>920</v>
      </c>
      <c r="H212" s="46" t="s">
        <v>1083</v>
      </c>
      <c r="I212" s="17">
        <v>24</v>
      </c>
      <c r="J212" t="s">
        <v>546</v>
      </c>
      <c r="K212" s="2">
        <v>139.9</v>
      </c>
      <c r="L212" s="2">
        <v>1039.9000000000001</v>
      </c>
      <c r="M212" s="2">
        <v>156.9</v>
      </c>
      <c r="N212" s="2">
        <f ca="1">Table1[[#This Row],[2026 (EUR)]]*(1-INDIRECT(Table1[[#This Row],[Discount Name]]))</f>
        <v>139.9</v>
      </c>
      <c r="O212" s="2">
        <f ca="1">Table1[[#This Row],[2026 (DKK)]]*(1-INDIRECT(Table1[[#This Row],[Discount Name]]))</f>
        <v>1039.9000000000001</v>
      </c>
      <c r="P212" s="2" cm="1">
        <f t="array" aca="1" ref="P212" ca="1">Table1[[#This Row],[2026 (USD)]]*(1-INDIRECT(Table1[[#This Row],[Discount Name]]))</f>
        <v>156.9</v>
      </c>
      <c r="Q212" s="31">
        <f ca="1">INDIRECT(Table1[[#This Row],[Discount Name]])</f>
        <v>0</v>
      </c>
      <c r="S212" s="2">
        <f t="shared" ca="1" si="6"/>
        <v>139.9</v>
      </c>
      <c r="T212" s="2">
        <f t="shared" ca="1" si="7"/>
        <v>1039.9000000000001</v>
      </c>
      <c r="U212" s="71" t="str">
        <f>IFERROR(VLOOKUP(Table1[[#This Row],[No_]],'Customer Net Price'!A:F,5,FALSE),"0")</f>
        <v>0</v>
      </c>
      <c r="V212" s="71" t="str">
        <f>IFERROR(VLOOKUP(Table1[[#This Row],[No_]],'Customer Net Price'!A:G,6,FALSE),"0")</f>
        <v>0</v>
      </c>
    </row>
    <row r="213" spans="1:22" x14ac:dyDescent="0.25">
      <c r="A213" s="23" t="s">
        <v>1084</v>
      </c>
      <c r="B213" s="23" t="s">
        <v>1084</v>
      </c>
      <c r="C213" t="s">
        <v>219</v>
      </c>
      <c r="D213" t="s">
        <v>309</v>
      </c>
      <c r="F213" t="s">
        <v>920</v>
      </c>
      <c r="G213" t="s">
        <v>920</v>
      </c>
      <c r="H213" s="1" t="s">
        <v>1085</v>
      </c>
      <c r="I213">
        <v>6</v>
      </c>
      <c r="J213" t="s">
        <v>546</v>
      </c>
      <c r="K213" s="2">
        <v>134.9</v>
      </c>
      <c r="L213" s="2">
        <v>999.9</v>
      </c>
      <c r="M213" s="2">
        <v>150.9</v>
      </c>
      <c r="N213" s="2">
        <f ca="1">Table1[[#This Row],[2026 (EUR)]]*(1-INDIRECT(Table1[[#This Row],[Discount Name]]))</f>
        <v>134.9</v>
      </c>
      <c r="O213" s="2">
        <f ca="1">Table1[[#This Row],[2026 (DKK)]]*(1-INDIRECT(Table1[[#This Row],[Discount Name]]))</f>
        <v>999.9</v>
      </c>
      <c r="P213" s="2" cm="1">
        <f t="array" aca="1" ref="P213" ca="1">Table1[[#This Row],[2026 (USD)]]*(1-INDIRECT(Table1[[#This Row],[Discount Name]]))</f>
        <v>150.9</v>
      </c>
      <c r="Q213" s="31">
        <f ca="1">INDIRECT(Table1[[#This Row],[Discount Name]])</f>
        <v>0</v>
      </c>
      <c r="S213" s="2">
        <f t="shared" ca="1" si="6"/>
        <v>134.9</v>
      </c>
      <c r="T213" s="2">
        <f t="shared" ca="1" si="7"/>
        <v>999.9</v>
      </c>
      <c r="U213" s="71" t="str">
        <f>IFERROR(VLOOKUP(Table1[[#This Row],[No_]],'Customer Net Price'!A:F,5,FALSE),"0")</f>
        <v>0</v>
      </c>
      <c r="V213" s="71" t="str">
        <f>IFERROR(VLOOKUP(Table1[[#This Row],[No_]],'Customer Net Price'!A:G,6,FALSE),"0")</f>
        <v>0</v>
      </c>
    </row>
    <row r="214" spans="1:22" x14ac:dyDescent="0.25">
      <c r="A214" s="23" t="s">
        <v>1223</v>
      </c>
      <c r="B214" s="23" t="s">
        <v>1223</v>
      </c>
      <c r="C214" s="58" t="s">
        <v>1225</v>
      </c>
      <c r="D214" t="s">
        <v>309</v>
      </c>
      <c r="F214" t="s">
        <v>920</v>
      </c>
      <c r="G214" t="s">
        <v>920</v>
      </c>
      <c r="H214" s="42" t="s">
        <v>1224</v>
      </c>
      <c r="I214" t="s">
        <v>546</v>
      </c>
      <c r="J214" t="s">
        <v>546</v>
      </c>
      <c r="K214" s="2">
        <v>69.900000000000006</v>
      </c>
      <c r="L214" s="2">
        <v>519.9</v>
      </c>
      <c r="M214" s="2">
        <v>74.900000000000006</v>
      </c>
      <c r="N214" s="2">
        <f ca="1">Table1[[#This Row],[2026 (EUR)]]*(1-INDIRECT(Table1[[#This Row],[Discount Name]]))</f>
        <v>69.900000000000006</v>
      </c>
      <c r="O214" s="2">
        <f ca="1">Table1[[#This Row],[2026 (DKK)]]*(1-INDIRECT(Table1[[#This Row],[Discount Name]]))</f>
        <v>519.9</v>
      </c>
      <c r="P214" s="2" cm="1">
        <f t="array" aca="1" ref="P214" ca="1">Table1[[#This Row],[2026 (USD)]]*(1-INDIRECT(Table1[[#This Row],[Discount Name]]))</f>
        <v>74.900000000000006</v>
      </c>
      <c r="Q214" s="31">
        <f ca="1">INDIRECT(Table1[[#This Row],[Discount Name]])</f>
        <v>0</v>
      </c>
      <c r="S214" s="2">
        <f t="shared" ca="1" si="6"/>
        <v>69.900000000000006</v>
      </c>
      <c r="T214" s="2">
        <f t="shared" ca="1" si="7"/>
        <v>519.9</v>
      </c>
      <c r="U214" s="71" t="str">
        <f>IFERROR(VLOOKUP(Table1[[#This Row],[No_]],'Customer Net Price'!A:F,5,FALSE),"0")</f>
        <v>0</v>
      </c>
      <c r="V214" s="71" t="str">
        <f>IFERROR(VLOOKUP(Table1[[#This Row],[No_]],'Customer Net Price'!A:G,6,FALSE),"0")</f>
        <v>0</v>
      </c>
    </row>
    <row r="215" spans="1:22" x14ac:dyDescent="0.25">
      <c r="A215" s="23" t="s">
        <v>1697</v>
      </c>
      <c r="B215" s="23" t="s">
        <v>1697</v>
      </c>
      <c r="C215" t="s">
        <v>1699</v>
      </c>
      <c r="D215" t="s">
        <v>309</v>
      </c>
      <c r="F215" t="s">
        <v>920</v>
      </c>
      <c r="G215" t="s">
        <v>920</v>
      </c>
      <c r="H215" s="48" t="s">
        <v>1698</v>
      </c>
      <c r="I215">
        <v>24</v>
      </c>
      <c r="J215" t="s">
        <v>546</v>
      </c>
      <c r="K215" s="71">
        <v>84.9</v>
      </c>
      <c r="L215" s="71">
        <v>629.9</v>
      </c>
      <c r="M215" s="71">
        <v>89.9</v>
      </c>
      <c r="N215" s="71">
        <f ca="1">Table1[[#This Row],[2026 (EUR)]]*(1-INDIRECT(Table1[[#This Row],[Discount Name]]))</f>
        <v>84.9</v>
      </c>
      <c r="O215" s="71">
        <f ca="1">Table1[[#This Row],[2026 (DKK)]]*(1-INDIRECT(Table1[[#This Row],[Discount Name]]))</f>
        <v>629.9</v>
      </c>
      <c r="P215" s="71" cm="1">
        <f t="array" aca="1" ref="P215" ca="1">Table1[[#This Row],[2026 (USD)]]*(1-INDIRECT(Table1[[#This Row],[Discount Name]]))</f>
        <v>89.9</v>
      </c>
      <c r="Q215" s="31">
        <f ca="1">INDIRECT(Table1[[#This Row],[Discount Name]])</f>
        <v>0</v>
      </c>
      <c r="S215" s="2">
        <f t="shared" ca="1" si="6"/>
        <v>84.9</v>
      </c>
      <c r="T215" s="2">
        <f t="shared" ca="1" si="7"/>
        <v>629.9</v>
      </c>
      <c r="U215" s="71" t="str">
        <f>IFERROR(VLOOKUP(Table1[[#This Row],[No_]],'Customer Net Price'!A:F,5,FALSE),"0")</f>
        <v>0</v>
      </c>
      <c r="V215" s="71" t="str">
        <f>IFERROR(VLOOKUP(Table1[[#This Row],[No_]],'Customer Net Price'!A:G,6,FALSE),"0")</f>
        <v>0</v>
      </c>
    </row>
    <row r="216" spans="1:22" x14ac:dyDescent="0.25">
      <c r="A216" s="23" t="s">
        <v>531</v>
      </c>
      <c r="B216" s="23" t="s">
        <v>531</v>
      </c>
      <c r="C216" t="s">
        <v>536</v>
      </c>
      <c r="D216" t="s">
        <v>305</v>
      </c>
      <c r="E216" t="s">
        <v>485</v>
      </c>
      <c r="F216" t="s">
        <v>918</v>
      </c>
      <c r="G216" t="s">
        <v>923</v>
      </c>
      <c r="H216" s="1" t="s">
        <v>541</v>
      </c>
      <c r="I216">
        <v>24</v>
      </c>
      <c r="J216" t="s">
        <v>546</v>
      </c>
      <c r="K216" s="2">
        <v>24.9</v>
      </c>
      <c r="L216" s="2">
        <v>184.9</v>
      </c>
      <c r="M216" s="2">
        <v>26.9</v>
      </c>
      <c r="N216" s="2">
        <f ca="1">Table1[[#This Row],[2026 (EUR)]]*(1-INDIRECT(Table1[[#This Row],[Discount Name]]))</f>
        <v>24.9</v>
      </c>
      <c r="O216" s="2">
        <f ca="1">Table1[[#This Row],[2026 (DKK)]]*(1-INDIRECT(Table1[[#This Row],[Discount Name]]))</f>
        <v>184.9</v>
      </c>
      <c r="P216" s="2" cm="1">
        <f t="array" aca="1" ref="P216" ca="1">Table1[[#This Row],[2026 (USD)]]*(1-INDIRECT(Table1[[#This Row],[Discount Name]]))</f>
        <v>26.9</v>
      </c>
      <c r="Q216" s="31">
        <f ca="1">INDIRECT(Table1[[#This Row],[Discount Name]])</f>
        <v>0</v>
      </c>
      <c r="S216" s="2">
        <f t="shared" ca="1" si="6"/>
        <v>24.9</v>
      </c>
      <c r="T216" s="2">
        <f t="shared" ca="1" si="7"/>
        <v>184.9</v>
      </c>
      <c r="U216" s="71" t="str">
        <f>IFERROR(VLOOKUP(Table1[[#This Row],[No_]],'Customer Net Price'!A:F,5,FALSE),"0")</f>
        <v>0</v>
      </c>
      <c r="V216" s="71" t="str">
        <f>IFERROR(VLOOKUP(Table1[[#This Row],[No_]],'Customer Net Price'!A:G,6,FALSE),"0")</f>
        <v>0</v>
      </c>
    </row>
    <row r="217" spans="1:22" x14ac:dyDescent="0.25">
      <c r="A217" s="23" t="s">
        <v>532</v>
      </c>
      <c r="B217" s="23" t="s">
        <v>532</v>
      </c>
      <c r="C217" t="s">
        <v>537</v>
      </c>
      <c r="D217" t="s">
        <v>305</v>
      </c>
      <c r="E217" t="s">
        <v>485</v>
      </c>
      <c r="F217" t="s">
        <v>918</v>
      </c>
      <c r="G217" t="s">
        <v>923</v>
      </c>
      <c r="H217" s="1" t="s">
        <v>542</v>
      </c>
      <c r="I217">
        <v>24</v>
      </c>
      <c r="J217" t="s">
        <v>546</v>
      </c>
      <c r="K217" s="2">
        <v>34.9</v>
      </c>
      <c r="L217" s="2">
        <v>259.89999999999998</v>
      </c>
      <c r="M217" s="2">
        <v>37.9</v>
      </c>
      <c r="N217" s="2">
        <f ca="1">Table1[[#This Row],[2026 (EUR)]]*(1-INDIRECT(Table1[[#This Row],[Discount Name]]))</f>
        <v>34.9</v>
      </c>
      <c r="O217" s="2">
        <f ca="1">Table1[[#This Row],[2026 (DKK)]]*(1-INDIRECT(Table1[[#This Row],[Discount Name]]))</f>
        <v>259.89999999999998</v>
      </c>
      <c r="P217" s="2" cm="1">
        <f t="array" aca="1" ref="P217" ca="1">Table1[[#This Row],[2026 (USD)]]*(1-INDIRECT(Table1[[#This Row],[Discount Name]]))</f>
        <v>37.9</v>
      </c>
      <c r="Q217" s="31">
        <f ca="1">INDIRECT(Table1[[#This Row],[Discount Name]])</f>
        <v>0</v>
      </c>
      <c r="S217" s="2">
        <f t="shared" ca="1" si="6"/>
        <v>34.9</v>
      </c>
      <c r="T217" s="2">
        <f t="shared" ca="1" si="7"/>
        <v>259.89999999999998</v>
      </c>
      <c r="U217" s="71" t="str">
        <f>IFERROR(VLOOKUP(Table1[[#This Row],[No_]],'Customer Net Price'!A:F,5,FALSE),"0")</f>
        <v>0</v>
      </c>
      <c r="V217" s="71" t="str">
        <f>IFERROR(VLOOKUP(Table1[[#This Row],[No_]],'Customer Net Price'!A:G,6,FALSE),"0")</f>
        <v>0</v>
      </c>
    </row>
    <row r="218" spans="1:22" x14ac:dyDescent="0.25">
      <c r="A218" s="23" t="s">
        <v>529</v>
      </c>
      <c r="B218" s="23" t="s">
        <v>529</v>
      </c>
      <c r="C218" t="s">
        <v>234</v>
      </c>
      <c r="D218" t="s">
        <v>305</v>
      </c>
      <c r="E218" t="s">
        <v>234</v>
      </c>
      <c r="F218" t="s">
        <v>918</v>
      </c>
      <c r="G218" t="s">
        <v>923</v>
      </c>
      <c r="H218" s="1" t="s">
        <v>539</v>
      </c>
      <c r="I218">
        <v>24</v>
      </c>
      <c r="J218" t="s">
        <v>546</v>
      </c>
      <c r="K218" s="2">
        <v>32.9</v>
      </c>
      <c r="L218" s="2">
        <v>249.9</v>
      </c>
      <c r="M218" s="2">
        <v>36.9</v>
      </c>
      <c r="N218" s="2">
        <f ca="1">Table1[[#This Row],[2026 (EUR)]]*(1-INDIRECT(Table1[[#This Row],[Discount Name]]))</f>
        <v>32.9</v>
      </c>
      <c r="O218" s="2">
        <f ca="1">Table1[[#This Row],[2026 (DKK)]]*(1-INDIRECT(Table1[[#This Row],[Discount Name]]))</f>
        <v>249.9</v>
      </c>
      <c r="P218" s="2" cm="1">
        <f t="array" aca="1" ref="P218" ca="1">Table1[[#This Row],[2026 (USD)]]*(1-INDIRECT(Table1[[#This Row],[Discount Name]]))</f>
        <v>36.9</v>
      </c>
      <c r="Q218" s="31">
        <f ca="1">INDIRECT(Table1[[#This Row],[Discount Name]])</f>
        <v>0</v>
      </c>
      <c r="S218" s="2">
        <f t="shared" ca="1" si="6"/>
        <v>32.9</v>
      </c>
      <c r="T218" s="2">
        <f t="shared" ca="1" si="7"/>
        <v>249.9</v>
      </c>
      <c r="U218" s="71" t="str">
        <f>IFERROR(VLOOKUP(Table1[[#This Row],[No_]],'Customer Net Price'!A:F,5,FALSE),"0")</f>
        <v>0</v>
      </c>
      <c r="V218" s="71" t="str">
        <f>IFERROR(VLOOKUP(Table1[[#This Row],[No_]],'Customer Net Price'!A:G,6,FALSE),"0")</f>
        <v>0</v>
      </c>
    </row>
    <row r="219" spans="1:22" x14ac:dyDescent="0.25">
      <c r="A219" s="23" t="s">
        <v>530</v>
      </c>
      <c r="B219" s="23" t="s">
        <v>530</v>
      </c>
      <c r="C219" t="s">
        <v>235</v>
      </c>
      <c r="D219" t="s">
        <v>305</v>
      </c>
      <c r="E219" t="s">
        <v>234</v>
      </c>
      <c r="F219" t="s">
        <v>918</v>
      </c>
      <c r="G219" t="s">
        <v>923</v>
      </c>
      <c r="H219" s="1" t="s">
        <v>540</v>
      </c>
      <c r="I219">
        <v>24</v>
      </c>
      <c r="J219" t="s">
        <v>546</v>
      </c>
      <c r="K219" s="2">
        <v>21.9</v>
      </c>
      <c r="L219" s="2">
        <v>169.9</v>
      </c>
      <c r="M219" s="2">
        <v>24.9</v>
      </c>
      <c r="N219" s="2">
        <f ca="1">Table1[[#This Row],[2026 (EUR)]]*(1-INDIRECT(Table1[[#This Row],[Discount Name]]))</f>
        <v>21.9</v>
      </c>
      <c r="O219" s="2">
        <f ca="1">Table1[[#This Row],[2026 (DKK)]]*(1-INDIRECT(Table1[[#This Row],[Discount Name]]))</f>
        <v>169.9</v>
      </c>
      <c r="P219" s="2" cm="1">
        <f t="array" aca="1" ref="P219" ca="1">Table1[[#This Row],[2026 (USD)]]*(1-INDIRECT(Table1[[#This Row],[Discount Name]]))</f>
        <v>24.9</v>
      </c>
      <c r="Q219" s="31">
        <f ca="1">INDIRECT(Table1[[#This Row],[Discount Name]])</f>
        <v>0</v>
      </c>
      <c r="S219" s="2">
        <f t="shared" ca="1" si="6"/>
        <v>21.9</v>
      </c>
      <c r="T219" s="2">
        <f t="shared" ca="1" si="7"/>
        <v>169.9</v>
      </c>
      <c r="U219" s="71" t="str">
        <f>IFERROR(VLOOKUP(Table1[[#This Row],[No_]],'Customer Net Price'!A:F,5,FALSE),"0")</f>
        <v>0</v>
      </c>
      <c r="V219" s="71" t="str">
        <f>IFERROR(VLOOKUP(Table1[[#This Row],[No_]],'Customer Net Price'!A:G,6,FALSE),"0")</f>
        <v>0</v>
      </c>
    </row>
    <row r="220" spans="1:22" x14ac:dyDescent="0.25">
      <c r="A220" s="23" t="s">
        <v>533</v>
      </c>
      <c r="B220" s="23" t="s">
        <v>533</v>
      </c>
      <c r="C220" t="s">
        <v>232</v>
      </c>
      <c r="D220" t="s">
        <v>305</v>
      </c>
      <c r="E220" t="s">
        <v>544</v>
      </c>
      <c r="F220" t="s">
        <v>918</v>
      </c>
      <c r="G220" t="s">
        <v>923</v>
      </c>
      <c r="H220" s="48" t="s">
        <v>543</v>
      </c>
      <c r="I220">
        <v>20</v>
      </c>
      <c r="J220" t="s">
        <v>572</v>
      </c>
      <c r="K220" s="2">
        <v>34.9</v>
      </c>
      <c r="L220" s="2">
        <v>259.89999999999998</v>
      </c>
      <c r="M220" s="2">
        <v>37.9</v>
      </c>
      <c r="N220" s="2">
        <f ca="1">Table1[[#This Row],[2026 (EUR)]]*(1-INDIRECT(Table1[[#This Row],[Discount Name]]))</f>
        <v>34.9</v>
      </c>
      <c r="O220" s="2">
        <f ca="1">Table1[[#This Row],[2026 (DKK)]]*(1-INDIRECT(Table1[[#This Row],[Discount Name]]))</f>
        <v>259.89999999999998</v>
      </c>
      <c r="P220" s="2" cm="1">
        <f t="array" aca="1" ref="P220" ca="1">Table1[[#This Row],[2026 (USD)]]*(1-INDIRECT(Table1[[#This Row],[Discount Name]]))</f>
        <v>37.9</v>
      </c>
      <c r="Q220" s="31">
        <f ca="1">INDIRECT(Table1[[#This Row],[Discount Name]])</f>
        <v>0</v>
      </c>
      <c r="S220" s="2">
        <f t="shared" ca="1" si="6"/>
        <v>34.9</v>
      </c>
      <c r="T220" s="2">
        <f t="shared" ca="1" si="7"/>
        <v>259.89999999999998</v>
      </c>
      <c r="U220" s="71" t="str">
        <f>IFERROR(VLOOKUP(Table1[[#This Row],[No_]],'Customer Net Price'!A:F,5,FALSE),"0")</f>
        <v>0</v>
      </c>
      <c r="V220" s="71" t="str">
        <f>IFERROR(VLOOKUP(Table1[[#This Row],[No_]],'Customer Net Price'!A:G,6,FALSE),"0")</f>
        <v>0</v>
      </c>
    </row>
    <row r="221" spans="1:22" x14ac:dyDescent="0.25">
      <c r="A221" s="24" t="s">
        <v>888</v>
      </c>
      <c r="B221" s="24" t="s">
        <v>888</v>
      </c>
      <c r="C221" t="s">
        <v>889</v>
      </c>
      <c r="D221" t="s">
        <v>305</v>
      </c>
      <c r="E221" t="s">
        <v>486</v>
      </c>
      <c r="F221" t="s">
        <v>918</v>
      </c>
      <c r="G221" t="s">
        <v>923</v>
      </c>
      <c r="H221" s="79" t="s">
        <v>942</v>
      </c>
      <c r="I221" s="17">
        <v>4</v>
      </c>
      <c r="J221" t="s">
        <v>572</v>
      </c>
      <c r="K221" s="2">
        <v>134.9</v>
      </c>
      <c r="L221" s="2">
        <v>999.9</v>
      </c>
      <c r="M221" s="2">
        <v>149.9</v>
      </c>
      <c r="N221" s="2">
        <f ca="1">Table1[[#This Row],[2026 (EUR)]]*(1-INDIRECT(Table1[[#This Row],[Discount Name]]))</f>
        <v>134.9</v>
      </c>
      <c r="O221" s="2">
        <f ca="1">Table1[[#This Row],[2026 (DKK)]]*(1-INDIRECT(Table1[[#This Row],[Discount Name]]))</f>
        <v>999.9</v>
      </c>
      <c r="P221" s="2" cm="1">
        <f t="array" aca="1" ref="P221" ca="1">Table1[[#This Row],[2026 (USD)]]*(1-INDIRECT(Table1[[#This Row],[Discount Name]]))</f>
        <v>149.9</v>
      </c>
      <c r="Q221" s="31">
        <f ca="1">INDIRECT(Table1[[#This Row],[Discount Name]])</f>
        <v>0</v>
      </c>
      <c r="S221" s="2">
        <f t="shared" ca="1" si="6"/>
        <v>134.9</v>
      </c>
      <c r="T221" s="2">
        <f t="shared" ca="1" si="7"/>
        <v>999.9</v>
      </c>
      <c r="U221" s="71" t="str">
        <f>IFERROR(VLOOKUP(Table1[[#This Row],[No_]],'Customer Net Price'!A:F,5,FALSE),"0")</f>
        <v>0</v>
      </c>
      <c r="V221" s="71" t="str">
        <f>IFERROR(VLOOKUP(Table1[[#This Row],[No_]],'Customer Net Price'!A:G,6,FALSE),"0")</f>
        <v>0</v>
      </c>
    </row>
    <row r="222" spans="1:22" x14ac:dyDescent="0.25">
      <c r="A222" s="24" t="s">
        <v>1776</v>
      </c>
      <c r="B222" s="24" t="s">
        <v>888</v>
      </c>
      <c r="C222" t="s">
        <v>889</v>
      </c>
      <c r="D222" t="s">
        <v>305</v>
      </c>
      <c r="E222" t="s">
        <v>486</v>
      </c>
      <c r="F222" t="s">
        <v>918</v>
      </c>
      <c r="G222" t="s">
        <v>923</v>
      </c>
      <c r="H222" s="79" t="s">
        <v>1777</v>
      </c>
      <c r="I222" s="17" t="s">
        <v>546</v>
      </c>
      <c r="J222" t="s">
        <v>903</v>
      </c>
      <c r="K222" s="2">
        <v>134.9</v>
      </c>
      <c r="L222" s="2">
        <v>999.9</v>
      </c>
      <c r="M222" s="2">
        <v>149.9</v>
      </c>
      <c r="N222" s="2">
        <f ca="1">Table1[[#This Row],[2026 (EUR)]]*(1-INDIRECT(Table1[[#This Row],[Discount Name]]))</f>
        <v>134.9</v>
      </c>
      <c r="O222" s="2">
        <f ca="1">Table1[[#This Row],[2026 (DKK)]]*(1-INDIRECT(Table1[[#This Row],[Discount Name]]))</f>
        <v>999.9</v>
      </c>
      <c r="P222" s="2" cm="1">
        <f t="array" aca="1" ref="P222" ca="1">Table1[[#This Row],[2026 (USD)]]*(1-INDIRECT(Table1[[#This Row],[Discount Name]]))</f>
        <v>149.9</v>
      </c>
      <c r="Q222" s="31">
        <f ca="1">INDIRECT(Table1[[#This Row],[Discount Name]])</f>
        <v>0</v>
      </c>
      <c r="S222" s="2">
        <f t="shared" ca="1" si="6"/>
        <v>134.9</v>
      </c>
      <c r="T222" s="2">
        <f t="shared" ca="1" si="7"/>
        <v>999.9</v>
      </c>
      <c r="U222" s="71" t="str">
        <f>IFERROR(VLOOKUP(Table1[[#This Row],[No_]],'Customer Net Price'!A:F,5,FALSE),"0")</f>
        <v>0</v>
      </c>
      <c r="V222" s="71" t="str">
        <f>IFERROR(VLOOKUP(Table1[[#This Row],[No_]],'Customer Net Price'!A:G,6,FALSE),"0")</f>
        <v>0</v>
      </c>
    </row>
    <row r="223" spans="1:22" x14ac:dyDescent="0.25">
      <c r="A223" s="24" t="s">
        <v>1430</v>
      </c>
      <c r="B223" s="24" t="s">
        <v>1430</v>
      </c>
      <c r="C223" t="s">
        <v>1432</v>
      </c>
      <c r="D223" t="s">
        <v>309</v>
      </c>
      <c r="F223" t="s">
        <v>920</v>
      </c>
      <c r="G223" t="s">
        <v>920</v>
      </c>
      <c r="H223" s="42" t="s">
        <v>1434</v>
      </c>
      <c r="I223" s="17" t="s">
        <v>546</v>
      </c>
      <c r="J223" t="s">
        <v>572</v>
      </c>
      <c r="K223" s="2">
        <v>274.89999999999998</v>
      </c>
      <c r="L223" s="2">
        <v>2044.9</v>
      </c>
      <c r="M223" s="2">
        <v>299.89999999999998</v>
      </c>
      <c r="N223" s="2">
        <f ca="1">Table1[[#This Row],[2026 (EUR)]]*(1-INDIRECT(Table1[[#This Row],[Discount Name]]))</f>
        <v>274.89999999999998</v>
      </c>
      <c r="O223" s="2">
        <f ca="1">Table1[[#This Row],[2026 (DKK)]]*(1-INDIRECT(Table1[[#This Row],[Discount Name]]))</f>
        <v>2044.9</v>
      </c>
      <c r="P223" s="2" cm="1">
        <f t="array" aca="1" ref="P223" ca="1">Table1[[#This Row],[2026 (USD)]]*(1-INDIRECT(Table1[[#This Row],[Discount Name]]))</f>
        <v>299.89999999999998</v>
      </c>
      <c r="Q223" s="31">
        <f ca="1">INDIRECT(Table1[[#This Row],[Discount Name]])</f>
        <v>0</v>
      </c>
      <c r="S223" s="2">
        <f t="shared" ca="1" si="6"/>
        <v>274.89999999999998</v>
      </c>
      <c r="T223" s="2">
        <f t="shared" ca="1" si="7"/>
        <v>2044.9</v>
      </c>
      <c r="U223" s="71" t="str">
        <f>IFERROR(VLOOKUP(Table1[[#This Row],[No_]],'Customer Net Price'!A:F,5,FALSE),"0")</f>
        <v>0</v>
      </c>
      <c r="V223" s="71" t="str">
        <f>IFERROR(VLOOKUP(Table1[[#This Row],[No_]],'Customer Net Price'!A:G,6,FALSE),"0")</f>
        <v>0</v>
      </c>
    </row>
    <row r="224" spans="1:22" x14ac:dyDescent="0.25">
      <c r="A224" s="24" t="s">
        <v>1752</v>
      </c>
      <c r="B224" s="24" t="s">
        <v>1430</v>
      </c>
      <c r="C224" t="s">
        <v>1432</v>
      </c>
      <c r="D224" t="s">
        <v>309</v>
      </c>
      <c r="F224" t="s">
        <v>920</v>
      </c>
      <c r="G224" t="s">
        <v>920</v>
      </c>
      <c r="H224" s="42" t="s">
        <v>1757</v>
      </c>
      <c r="I224" s="17" t="s">
        <v>546</v>
      </c>
      <c r="J224" t="s">
        <v>571</v>
      </c>
      <c r="K224" s="2">
        <v>274.89999999999998</v>
      </c>
      <c r="L224" s="2">
        <v>2044.9</v>
      </c>
      <c r="M224" s="2">
        <v>299.89999999999998</v>
      </c>
      <c r="N224" s="2">
        <f ca="1">Table1[[#This Row],[2026 (EUR)]]*(1-INDIRECT(Table1[[#This Row],[Discount Name]]))</f>
        <v>274.89999999999998</v>
      </c>
      <c r="O224" s="2">
        <f ca="1">Table1[[#This Row],[2026 (DKK)]]*(1-INDIRECT(Table1[[#This Row],[Discount Name]]))</f>
        <v>2044.9</v>
      </c>
      <c r="P224" s="2" cm="1">
        <f t="array" aca="1" ref="P224" ca="1">Table1[[#This Row],[2026 (USD)]]*(1-INDIRECT(Table1[[#This Row],[Discount Name]]))</f>
        <v>299.89999999999998</v>
      </c>
      <c r="Q224" s="31">
        <f ca="1">INDIRECT(Table1[[#This Row],[Discount Name]])</f>
        <v>0</v>
      </c>
      <c r="S224" s="2">
        <f t="shared" ca="1" si="6"/>
        <v>274.89999999999998</v>
      </c>
      <c r="T224" s="2">
        <f t="shared" ca="1" si="7"/>
        <v>2044.9</v>
      </c>
      <c r="U224" s="71" t="str">
        <f>IFERROR(VLOOKUP(Table1[[#This Row],[No_]],'Customer Net Price'!A:F,5,FALSE),"0")</f>
        <v>0</v>
      </c>
      <c r="V224" s="71" t="str">
        <f>IFERROR(VLOOKUP(Table1[[#This Row],[No_]],'Customer Net Price'!A:G,6,FALSE),"0")</f>
        <v>0</v>
      </c>
    </row>
    <row r="225" spans="1:22" x14ac:dyDescent="0.25">
      <c r="A225" s="24" t="s">
        <v>1753</v>
      </c>
      <c r="B225" s="24" t="s">
        <v>1430</v>
      </c>
      <c r="C225" t="s">
        <v>1432</v>
      </c>
      <c r="D225" t="s">
        <v>309</v>
      </c>
      <c r="F225" t="s">
        <v>920</v>
      </c>
      <c r="G225" t="s">
        <v>920</v>
      </c>
      <c r="H225" s="42" t="s">
        <v>1758</v>
      </c>
      <c r="I225" s="17" t="s">
        <v>546</v>
      </c>
      <c r="J225" t="s">
        <v>903</v>
      </c>
      <c r="K225" s="2">
        <v>274.89999999999998</v>
      </c>
      <c r="L225" s="2">
        <v>2044.9</v>
      </c>
      <c r="M225" s="2">
        <v>299.89999999999998</v>
      </c>
      <c r="N225" s="2">
        <f ca="1">Table1[[#This Row],[2026 (EUR)]]*(1-INDIRECT(Table1[[#This Row],[Discount Name]]))</f>
        <v>274.89999999999998</v>
      </c>
      <c r="O225" s="2">
        <f ca="1">Table1[[#This Row],[2026 (DKK)]]*(1-INDIRECT(Table1[[#This Row],[Discount Name]]))</f>
        <v>2044.9</v>
      </c>
      <c r="P225" s="2" cm="1">
        <f t="array" aca="1" ref="P225" ca="1">Table1[[#This Row],[2026 (USD)]]*(1-INDIRECT(Table1[[#This Row],[Discount Name]]))</f>
        <v>299.89999999999998</v>
      </c>
      <c r="Q225" s="31">
        <f ca="1">INDIRECT(Table1[[#This Row],[Discount Name]])</f>
        <v>0</v>
      </c>
      <c r="S225" s="2">
        <f t="shared" ca="1" si="6"/>
        <v>274.89999999999998</v>
      </c>
      <c r="T225" s="2">
        <f t="shared" ca="1" si="7"/>
        <v>2044.9</v>
      </c>
      <c r="U225" s="71" t="str">
        <f>IFERROR(VLOOKUP(Table1[[#This Row],[No_]],'Customer Net Price'!A:F,5,FALSE),"0")</f>
        <v>0</v>
      </c>
      <c r="V225" s="71" t="str">
        <f>IFERROR(VLOOKUP(Table1[[#This Row],[No_]],'Customer Net Price'!A:G,6,FALSE),"0")</f>
        <v>0</v>
      </c>
    </row>
    <row r="226" spans="1:22" x14ac:dyDescent="0.25">
      <c r="A226" s="24" t="s">
        <v>1754</v>
      </c>
      <c r="B226" s="24" t="s">
        <v>1430</v>
      </c>
      <c r="C226" t="s">
        <v>1432</v>
      </c>
      <c r="D226" t="s">
        <v>309</v>
      </c>
      <c r="F226" t="s">
        <v>920</v>
      </c>
      <c r="G226" t="s">
        <v>920</v>
      </c>
      <c r="H226" s="42" t="s">
        <v>1759</v>
      </c>
      <c r="I226" s="17" t="s">
        <v>546</v>
      </c>
      <c r="J226" t="s">
        <v>1184</v>
      </c>
      <c r="K226" s="2">
        <v>274.89999999999998</v>
      </c>
      <c r="L226" s="2">
        <v>2044.9</v>
      </c>
      <c r="M226" s="2">
        <v>299.89999999999998</v>
      </c>
      <c r="N226" s="2">
        <f ca="1">Table1[[#This Row],[2026 (EUR)]]*(1-INDIRECT(Table1[[#This Row],[Discount Name]]))</f>
        <v>274.89999999999998</v>
      </c>
      <c r="O226" s="2">
        <f ca="1">Table1[[#This Row],[2026 (DKK)]]*(1-INDIRECT(Table1[[#This Row],[Discount Name]]))</f>
        <v>2044.9</v>
      </c>
      <c r="P226" s="2" cm="1">
        <f t="array" aca="1" ref="P226" ca="1">Table1[[#This Row],[2026 (USD)]]*(1-INDIRECT(Table1[[#This Row],[Discount Name]]))</f>
        <v>299.89999999999998</v>
      </c>
      <c r="Q226" s="31">
        <f ca="1">INDIRECT(Table1[[#This Row],[Discount Name]])</f>
        <v>0</v>
      </c>
      <c r="S226" s="2">
        <f t="shared" ca="1" si="6"/>
        <v>274.89999999999998</v>
      </c>
      <c r="T226" s="2">
        <f t="shared" ca="1" si="7"/>
        <v>2044.9</v>
      </c>
      <c r="U226" s="71" t="str">
        <f>IFERROR(VLOOKUP(Table1[[#This Row],[No_]],'Customer Net Price'!A:F,5,FALSE),"0")</f>
        <v>0</v>
      </c>
      <c r="V226" s="71" t="str">
        <f>IFERROR(VLOOKUP(Table1[[#This Row],[No_]],'Customer Net Price'!A:G,6,FALSE),"0")</f>
        <v>0</v>
      </c>
    </row>
    <row r="227" spans="1:22" x14ac:dyDescent="0.25">
      <c r="A227" s="24" t="s">
        <v>1755</v>
      </c>
      <c r="B227" s="24" t="s">
        <v>1430</v>
      </c>
      <c r="C227" t="s">
        <v>1432</v>
      </c>
      <c r="D227" t="s">
        <v>309</v>
      </c>
      <c r="F227" t="s">
        <v>920</v>
      </c>
      <c r="G227" t="s">
        <v>920</v>
      </c>
      <c r="H227" s="42" t="s">
        <v>1760</v>
      </c>
      <c r="I227" s="17" t="s">
        <v>546</v>
      </c>
      <c r="J227" t="s">
        <v>570</v>
      </c>
      <c r="K227" s="2">
        <v>274.89999999999998</v>
      </c>
      <c r="L227" s="2">
        <v>2044.9</v>
      </c>
      <c r="M227" s="2">
        <v>299.89999999999998</v>
      </c>
      <c r="N227" s="2">
        <f ca="1">Table1[[#This Row],[2026 (EUR)]]*(1-INDIRECT(Table1[[#This Row],[Discount Name]]))</f>
        <v>274.89999999999998</v>
      </c>
      <c r="O227" s="2">
        <f ca="1">Table1[[#This Row],[2026 (DKK)]]*(1-INDIRECT(Table1[[#This Row],[Discount Name]]))</f>
        <v>2044.9</v>
      </c>
      <c r="P227" s="2" cm="1">
        <f t="array" aca="1" ref="P227" ca="1">Table1[[#This Row],[2026 (USD)]]*(1-INDIRECT(Table1[[#This Row],[Discount Name]]))</f>
        <v>299.89999999999998</v>
      </c>
      <c r="Q227" s="31">
        <f ca="1">INDIRECT(Table1[[#This Row],[Discount Name]])</f>
        <v>0</v>
      </c>
      <c r="S227" s="2">
        <f t="shared" ca="1" si="6"/>
        <v>274.89999999999998</v>
      </c>
      <c r="T227" s="2">
        <f t="shared" ca="1" si="7"/>
        <v>2044.9</v>
      </c>
      <c r="U227" s="71" t="str">
        <f>IFERROR(VLOOKUP(Table1[[#This Row],[No_]],'Customer Net Price'!A:F,5,FALSE),"0")</f>
        <v>0</v>
      </c>
      <c r="V227" s="71" t="str">
        <f>IFERROR(VLOOKUP(Table1[[#This Row],[No_]],'Customer Net Price'!A:G,6,FALSE),"0")</f>
        <v>0</v>
      </c>
    </row>
    <row r="228" spans="1:22" x14ac:dyDescent="0.25">
      <c r="A228" s="24" t="s">
        <v>1756</v>
      </c>
      <c r="B228" s="24" t="s">
        <v>1430</v>
      </c>
      <c r="C228" t="s">
        <v>1432</v>
      </c>
      <c r="D228" t="s">
        <v>309</v>
      </c>
      <c r="F228" t="s">
        <v>920</v>
      </c>
      <c r="G228" t="s">
        <v>920</v>
      </c>
      <c r="H228" s="42" t="s">
        <v>1761</v>
      </c>
      <c r="I228" s="17" t="s">
        <v>546</v>
      </c>
      <c r="J228" t="s">
        <v>562</v>
      </c>
      <c r="K228" s="2">
        <v>274.89999999999998</v>
      </c>
      <c r="L228" s="2">
        <v>2044.9</v>
      </c>
      <c r="M228" s="2">
        <v>299.89999999999998</v>
      </c>
      <c r="N228" s="2">
        <f ca="1">Table1[[#This Row],[2026 (EUR)]]*(1-INDIRECT(Table1[[#This Row],[Discount Name]]))</f>
        <v>274.89999999999998</v>
      </c>
      <c r="O228" s="2">
        <f ca="1">Table1[[#This Row],[2026 (DKK)]]*(1-INDIRECT(Table1[[#This Row],[Discount Name]]))</f>
        <v>2044.9</v>
      </c>
      <c r="P228" s="2" cm="1">
        <f t="array" aca="1" ref="P228" ca="1">Table1[[#This Row],[2026 (USD)]]*(1-INDIRECT(Table1[[#This Row],[Discount Name]]))</f>
        <v>299.89999999999998</v>
      </c>
      <c r="Q228" s="31">
        <f ca="1">INDIRECT(Table1[[#This Row],[Discount Name]])</f>
        <v>0</v>
      </c>
      <c r="S228" s="2">
        <f t="shared" ca="1" si="6"/>
        <v>274.89999999999998</v>
      </c>
      <c r="T228" s="2">
        <f t="shared" ca="1" si="7"/>
        <v>2044.9</v>
      </c>
      <c r="U228" s="71" t="str">
        <f>IFERROR(VLOOKUP(Table1[[#This Row],[No_]],'Customer Net Price'!A:F,5,FALSE),"0")</f>
        <v>0</v>
      </c>
      <c r="V228" s="71" t="str">
        <f>IFERROR(VLOOKUP(Table1[[#This Row],[No_]],'Customer Net Price'!A:G,6,FALSE),"0")</f>
        <v>0</v>
      </c>
    </row>
    <row r="229" spans="1:22" x14ac:dyDescent="0.25">
      <c r="A229" s="23" t="s">
        <v>1232</v>
      </c>
      <c r="B229" s="23" t="s">
        <v>1232</v>
      </c>
      <c r="C229" t="s">
        <v>1234</v>
      </c>
      <c r="D229" t="s">
        <v>309</v>
      </c>
      <c r="F229" t="s">
        <v>920</v>
      </c>
      <c r="G229" t="s">
        <v>920</v>
      </c>
      <c r="H229" s="42" t="s">
        <v>1271</v>
      </c>
      <c r="I229" s="17" t="s">
        <v>546</v>
      </c>
      <c r="J229" t="s">
        <v>546</v>
      </c>
      <c r="K229" s="2">
        <v>219.9</v>
      </c>
      <c r="L229" s="2">
        <v>1639.9</v>
      </c>
      <c r="M229" s="2">
        <v>239.9</v>
      </c>
      <c r="N229" s="2">
        <f ca="1">Table1[[#This Row],[2026 (EUR)]]*(1-INDIRECT(Table1[[#This Row],[Discount Name]]))</f>
        <v>219.9</v>
      </c>
      <c r="O229" s="2">
        <f ca="1">Table1[[#This Row],[2026 (DKK)]]*(1-INDIRECT(Table1[[#This Row],[Discount Name]]))</f>
        <v>1639.9</v>
      </c>
      <c r="P229" s="2" cm="1">
        <f t="array" aca="1" ref="P229" ca="1">Table1[[#This Row],[2026 (USD)]]*(1-INDIRECT(Table1[[#This Row],[Discount Name]]))</f>
        <v>239.9</v>
      </c>
      <c r="Q229" s="31">
        <f ca="1">INDIRECT(Table1[[#This Row],[Discount Name]])</f>
        <v>0</v>
      </c>
      <c r="S229" s="2">
        <f t="shared" ca="1" si="6"/>
        <v>219.9</v>
      </c>
      <c r="T229" s="2">
        <f t="shared" ca="1" si="7"/>
        <v>1639.9</v>
      </c>
      <c r="U229" s="71" t="str">
        <f>IFERROR(VLOOKUP(Table1[[#This Row],[No_]],'Customer Net Price'!A:F,5,FALSE),"0")</f>
        <v>0</v>
      </c>
      <c r="V229" s="71" t="str">
        <f>IFERROR(VLOOKUP(Table1[[#This Row],[No_]],'Customer Net Price'!A:G,6,FALSE),"0")</f>
        <v>0</v>
      </c>
    </row>
    <row r="230" spans="1:22" x14ac:dyDescent="0.25">
      <c r="A230" s="23" t="s">
        <v>1233</v>
      </c>
      <c r="B230" s="23" t="s">
        <v>1233</v>
      </c>
      <c r="C230" t="s">
        <v>1235</v>
      </c>
      <c r="D230" t="s">
        <v>309</v>
      </c>
      <c r="F230" t="s">
        <v>920</v>
      </c>
      <c r="G230" t="s">
        <v>920</v>
      </c>
      <c r="H230" s="42" t="s">
        <v>1272</v>
      </c>
      <c r="I230" s="17" t="s">
        <v>546</v>
      </c>
      <c r="J230" t="s">
        <v>546</v>
      </c>
      <c r="K230" s="2">
        <v>329.9</v>
      </c>
      <c r="L230" s="2">
        <v>2459.9</v>
      </c>
      <c r="M230" s="2">
        <v>359.9</v>
      </c>
      <c r="N230" s="2">
        <f ca="1">Table1[[#This Row],[2026 (EUR)]]*(1-INDIRECT(Table1[[#This Row],[Discount Name]]))</f>
        <v>329.9</v>
      </c>
      <c r="O230" s="2">
        <f ca="1">Table1[[#This Row],[2026 (DKK)]]*(1-INDIRECT(Table1[[#This Row],[Discount Name]]))</f>
        <v>2459.9</v>
      </c>
      <c r="P230" s="2" cm="1">
        <f t="array" aca="1" ref="P230" ca="1">Table1[[#This Row],[2026 (USD)]]*(1-INDIRECT(Table1[[#This Row],[Discount Name]]))</f>
        <v>359.9</v>
      </c>
      <c r="Q230" s="31">
        <f ca="1">INDIRECT(Table1[[#This Row],[Discount Name]])</f>
        <v>0</v>
      </c>
      <c r="S230" s="2">
        <f t="shared" ca="1" si="6"/>
        <v>329.9</v>
      </c>
      <c r="T230" s="2">
        <f t="shared" ca="1" si="7"/>
        <v>2459.9</v>
      </c>
      <c r="U230" s="71" t="str">
        <f>IFERROR(VLOOKUP(Table1[[#This Row],[No_]],'Customer Net Price'!A:F,5,FALSE),"0")</f>
        <v>0</v>
      </c>
      <c r="V230" s="71" t="str">
        <f>IFERROR(VLOOKUP(Table1[[#This Row],[No_]],'Customer Net Price'!A:G,6,FALSE),"0")</f>
        <v>0</v>
      </c>
    </row>
    <row r="231" spans="1:22" x14ac:dyDescent="0.25">
      <c r="A231" s="24" t="s">
        <v>1654</v>
      </c>
      <c r="B231" s="24" t="s">
        <v>1654</v>
      </c>
      <c r="C231" t="s">
        <v>1656</v>
      </c>
      <c r="D231" t="s">
        <v>309</v>
      </c>
      <c r="F231" t="s">
        <v>920</v>
      </c>
      <c r="G231" t="s">
        <v>920</v>
      </c>
      <c r="H231" s="42" t="s">
        <v>1655</v>
      </c>
      <c r="I231" s="17" t="s">
        <v>546</v>
      </c>
      <c r="J231" t="s">
        <v>546</v>
      </c>
      <c r="K231" s="2">
        <v>139.9</v>
      </c>
      <c r="L231" s="2">
        <v>1029.9000000000001</v>
      </c>
      <c r="M231" s="2">
        <v>159.9</v>
      </c>
      <c r="N231" s="2">
        <f ca="1">Table1[[#This Row],[2026 (EUR)]]*(1-INDIRECT(Table1[[#This Row],[Discount Name]]))</f>
        <v>139.9</v>
      </c>
      <c r="O231" s="2">
        <f ca="1">Table1[[#This Row],[2026 (DKK)]]*(1-INDIRECT(Table1[[#This Row],[Discount Name]]))</f>
        <v>1029.9000000000001</v>
      </c>
      <c r="P231" s="2" cm="1">
        <f t="array" aca="1" ref="P231" ca="1">Table1[[#This Row],[2026 (USD)]]*(1-INDIRECT(Table1[[#This Row],[Discount Name]]))</f>
        <v>159.9</v>
      </c>
      <c r="Q231" s="31">
        <f ca="1">INDIRECT(Table1[[#This Row],[Discount Name]])</f>
        <v>0</v>
      </c>
      <c r="S231" s="2">
        <f t="shared" ca="1" si="6"/>
        <v>139.9</v>
      </c>
      <c r="T231" s="2">
        <f t="shared" ca="1" si="7"/>
        <v>1029.9000000000001</v>
      </c>
      <c r="U231" s="71" t="str">
        <f>IFERROR(VLOOKUP(Table1[[#This Row],[No_]],'Customer Net Price'!A:F,5,FALSE),"0")</f>
        <v>0</v>
      </c>
      <c r="V231" s="71" t="str">
        <f>IFERROR(VLOOKUP(Table1[[#This Row],[No_]],'Customer Net Price'!A:G,6,FALSE),"0")</f>
        <v>0</v>
      </c>
    </row>
    <row r="232" spans="1:22" x14ac:dyDescent="0.25">
      <c r="A232" s="24" t="s">
        <v>1431</v>
      </c>
      <c r="B232" s="24" t="s">
        <v>1431</v>
      </c>
      <c r="C232" t="s">
        <v>1433</v>
      </c>
      <c r="D232" t="s">
        <v>309</v>
      </c>
      <c r="F232" t="s">
        <v>920</v>
      </c>
      <c r="G232" t="s">
        <v>920</v>
      </c>
      <c r="H232" s="42" t="s">
        <v>1435</v>
      </c>
      <c r="I232" s="17" t="s">
        <v>546</v>
      </c>
      <c r="J232" t="s">
        <v>572</v>
      </c>
      <c r="K232" s="2">
        <v>379.9</v>
      </c>
      <c r="L232" s="2">
        <v>2824.9</v>
      </c>
      <c r="M232" s="2">
        <v>414.9</v>
      </c>
      <c r="N232" s="2">
        <f ca="1">Table1[[#This Row],[2026 (EUR)]]*(1-INDIRECT(Table1[[#This Row],[Discount Name]]))</f>
        <v>379.9</v>
      </c>
      <c r="O232" s="2">
        <f ca="1">Table1[[#This Row],[2026 (DKK)]]*(1-INDIRECT(Table1[[#This Row],[Discount Name]]))</f>
        <v>2824.9</v>
      </c>
      <c r="P232" s="2" cm="1">
        <f t="array" aca="1" ref="P232" ca="1">Table1[[#This Row],[2026 (USD)]]*(1-INDIRECT(Table1[[#This Row],[Discount Name]]))</f>
        <v>414.9</v>
      </c>
      <c r="Q232" s="31">
        <f ca="1">INDIRECT(Table1[[#This Row],[Discount Name]])</f>
        <v>0</v>
      </c>
      <c r="S232" s="2">
        <f t="shared" ca="1" si="6"/>
        <v>379.9</v>
      </c>
      <c r="T232" s="2">
        <f t="shared" ca="1" si="7"/>
        <v>2824.9</v>
      </c>
      <c r="U232" s="71" t="str">
        <f>IFERROR(VLOOKUP(Table1[[#This Row],[No_]],'Customer Net Price'!A:F,5,FALSE),"0")</f>
        <v>0</v>
      </c>
      <c r="V232" s="71" t="str">
        <f>IFERROR(VLOOKUP(Table1[[#This Row],[No_]],'Customer Net Price'!A:G,6,FALSE),"0")</f>
        <v>0</v>
      </c>
    </row>
    <row r="233" spans="1:22" x14ac:dyDescent="0.25">
      <c r="A233" s="24" t="s">
        <v>1762</v>
      </c>
      <c r="B233" s="24" t="s">
        <v>1431</v>
      </c>
      <c r="C233" t="s">
        <v>1433</v>
      </c>
      <c r="D233" t="s">
        <v>309</v>
      </c>
      <c r="F233" t="s">
        <v>920</v>
      </c>
      <c r="G233" t="s">
        <v>920</v>
      </c>
      <c r="H233" s="42" t="s">
        <v>1767</v>
      </c>
      <c r="I233" s="17" t="s">
        <v>546</v>
      </c>
      <c r="J233" t="s">
        <v>571</v>
      </c>
      <c r="K233" s="2">
        <v>379.9</v>
      </c>
      <c r="L233" s="2">
        <v>2824.9</v>
      </c>
      <c r="M233" s="2">
        <v>414.9</v>
      </c>
      <c r="N233" s="2">
        <f ca="1">Table1[[#This Row],[2026 (EUR)]]*(1-INDIRECT(Table1[[#This Row],[Discount Name]]))</f>
        <v>379.9</v>
      </c>
      <c r="O233" s="2">
        <f ca="1">Table1[[#This Row],[2026 (DKK)]]*(1-INDIRECT(Table1[[#This Row],[Discount Name]]))</f>
        <v>2824.9</v>
      </c>
      <c r="P233" s="2" cm="1">
        <f t="array" aca="1" ref="P233" ca="1">Table1[[#This Row],[2026 (USD)]]*(1-INDIRECT(Table1[[#This Row],[Discount Name]]))</f>
        <v>414.9</v>
      </c>
      <c r="Q233" s="31">
        <f ca="1">INDIRECT(Table1[[#This Row],[Discount Name]])</f>
        <v>0</v>
      </c>
      <c r="S233" s="2">
        <f t="shared" ca="1" si="6"/>
        <v>379.9</v>
      </c>
      <c r="T233" s="2">
        <f t="shared" ca="1" si="7"/>
        <v>2824.9</v>
      </c>
      <c r="U233" s="71" t="str">
        <f>IFERROR(VLOOKUP(Table1[[#This Row],[No_]],'Customer Net Price'!A:F,5,FALSE),"0")</f>
        <v>0</v>
      </c>
      <c r="V233" s="71" t="str">
        <f>IFERROR(VLOOKUP(Table1[[#This Row],[No_]],'Customer Net Price'!A:G,6,FALSE),"0")</f>
        <v>0</v>
      </c>
    </row>
    <row r="234" spans="1:22" x14ac:dyDescent="0.25">
      <c r="A234" s="24" t="s">
        <v>1763</v>
      </c>
      <c r="B234" s="24" t="s">
        <v>1431</v>
      </c>
      <c r="C234" t="s">
        <v>1433</v>
      </c>
      <c r="D234" t="s">
        <v>309</v>
      </c>
      <c r="F234" t="s">
        <v>920</v>
      </c>
      <c r="G234" t="s">
        <v>920</v>
      </c>
      <c r="H234" s="42" t="s">
        <v>1768</v>
      </c>
      <c r="I234" s="17" t="s">
        <v>546</v>
      </c>
      <c r="J234" t="s">
        <v>903</v>
      </c>
      <c r="K234" s="2">
        <v>379.9</v>
      </c>
      <c r="L234" s="2">
        <v>2824.9</v>
      </c>
      <c r="M234" s="2">
        <v>414.9</v>
      </c>
      <c r="N234" s="2">
        <f ca="1">Table1[[#This Row],[2026 (EUR)]]*(1-INDIRECT(Table1[[#This Row],[Discount Name]]))</f>
        <v>379.9</v>
      </c>
      <c r="O234" s="2">
        <f ca="1">Table1[[#This Row],[2026 (DKK)]]*(1-INDIRECT(Table1[[#This Row],[Discount Name]]))</f>
        <v>2824.9</v>
      </c>
      <c r="P234" s="2" cm="1">
        <f t="array" aca="1" ref="P234" ca="1">Table1[[#This Row],[2026 (USD)]]*(1-INDIRECT(Table1[[#This Row],[Discount Name]]))</f>
        <v>414.9</v>
      </c>
      <c r="Q234" s="31">
        <f ca="1">INDIRECT(Table1[[#This Row],[Discount Name]])</f>
        <v>0</v>
      </c>
      <c r="S234" s="2">
        <f t="shared" ca="1" si="6"/>
        <v>379.9</v>
      </c>
      <c r="T234" s="2">
        <f t="shared" ca="1" si="7"/>
        <v>2824.9</v>
      </c>
      <c r="U234" s="71" t="str">
        <f>IFERROR(VLOOKUP(Table1[[#This Row],[No_]],'Customer Net Price'!A:F,5,FALSE),"0")</f>
        <v>0</v>
      </c>
      <c r="V234" s="71" t="str">
        <f>IFERROR(VLOOKUP(Table1[[#This Row],[No_]],'Customer Net Price'!A:G,6,FALSE),"0")</f>
        <v>0</v>
      </c>
    </row>
    <row r="235" spans="1:22" x14ac:dyDescent="0.25">
      <c r="A235" s="24" t="s">
        <v>1764</v>
      </c>
      <c r="B235" s="24" t="s">
        <v>1431</v>
      </c>
      <c r="C235" t="s">
        <v>1433</v>
      </c>
      <c r="D235" t="s">
        <v>309</v>
      </c>
      <c r="F235" t="s">
        <v>920</v>
      </c>
      <c r="G235" t="s">
        <v>920</v>
      </c>
      <c r="H235" s="48" t="s">
        <v>1770</v>
      </c>
      <c r="I235" s="17" t="s">
        <v>546</v>
      </c>
      <c r="J235" t="s">
        <v>1184</v>
      </c>
      <c r="K235" s="2">
        <v>379.9</v>
      </c>
      <c r="L235" s="2">
        <v>2824.9</v>
      </c>
      <c r="M235" s="2">
        <v>414.9</v>
      </c>
      <c r="N235" s="2">
        <f ca="1">Table1[[#This Row],[2026 (EUR)]]*(1-INDIRECT(Table1[[#This Row],[Discount Name]]))</f>
        <v>379.9</v>
      </c>
      <c r="O235" s="2">
        <f ca="1">Table1[[#This Row],[2026 (DKK)]]*(1-INDIRECT(Table1[[#This Row],[Discount Name]]))</f>
        <v>2824.9</v>
      </c>
      <c r="P235" s="2" cm="1">
        <f t="array" aca="1" ref="P235" ca="1">Table1[[#This Row],[2026 (USD)]]*(1-INDIRECT(Table1[[#This Row],[Discount Name]]))</f>
        <v>414.9</v>
      </c>
      <c r="Q235" s="31">
        <f ca="1">INDIRECT(Table1[[#This Row],[Discount Name]])</f>
        <v>0</v>
      </c>
      <c r="S235" s="2">
        <f t="shared" ca="1" si="6"/>
        <v>379.9</v>
      </c>
      <c r="T235" s="2">
        <f t="shared" ca="1" si="7"/>
        <v>2824.9</v>
      </c>
      <c r="U235" s="71" t="str">
        <f>IFERROR(VLOOKUP(Table1[[#This Row],[No_]],'Customer Net Price'!A:F,5,FALSE),"0")</f>
        <v>0</v>
      </c>
      <c r="V235" s="71" t="str">
        <f>IFERROR(VLOOKUP(Table1[[#This Row],[No_]],'Customer Net Price'!A:G,6,FALSE),"0")</f>
        <v>0</v>
      </c>
    </row>
    <row r="236" spans="1:22" x14ac:dyDescent="0.25">
      <c r="A236" s="24" t="s">
        <v>1765</v>
      </c>
      <c r="B236" s="24" t="s">
        <v>1431</v>
      </c>
      <c r="C236" t="s">
        <v>1433</v>
      </c>
      <c r="D236" t="s">
        <v>309</v>
      </c>
      <c r="F236" t="s">
        <v>920</v>
      </c>
      <c r="G236" t="s">
        <v>920</v>
      </c>
      <c r="H236" s="42" t="s">
        <v>1769</v>
      </c>
      <c r="I236" s="17" t="s">
        <v>546</v>
      </c>
      <c r="J236" t="s">
        <v>570</v>
      </c>
      <c r="K236" s="2">
        <v>379.9</v>
      </c>
      <c r="L236" s="2">
        <v>2824.9</v>
      </c>
      <c r="M236" s="2">
        <v>414.9</v>
      </c>
      <c r="N236" s="2">
        <f ca="1">Table1[[#This Row],[2026 (EUR)]]*(1-INDIRECT(Table1[[#This Row],[Discount Name]]))</f>
        <v>379.9</v>
      </c>
      <c r="O236" s="2">
        <f ca="1">Table1[[#This Row],[2026 (DKK)]]*(1-INDIRECT(Table1[[#This Row],[Discount Name]]))</f>
        <v>2824.9</v>
      </c>
      <c r="P236" s="2" cm="1">
        <f t="array" aca="1" ref="P236" ca="1">Table1[[#This Row],[2026 (USD)]]*(1-INDIRECT(Table1[[#This Row],[Discount Name]]))</f>
        <v>414.9</v>
      </c>
      <c r="Q236" s="31">
        <f ca="1">INDIRECT(Table1[[#This Row],[Discount Name]])</f>
        <v>0</v>
      </c>
      <c r="S236" s="2">
        <f t="shared" ca="1" si="6"/>
        <v>379.9</v>
      </c>
      <c r="T236" s="2">
        <f t="shared" ca="1" si="7"/>
        <v>2824.9</v>
      </c>
      <c r="U236" s="71" t="str">
        <f>IFERROR(VLOOKUP(Table1[[#This Row],[No_]],'Customer Net Price'!A:F,5,FALSE),"0")</f>
        <v>0</v>
      </c>
      <c r="V236" s="71" t="str">
        <f>IFERROR(VLOOKUP(Table1[[#This Row],[No_]],'Customer Net Price'!A:G,6,FALSE),"0")</f>
        <v>0</v>
      </c>
    </row>
    <row r="237" spans="1:22" x14ac:dyDescent="0.25">
      <c r="A237" s="24" t="s">
        <v>1766</v>
      </c>
      <c r="B237" s="24" t="s">
        <v>1431</v>
      </c>
      <c r="C237" t="s">
        <v>1433</v>
      </c>
      <c r="D237" t="s">
        <v>309</v>
      </c>
      <c r="F237" t="s">
        <v>920</v>
      </c>
      <c r="G237" t="s">
        <v>920</v>
      </c>
      <c r="H237" s="42" t="s">
        <v>1771</v>
      </c>
      <c r="I237" s="17" t="s">
        <v>546</v>
      </c>
      <c r="J237" t="s">
        <v>562</v>
      </c>
      <c r="K237" s="2">
        <v>379.9</v>
      </c>
      <c r="L237" s="2">
        <v>2824.9</v>
      </c>
      <c r="M237" s="2">
        <v>414.9</v>
      </c>
      <c r="N237" s="2">
        <f ca="1">Table1[[#This Row],[2026 (EUR)]]*(1-INDIRECT(Table1[[#This Row],[Discount Name]]))</f>
        <v>379.9</v>
      </c>
      <c r="O237" s="2">
        <f ca="1">Table1[[#This Row],[2026 (DKK)]]*(1-INDIRECT(Table1[[#This Row],[Discount Name]]))</f>
        <v>2824.9</v>
      </c>
      <c r="P237" s="2" cm="1">
        <f t="array" aca="1" ref="P237" ca="1">Table1[[#This Row],[2026 (USD)]]*(1-INDIRECT(Table1[[#This Row],[Discount Name]]))</f>
        <v>414.9</v>
      </c>
      <c r="Q237" s="31">
        <f ca="1">INDIRECT(Table1[[#This Row],[Discount Name]])</f>
        <v>0</v>
      </c>
      <c r="S237" s="2">
        <f t="shared" ca="1" si="6"/>
        <v>379.9</v>
      </c>
      <c r="T237" s="2">
        <f t="shared" ca="1" si="7"/>
        <v>2824.9</v>
      </c>
      <c r="U237" s="71" t="str">
        <f>IFERROR(VLOOKUP(Table1[[#This Row],[No_]],'Customer Net Price'!A:F,5,FALSE),"0")</f>
        <v>0</v>
      </c>
      <c r="V237" s="71" t="str">
        <f>IFERROR(VLOOKUP(Table1[[#This Row],[No_]],'Customer Net Price'!A:G,6,FALSE),"0")</f>
        <v>0</v>
      </c>
    </row>
    <row r="238" spans="1:22" x14ac:dyDescent="0.25">
      <c r="A238" s="24" t="s">
        <v>890</v>
      </c>
      <c r="B238" s="24" t="s">
        <v>890</v>
      </c>
      <c r="C238" t="s">
        <v>206</v>
      </c>
      <c r="D238" t="s">
        <v>310</v>
      </c>
      <c r="E238" t="s">
        <v>546</v>
      </c>
      <c r="F238" t="s">
        <v>918</v>
      </c>
      <c r="G238" t="s">
        <v>923</v>
      </c>
      <c r="H238" s="79" t="s">
        <v>891</v>
      </c>
      <c r="I238" s="17">
        <v>1</v>
      </c>
      <c r="J238" t="s">
        <v>546</v>
      </c>
      <c r="K238" s="2">
        <v>169.9</v>
      </c>
      <c r="L238" s="2">
        <v>1264.9000000000001</v>
      </c>
      <c r="M238" s="2">
        <v>188.9</v>
      </c>
      <c r="N238" s="2">
        <f ca="1">Table1[[#This Row],[2026 (EUR)]]*(1-INDIRECT(Table1[[#This Row],[Discount Name]]))</f>
        <v>169.9</v>
      </c>
      <c r="O238" s="2">
        <f ca="1">Table1[[#This Row],[2026 (DKK)]]*(1-INDIRECT(Table1[[#This Row],[Discount Name]]))</f>
        <v>1264.9000000000001</v>
      </c>
      <c r="P238" s="2" cm="1">
        <f t="array" aca="1" ref="P238" ca="1">Table1[[#This Row],[2026 (USD)]]*(1-INDIRECT(Table1[[#This Row],[Discount Name]]))</f>
        <v>188.9</v>
      </c>
      <c r="Q238" s="31">
        <f ca="1">INDIRECT(Table1[[#This Row],[Discount Name]])</f>
        <v>0</v>
      </c>
      <c r="S238" s="2">
        <f t="shared" ca="1" si="6"/>
        <v>169.9</v>
      </c>
      <c r="T238" s="2">
        <f t="shared" ca="1" si="7"/>
        <v>1264.9000000000001</v>
      </c>
      <c r="U238" s="71" t="str">
        <f>IFERROR(VLOOKUP(Table1[[#This Row],[No_]],'Customer Net Price'!A:F,5,FALSE),"0")</f>
        <v>0</v>
      </c>
      <c r="V238" s="71" t="str">
        <f>IFERROR(VLOOKUP(Table1[[#This Row],[No_]],'Customer Net Price'!A:G,6,FALSE),"0")</f>
        <v>0</v>
      </c>
    </row>
    <row r="239" spans="1:22" x14ac:dyDescent="0.25">
      <c r="A239" s="23" t="s">
        <v>1202</v>
      </c>
      <c r="B239" s="23" t="s">
        <v>1202</v>
      </c>
      <c r="C239" t="s">
        <v>1204</v>
      </c>
      <c r="D239" t="s">
        <v>791</v>
      </c>
      <c r="F239" t="s">
        <v>921</v>
      </c>
      <c r="G239" t="s">
        <v>921</v>
      </c>
      <c r="H239" s="48" t="s">
        <v>1203</v>
      </c>
      <c r="I239">
        <v>6</v>
      </c>
      <c r="J239" t="s">
        <v>546</v>
      </c>
      <c r="K239" s="2">
        <v>84.9</v>
      </c>
      <c r="L239" s="2">
        <v>629.9</v>
      </c>
      <c r="M239" s="2">
        <v>84.9</v>
      </c>
      <c r="N239" s="2">
        <f ca="1">Table1[[#This Row],[2026 (EUR)]]*(1-INDIRECT(Table1[[#This Row],[Discount Name]]))</f>
        <v>84.9</v>
      </c>
      <c r="O239" s="2">
        <f ca="1">Table1[[#This Row],[2026 (DKK)]]*(1-INDIRECT(Table1[[#This Row],[Discount Name]]))</f>
        <v>629.9</v>
      </c>
      <c r="P239" s="2" cm="1">
        <f t="array" aca="1" ref="P239" ca="1">Table1[[#This Row],[2026 (USD)]]*(1-INDIRECT(Table1[[#This Row],[Discount Name]]))</f>
        <v>84.9</v>
      </c>
      <c r="Q239" s="31">
        <f ca="1">INDIRECT(Table1[[#This Row],[Discount Name]])</f>
        <v>0</v>
      </c>
      <c r="S239" s="2">
        <f t="shared" ca="1" si="6"/>
        <v>84.9</v>
      </c>
      <c r="T239" s="2">
        <f t="shared" ca="1" si="7"/>
        <v>629.9</v>
      </c>
      <c r="U239" s="71" t="str">
        <f>IFERROR(VLOOKUP(Table1[[#This Row],[No_]],'Customer Net Price'!A:F,5,FALSE),"0")</f>
        <v>0</v>
      </c>
      <c r="V239" s="71" t="str">
        <f>IFERROR(VLOOKUP(Table1[[#This Row],[No_]],'Customer Net Price'!A:G,6,FALSE),"0")</f>
        <v>0</v>
      </c>
    </row>
    <row r="240" spans="1:22" x14ac:dyDescent="0.25">
      <c r="A240" s="23" t="s">
        <v>1094</v>
      </c>
      <c r="B240" s="23" t="s">
        <v>1094</v>
      </c>
      <c r="C240" t="s">
        <v>1095</v>
      </c>
      <c r="D240" t="s">
        <v>310</v>
      </c>
      <c r="E240" t="s">
        <v>546</v>
      </c>
      <c r="F240" t="s">
        <v>918</v>
      </c>
      <c r="G240" t="s">
        <v>923</v>
      </c>
      <c r="H240" s="46" t="s">
        <v>1096</v>
      </c>
      <c r="I240" s="17">
        <v>6</v>
      </c>
      <c r="J240" t="s">
        <v>546</v>
      </c>
      <c r="K240" s="2">
        <v>89.9</v>
      </c>
      <c r="L240" s="2">
        <v>668.9</v>
      </c>
      <c r="M240" s="2">
        <v>99.9</v>
      </c>
      <c r="N240" s="2">
        <f ca="1">Table1[[#This Row],[2026 (EUR)]]*(1-INDIRECT(Table1[[#This Row],[Discount Name]]))</f>
        <v>89.9</v>
      </c>
      <c r="O240" s="2">
        <f ca="1">Table1[[#This Row],[2026 (DKK)]]*(1-INDIRECT(Table1[[#This Row],[Discount Name]]))</f>
        <v>668.9</v>
      </c>
      <c r="P240" s="2" cm="1">
        <f t="array" aca="1" ref="P240" ca="1">Table1[[#This Row],[2026 (USD)]]*(1-INDIRECT(Table1[[#This Row],[Discount Name]]))</f>
        <v>99.9</v>
      </c>
      <c r="Q240" s="31">
        <f ca="1">INDIRECT(Table1[[#This Row],[Discount Name]])</f>
        <v>0</v>
      </c>
      <c r="S240" s="2">
        <f t="shared" ca="1" si="6"/>
        <v>89.9</v>
      </c>
      <c r="T240" s="2">
        <f t="shared" ca="1" si="7"/>
        <v>668.9</v>
      </c>
      <c r="U240" s="71" t="str">
        <f>IFERROR(VLOOKUP(Table1[[#This Row],[No_]],'Customer Net Price'!A:F,5,FALSE),"0")</f>
        <v>0</v>
      </c>
      <c r="V240" s="71" t="str">
        <f>IFERROR(VLOOKUP(Table1[[#This Row],[No_]],'Customer Net Price'!A:G,6,FALSE),"0")</f>
        <v>0</v>
      </c>
    </row>
    <row r="241" spans="1:22" x14ac:dyDescent="0.25">
      <c r="A241" s="23" t="s">
        <v>1644</v>
      </c>
      <c r="B241" s="23" t="s">
        <v>1094</v>
      </c>
      <c r="C241" t="s">
        <v>1646</v>
      </c>
      <c r="D241" t="s">
        <v>310</v>
      </c>
      <c r="E241" t="s">
        <v>546</v>
      </c>
      <c r="F241" t="s">
        <v>918</v>
      </c>
      <c r="G241" t="s">
        <v>923</v>
      </c>
      <c r="H241" s="79" t="s">
        <v>1645</v>
      </c>
      <c r="I241" s="17">
        <v>6</v>
      </c>
      <c r="J241" t="s">
        <v>546</v>
      </c>
      <c r="K241" s="2">
        <v>89.9</v>
      </c>
      <c r="L241" s="2">
        <v>668.9</v>
      </c>
      <c r="M241" s="2">
        <v>99.9</v>
      </c>
      <c r="N241" s="2">
        <f ca="1">Table1[[#This Row],[2026 (EUR)]]*(1-INDIRECT(Table1[[#This Row],[Discount Name]]))</f>
        <v>89.9</v>
      </c>
      <c r="O241" s="2">
        <f ca="1">Table1[[#This Row],[2026 (DKK)]]*(1-INDIRECT(Table1[[#This Row],[Discount Name]]))</f>
        <v>668.9</v>
      </c>
      <c r="P241" s="2" cm="1">
        <f t="array" aca="1" ref="P241" ca="1">Table1[[#This Row],[2026 (USD)]]*(1-INDIRECT(Table1[[#This Row],[Discount Name]]))</f>
        <v>99.9</v>
      </c>
      <c r="Q241" s="31">
        <f ca="1">INDIRECT(Table1[[#This Row],[Discount Name]])</f>
        <v>0</v>
      </c>
      <c r="S241" s="2">
        <f t="shared" ca="1" si="6"/>
        <v>89.9</v>
      </c>
      <c r="T241" s="2">
        <f t="shared" ca="1" si="7"/>
        <v>668.9</v>
      </c>
      <c r="U241" s="71" t="str">
        <f>IFERROR(VLOOKUP(Table1[[#This Row],[No_]],'Customer Net Price'!A:F,5,FALSE),"0")</f>
        <v>0</v>
      </c>
      <c r="V241" s="71" t="str">
        <f>IFERROR(VLOOKUP(Table1[[#This Row],[No_]],'Customer Net Price'!A:G,6,FALSE),"0")</f>
        <v>0</v>
      </c>
    </row>
    <row r="242" spans="1:22" x14ac:dyDescent="0.25">
      <c r="A242" s="23" t="s">
        <v>156</v>
      </c>
      <c r="B242" s="23" t="s">
        <v>156</v>
      </c>
      <c r="C242" t="s">
        <v>236</v>
      </c>
      <c r="D242" t="s">
        <v>305</v>
      </c>
      <c r="E242" t="s">
        <v>199</v>
      </c>
      <c r="F242" t="s">
        <v>916</v>
      </c>
      <c r="G242" t="s">
        <v>916</v>
      </c>
      <c r="H242" s="1" t="s">
        <v>364</v>
      </c>
      <c r="I242">
        <v>24</v>
      </c>
      <c r="J242" t="s">
        <v>546</v>
      </c>
      <c r="K242" s="2">
        <v>64.899999999999991</v>
      </c>
      <c r="L242" s="2">
        <v>479.9</v>
      </c>
      <c r="M242" s="2">
        <v>78.900000000000006</v>
      </c>
      <c r="N242" s="2">
        <f ca="1">Table1[[#This Row],[2026 (EUR)]]*(1-INDIRECT(Table1[[#This Row],[Discount Name]]))</f>
        <v>64.899999999999991</v>
      </c>
      <c r="O242" s="2">
        <f ca="1">Table1[[#This Row],[2026 (DKK)]]*(1-INDIRECT(Table1[[#This Row],[Discount Name]]))</f>
        <v>479.9</v>
      </c>
      <c r="P242" s="2" cm="1">
        <f t="array" aca="1" ref="P242" ca="1">Table1[[#This Row],[2026 (USD)]]*(1-INDIRECT(Table1[[#This Row],[Discount Name]]))</f>
        <v>78.900000000000006</v>
      </c>
      <c r="Q242" s="31">
        <f ca="1">INDIRECT(Table1[[#This Row],[Discount Name]])</f>
        <v>0</v>
      </c>
      <c r="S242" s="2">
        <f t="shared" ca="1" si="6"/>
        <v>64.899999999999991</v>
      </c>
      <c r="T242" s="2">
        <f t="shared" ca="1" si="7"/>
        <v>479.9</v>
      </c>
      <c r="U242" s="71" t="str">
        <f>IFERROR(VLOOKUP(Table1[[#This Row],[No_]],'Customer Net Price'!A:F,5,FALSE),"0")</f>
        <v>0</v>
      </c>
      <c r="V242" s="71" t="str">
        <f>IFERROR(VLOOKUP(Table1[[#This Row],[No_]],'Customer Net Price'!A:G,6,FALSE),"0")</f>
        <v>0</v>
      </c>
    </row>
    <row r="243" spans="1:22" x14ac:dyDescent="0.25">
      <c r="A243" s="23" t="s">
        <v>1185</v>
      </c>
      <c r="B243" s="23" t="s">
        <v>1185</v>
      </c>
      <c r="C243" t="s">
        <v>1186</v>
      </c>
      <c r="D243" t="s">
        <v>305</v>
      </c>
      <c r="E243" t="s">
        <v>199</v>
      </c>
      <c r="F243" t="s">
        <v>916</v>
      </c>
      <c r="G243" t="s">
        <v>916</v>
      </c>
      <c r="H243" s="42" t="s">
        <v>1187</v>
      </c>
      <c r="I243">
        <v>24</v>
      </c>
      <c r="J243" t="s">
        <v>546</v>
      </c>
      <c r="K243" s="2">
        <v>74.900000000000006</v>
      </c>
      <c r="L243" s="2">
        <v>559.9</v>
      </c>
      <c r="M243" s="2">
        <v>89.9</v>
      </c>
      <c r="N243" s="2">
        <f ca="1">Table1[[#This Row],[2026 (EUR)]]*(1-INDIRECT(Table1[[#This Row],[Discount Name]]))</f>
        <v>74.900000000000006</v>
      </c>
      <c r="O243" s="2">
        <f ca="1">Table1[[#This Row],[2026 (DKK)]]*(1-INDIRECT(Table1[[#This Row],[Discount Name]]))</f>
        <v>559.9</v>
      </c>
      <c r="P243" s="2" cm="1">
        <f t="array" aca="1" ref="P243" ca="1">Table1[[#This Row],[2026 (USD)]]*(1-INDIRECT(Table1[[#This Row],[Discount Name]]))</f>
        <v>89.9</v>
      </c>
      <c r="Q243" s="31">
        <f ca="1">INDIRECT(Table1[[#This Row],[Discount Name]])</f>
        <v>0</v>
      </c>
      <c r="S243" s="2">
        <f t="shared" ca="1" si="6"/>
        <v>74.900000000000006</v>
      </c>
      <c r="T243" s="2">
        <f t="shared" ca="1" si="7"/>
        <v>559.9</v>
      </c>
      <c r="U243" s="71" t="str">
        <f>IFERROR(VLOOKUP(Table1[[#This Row],[No_]],'Customer Net Price'!A:F,5,FALSE),"0")</f>
        <v>0</v>
      </c>
      <c r="V243" s="71" t="str">
        <f>IFERROR(VLOOKUP(Table1[[#This Row],[No_]],'Customer Net Price'!A:G,6,FALSE),"0")</f>
        <v>0</v>
      </c>
    </row>
    <row r="244" spans="1:22" x14ac:dyDescent="0.25">
      <c r="A244" s="23" t="s">
        <v>159</v>
      </c>
      <c r="B244" s="23" t="s">
        <v>159</v>
      </c>
      <c r="C244" t="s">
        <v>215</v>
      </c>
      <c r="D244" t="s">
        <v>305</v>
      </c>
      <c r="E244" t="s">
        <v>199</v>
      </c>
      <c r="F244" t="s">
        <v>916</v>
      </c>
      <c r="G244" t="s">
        <v>916</v>
      </c>
      <c r="H244" s="1" t="s">
        <v>365</v>
      </c>
      <c r="I244">
        <v>48</v>
      </c>
      <c r="J244" t="s">
        <v>546</v>
      </c>
      <c r="K244" s="2">
        <v>42.9</v>
      </c>
      <c r="L244" s="2">
        <v>319.89999999999998</v>
      </c>
      <c r="M244" s="2">
        <v>52.9</v>
      </c>
      <c r="N244" s="2">
        <f ca="1">Table1[[#This Row],[2026 (EUR)]]*(1-INDIRECT(Table1[[#This Row],[Discount Name]]))</f>
        <v>42.9</v>
      </c>
      <c r="O244" s="2">
        <f ca="1">Table1[[#This Row],[2026 (DKK)]]*(1-INDIRECT(Table1[[#This Row],[Discount Name]]))</f>
        <v>319.89999999999998</v>
      </c>
      <c r="P244" s="2" cm="1">
        <f t="array" aca="1" ref="P244" ca="1">Table1[[#This Row],[2026 (USD)]]*(1-INDIRECT(Table1[[#This Row],[Discount Name]]))</f>
        <v>52.9</v>
      </c>
      <c r="Q244" s="31">
        <f ca="1">INDIRECT(Table1[[#This Row],[Discount Name]])</f>
        <v>0</v>
      </c>
      <c r="S244" s="2">
        <f t="shared" ca="1" si="6"/>
        <v>42.9</v>
      </c>
      <c r="T244" s="2">
        <f t="shared" ca="1" si="7"/>
        <v>319.89999999999998</v>
      </c>
      <c r="U244" s="71" t="str">
        <f>IFERROR(VLOOKUP(Table1[[#This Row],[No_]],'Customer Net Price'!A:F,5,FALSE),"0")</f>
        <v>0</v>
      </c>
      <c r="V244" s="71" t="str">
        <f>IFERROR(VLOOKUP(Table1[[#This Row],[No_]],'Customer Net Price'!A:G,6,FALSE),"0")</f>
        <v>0</v>
      </c>
    </row>
    <row r="245" spans="1:22" x14ac:dyDescent="0.25">
      <c r="A245" s="23" t="s">
        <v>1117</v>
      </c>
      <c r="B245" s="23" t="s">
        <v>1117</v>
      </c>
      <c r="C245" t="s">
        <v>1118</v>
      </c>
      <c r="D245" t="s">
        <v>1011</v>
      </c>
      <c r="F245" t="s">
        <v>919</v>
      </c>
      <c r="G245" t="s">
        <v>919</v>
      </c>
      <c r="H245" s="46" t="s">
        <v>1119</v>
      </c>
      <c r="I245" s="17">
        <v>6</v>
      </c>
      <c r="J245" t="s">
        <v>546</v>
      </c>
      <c r="K245" s="2">
        <v>89.9</v>
      </c>
      <c r="L245" s="2">
        <v>669.9</v>
      </c>
      <c r="M245" s="2">
        <v>99.9</v>
      </c>
      <c r="N245" s="2">
        <f ca="1">Table1[[#This Row],[2026 (EUR)]]*(1-INDIRECT(Table1[[#This Row],[Discount Name]]))</f>
        <v>89.9</v>
      </c>
      <c r="O245" s="2">
        <f ca="1">Table1[[#This Row],[2026 (DKK)]]*(1-INDIRECT(Table1[[#This Row],[Discount Name]]))</f>
        <v>669.9</v>
      </c>
      <c r="P245" s="2" cm="1">
        <f t="array" aca="1" ref="P245" ca="1">Table1[[#This Row],[2026 (USD)]]*(1-INDIRECT(Table1[[#This Row],[Discount Name]]))</f>
        <v>99.9</v>
      </c>
      <c r="Q245" s="31">
        <f ca="1">INDIRECT(Table1[[#This Row],[Discount Name]])</f>
        <v>0</v>
      </c>
      <c r="S245" s="2">
        <f t="shared" ca="1" si="6"/>
        <v>89.9</v>
      </c>
      <c r="T245" s="2">
        <f t="shared" ca="1" si="7"/>
        <v>669.9</v>
      </c>
      <c r="U245" s="71" t="str">
        <f>IFERROR(VLOOKUP(Table1[[#This Row],[No_]],'Customer Net Price'!A:F,5,FALSE),"0")</f>
        <v>0</v>
      </c>
      <c r="V245" s="71" t="str">
        <f>IFERROR(VLOOKUP(Table1[[#This Row],[No_]],'Customer Net Price'!A:G,6,FALSE),"0")</f>
        <v>0</v>
      </c>
    </row>
    <row r="246" spans="1:22" x14ac:dyDescent="0.25">
      <c r="A246" s="23" t="s">
        <v>1120</v>
      </c>
      <c r="B246" s="23" t="s">
        <v>1120</v>
      </c>
      <c r="C246" t="s">
        <v>1121</v>
      </c>
      <c r="D246" t="s">
        <v>1011</v>
      </c>
      <c r="F246" t="s">
        <v>919</v>
      </c>
      <c r="G246" t="s">
        <v>919</v>
      </c>
      <c r="H246" s="46" t="s">
        <v>1122</v>
      </c>
      <c r="I246" s="17">
        <v>6</v>
      </c>
      <c r="J246" t="s">
        <v>546</v>
      </c>
      <c r="K246" s="2">
        <v>94.9</v>
      </c>
      <c r="L246" s="2">
        <v>699.9</v>
      </c>
      <c r="M246" s="2">
        <v>107.9</v>
      </c>
      <c r="N246" s="2">
        <f ca="1">Table1[[#This Row],[2026 (EUR)]]*(1-INDIRECT(Table1[[#This Row],[Discount Name]]))</f>
        <v>94.9</v>
      </c>
      <c r="O246" s="2">
        <f ca="1">Table1[[#This Row],[2026 (DKK)]]*(1-INDIRECT(Table1[[#This Row],[Discount Name]]))</f>
        <v>699.9</v>
      </c>
      <c r="P246" s="2" cm="1">
        <f t="array" aca="1" ref="P246" ca="1">Table1[[#This Row],[2026 (USD)]]*(1-INDIRECT(Table1[[#This Row],[Discount Name]]))</f>
        <v>107.9</v>
      </c>
      <c r="Q246" s="31">
        <f ca="1">INDIRECT(Table1[[#This Row],[Discount Name]])</f>
        <v>0</v>
      </c>
      <c r="S246" s="2">
        <f t="shared" ca="1" si="6"/>
        <v>94.9</v>
      </c>
      <c r="T246" s="2">
        <f t="shared" ca="1" si="7"/>
        <v>699.9</v>
      </c>
      <c r="U246" s="71" t="str">
        <f>IFERROR(VLOOKUP(Table1[[#This Row],[No_]],'Customer Net Price'!A:F,5,FALSE),"0")</f>
        <v>0</v>
      </c>
      <c r="V246" s="71" t="str">
        <f>IFERROR(VLOOKUP(Table1[[#This Row],[No_]],'Customer Net Price'!A:G,6,FALSE),"0")</f>
        <v>0</v>
      </c>
    </row>
    <row r="247" spans="1:22" x14ac:dyDescent="0.25">
      <c r="A247" s="23" t="s">
        <v>1114</v>
      </c>
      <c r="B247" s="23" t="s">
        <v>1114</v>
      </c>
      <c r="C247" t="s">
        <v>1115</v>
      </c>
      <c r="D247" t="s">
        <v>1011</v>
      </c>
      <c r="F247" t="s">
        <v>919</v>
      </c>
      <c r="G247" t="s">
        <v>919</v>
      </c>
      <c r="H247" s="46" t="s">
        <v>1116</v>
      </c>
      <c r="I247" s="17">
        <v>6</v>
      </c>
      <c r="J247" t="s">
        <v>546</v>
      </c>
      <c r="K247" s="2">
        <v>89.9</v>
      </c>
      <c r="L247" s="2">
        <v>669.9</v>
      </c>
      <c r="M247" s="2">
        <v>99.9</v>
      </c>
      <c r="N247" s="2">
        <f ca="1">Table1[[#This Row],[2026 (EUR)]]*(1-INDIRECT(Table1[[#This Row],[Discount Name]]))</f>
        <v>89.9</v>
      </c>
      <c r="O247" s="2">
        <f ca="1">Table1[[#This Row],[2026 (DKK)]]*(1-INDIRECT(Table1[[#This Row],[Discount Name]]))</f>
        <v>669.9</v>
      </c>
      <c r="P247" s="2" cm="1">
        <f t="array" aca="1" ref="P247" ca="1">Table1[[#This Row],[2026 (USD)]]*(1-INDIRECT(Table1[[#This Row],[Discount Name]]))</f>
        <v>99.9</v>
      </c>
      <c r="Q247" s="31">
        <f ca="1">INDIRECT(Table1[[#This Row],[Discount Name]])</f>
        <v>0</v>
      </c>
      <c r="S247" s="2">
        <f t="shared" ca="1" si="6"/>
        <v>89.9</v>
      </c>
      <c r="T247" s="2">
        <f t="shared" ca="1" si="7"/>
        <v>669.9</v>
      </c>
      <c r="U247" s="71" t="str">
        <f>IFERROR(VLOOKUP(Table1[[#This Row],[No_]],'Customer Net Price'!A:F,5,FALSE),"0")</f>
        <v>0</v>
      </c>
      <c r="V247" s="71" t="str">
        <f>IFERROR(VLOOKUP(Table1[[#This Row],[No_]],'Customer Net Price'!A:G,6,FALSE),"0")</f>
        <v>0</v>
      </c>
    </row>
    <row r="248" spans="1:22" x14ac:dyDescent="0.25">
      <c r="A248" s="23" t="s">
        <v>1123</v>
      </c>
      <c r="B248" s="23" t="s">
        <v>1123</v>
      </c>
      <c r="C248" t="s">
        <v>1124</v>
      </c>
      <c r="D248" t="s">
        <v>1011</v>
      </c>
      <c r="F248" t="s">
        <v>919</v>
      </c>
      <c r="G248" t="s">
        <v>919</v>
      </c>
      <c r="H248" s="46" t="s">
        <v>1125</v>
      </c>
      <c r="I248" s="17">
        <v>12</v>
      </c>
      <c r="J248" t="s">
        <v>546</v>
      </c>
      <c r="K248" s="2">
        <v>54.9</v>
      </c>
      <c r="L248" s="2">
        <v>399.9</v>
      </c>
      <c r="M248" s="2">
        <v>62.9</v>
      </c>
      <c r="N248" s="2">
        <f ca="1">Table1[[#This Row],[2026 (EUR)]]*(1-INDIRECT(Table1[[#This Row],[Discount Name]]))</f>
        <v>54.9</v>
      </c>
      <c r="O248" s="2">
        <f ca="1">Table1[[#This Row],[2026 (DKK)]]*(1-INDIRECT(Table1[[#This Row],[Discount Name]]))</f>
        <v>399.9</v>
      </c>
      <c r="P248" s="2" cm="1">
        <f t="array" aca="1" ref="P248" ca="1">Table1[[#This Row],[2026 (USD)]]*(1-INDIRECT(Table1[[#This Row],[Discount Name]]))</f>
        <v>62.9</v>
      </c>
      <c r="Q248" s="31">
        <f ca="1">INDIRECT(Table1[[#This Row],[Discount Name]])</f>
        <v>0</v>
      </c>
      <c r="S248" s="2">
        <f t="shared" ca="1" si="6"/>
        <v>54.9</v>
      </c>
      <c r="T248" s="2">
        <f t="shared" ca="1" si="7"/>
        <v>399.9</v>
      </c>
      <c r="U248" s="71" t="str">
        <f>IFERROR(VLOOKUP(Table1[[#This Row],[No_]],'Customer Net Price'!A:F,5,FALSE),"0")</f>
        <v>0</v>
      </c>
      <c r="V248" s="71" t="str">
        <f>IFERROR(VLOOKUP(Table1[[#This Row],[No_]],'Customer Net Price'!A:G,6,FALSE),"0")</f>
        <v>0</v>
      </c>
    </row>
    <row r="249" spans="1:22" x14ac:dyDescent="0.25">
      <c r="A249" s="23" t="s">
        <v>1129</v>
      </c>
      <c r="B249" s="23" t="s">
        <v>1129</v>
      </c>
      <c r="C249" t="s">
        <v>1130</v>
      </c>
      <c r="D249" t="s">
        <v>1011</v>
      </c>
      <c r="F249" t="s">
        <v>919</v>
      </c>
      <c r="G249" t="s">
        <v>919</v>
      </c>
      <c r="H249" s="46" t="s">
        <v>1131</v>
      </c>
      <c r="I249" s="17">
        <v>24</v>
      </c>
      <c r="J249" t="s">
        <v>546</v>
      </c>
      <c r="K249" s="2">
        <v>44.9</v>
      </c>
      <c r="L249" s="2">
        <v>334.9</v>
      </c>
      <c r="M249" s="2">
        <v>49.9</v>
      </c>
      <c r="N249" s="2">
        <f ca="1">Table1[[#This Row],[2026 (EUR)]]*(1-INDIRECT(Table1[[#This Row],[Discount Name]]))</f>
        <v>44.9</v>
      </c>
      <c r="O249" s="2">
        <f ca="1">Table1[[#This Row],[2026 (DKK)]]*(1-INDIRECT(Table1[[#This Row],[Discount Name]]))</f>
        <v>334.9</v>
      </c>
      <c r="P249" s="2" cm="1">
        <f t="array" aca="1" ref="P249" ca="1">Table1[[#This Row],[2026 (USD)]]*(1-INDIRECT(Table1[[#This Row],[Discount Name]]))</f>
        <v>49.9</v>
      </c>
      <c r="Q249" s="31">
        <f ca="1">INDIRECT(Table1[[#This Row],[Discount Name]])</f>
        <v>0</v>
      </c>
      <c r="S249" s="2">
        <f t="shared" ca="1" si="6"/>
        <v>44.9</v>
      </c>
      <c r="T249" s="2">
        <f t="shared" ca="1" si="7"/>
        <v>334.9</v>
      </c>
      <c r="U249" s="71" t="str">
        <f>IFERROR(VLOOKUP(Table1[[#This Row],[No_]],'Customer Net Price'!A:F,5,FALSE),"0")</f>
        <v>0</v>
      </c>
      <c r="V249" s="71" t="str">
        <f>IFERROR(VLOOKUP(Table1[[#This Row],[No_]],'Customer Net Price'!A:G,6,FALSE),"0")</f>
        <v>0</v>
      </c>
    </row>
    <row r="250" spans="1:22" x14ac:dyDescent="0.25">
      <c r="A250" s="23" t="s">
        <v>1132</v>
      </c>
      <c r="B250" s="23" t="s">
        <v>1132</v>
      </c>
      <c r="C250" t="s">
        <v>1133</v>
      </c>
      <c r="D250" t="s">
        <v>1011</v>
      </c>
      <c r="F250" t="s">
        <v>919</v>
      </c>
      <c r="G250" t="s">
        <v>919</v>
      </c>
      <c r="H250" s="46" t="s">
        <v>1134</v>
      </c>
      <c r="I250" s="17">
        <v>24</v>
      </c>
      <c r="J250" t="s">
        <v>546</v>
      </c>
      <c r="K250" s="2">
        <v>49.9</v>
      </c>
      <c r="L250" s="2">
        <v>369.9</v>
      </c>
      <c r="M250" s="2">
        <v>55.9</v>
      </c>
      <c r="N250" s="2">
        <f ca="1">Table1[[#This Row],[2026 (EUR)]]*(1-INDIRECT(Table1[[#This Row],[Discount Name]]))</f>
        <v>49.9</v>
      </c>
      <c r="O250" s="2">
        <f ca="1">Table1[[#This Row],[2026 (DKK)]]*(1-INDIRECT(Table1[[#This Row],[Discount Name]]))</f>
        <v>369.9</v>
      </c>
      <c r="P250" s="2" cm="1">
        <f t="array" aca="1" ref="P250" ca="1">Table1[[#This Row],[2026 (USD)]]*(1-INDIRECT(Table1[[#This Row],[Discount Name]]))</f>
        <v>55.9</v>
      </c>
      <c r="Q250" s="31">
        <f ca="1">INDIRECT(Table1[[#This Row],[Discount Name]])</f>
        <v>0</v>
      </c>
      <c r="S250" s="2">
        <f t="shared" ca="1" si="6"/>
        <v>49.9</v>
      </c>
      <c r="T250" s="2">
        <f t="shared" ca="1" si="7"/>
        <v>369.9</v>
      </c>
      <c r="U250" s="71" t="str">
        <f>IFERROR(VLOOKUP(Table1[[#This Row],[No_]],'Customer Net Price'!A:F,5,FALSE),"0")</f>
        <v>0</v>
      </c>
      <c r="V250" s="71" t="str">
        <f>IFERROR(VLOOKUP(Table1[[#This Row],[No_]],'Customer Net Price'!A:G,6,FALSE),"0")</f>
        <v>0</v>
      </c>
    </row>
    <row r="251" spans="1:22" x14ac:dyDescent="0.25">
      <c r="A251" s="23" t="s">
        <v>1126</v>
      </c>
      <c r="B251" s="23" t="s">
        <v>1126</v>
      </c>
      <c r="C251" t="s">
        <v>1127</v>
      </c>
      <c r="D251" t="s">
        <v>1011</v>
      </c>
      <c r="F251" t="s">
        <v>919</v>
      </c>
      <c r="G251" t="s">
        <v>919</v>
      </c>
      <c r="H251" s="46" t="s">
        <v>1128</v>
      </c>
      <c r="I251" s="17">
        <v>48</v>
      </c>
      <c r="J251" t="s">
        <v>546</v>
      </c>
      <c r="K251" s="2">
        <v>44.9</v>
      </c>
      <c r="L251" s="2">
        <v>334.9</v>
      </c>
      <c r="M251" s="2">
        <v>49.9</v>
      </c>
      <c r="N251" s="2">
        <f ca="1">Table1[[#This Row],[2026 (EUR)]]*(1-INDIRECT(Table1[[#This Row],[Discount Name]]))</f>
        <v>44.9</v>
      </c>
      <c r="O251" s="2">
        <f ca="1">Table1[[#This Row],[2026 (DKK)]]*(1-INDIRECT(Table1[[#This Row],[Discount Name]]))</f>
        <v>334.9</v>
      </c>
      <c r="P251" s="2" cm="1">
        <f t="array" aca="1" ref="P251" ca="1">Table1[[#This Row],[2026 (USD)]]*(1-INDIRECT(Table1[[#This Row],[Discount Name]]))</f>
        <v>49.9</v>
      </c>
      <c r="Q251" s="31">
        <f ca="1">INDIRECT(Table1[[#This Row],[Discount Name]])</f>
        <v>0</v>
      </c>
      <c r="S251" s="2">
        <f t="shared" ca="1" si="6"/>
        <v>44.9</v>
      </c>
      <c r="T251" s="2">
        <f t="shared" ca="1" si="7"/>
        <v>334.9</v>
      </c>
      <c r="U251" s="71" t="str">
        <f>IFERROR(VLOOKUP(Table1[[#This Row],[No_]],'Customer Net Price'!A:F,5,FALSE),"0")</f>
        <v>0</v>
      </c>
      <c r="V251" s="71" t="str">
        <f>IFERROR(VLOOKUP(Table1[[#This Row],[No_]],'Customer Net Price'!A:G,6,FALSE),"0")</f>
        <v>0</v>
      </c>
    </row>
    <row r="252" spans="1:22" x14ac:dyDescent="0.25">
      <c r="A252" s="23" t="s">
        <v>1201</v>
      </c>
      <c r="B252" s="23" t="s">
        <v>1201</v>
      </c>
      <c r="C252" t="s">
        <v>1191</v>
      </c>
      <c r="D252" t="s">
        <v>1011</v>
      </c>
      <c r="F252" t="s">
        <v>919</v>
      </c>
      <c r="G252" t="s">
        <v>919</v>
      </c>
      <c r="H252" s="44" t="s">
        <v>1192</v>
      </c>
      <c r="I252" t="s">
        <v>546</v>
      </c>
      <c r="J252" t="s">
        <v>546</v>
      </c>
      <c r="K252" s="2">
        <v>69.900000000000006</v>
      </c>
      <c r="L252" s="2">
        <v>519.9</v>
      </c>
      <c r="M252" s="2">
        <v>84.9</v>
      </c>
      <c r="N252" s="2">
        <f ca="1">Table1[[#This Row],[2026 (EUR)]]*(1-INDIRECT(Table1[[#This Row],[Discount Name]]))</f>
        <v>69.900000000000006</v>
      </c>
      <c r="O252" s="2">
        <f ca="1">Table1[[#This Row],[2026 (DKK)]]*(1-INDIRECT(Table1[[#This Row],[Discount Name]]))</f>
        <v>519.9</v>
      </c>
      <c r="P252" s="2" cm="1">
        <f t="array" aca="1" ref="P252" ca="1">Table1[[#This Row],[2026 (USD)]]*(1-INDIRECT(Table1[[#This Row],[Discount Name]]))</f>
        <v>84.9</v>
      </c>
      <c r="Q252" s="31">
        <f ca="1">INDIRECT(Table1[[#This Row],[Discount Name]])</f>
        <v>0</v>
      </c>
      <c r="S252" s="2">
        <f t="shared" ca="1" si="6"/>
        <v>69.900000000000006</v>
      </c>
      <c r="T252" s="2">
        <f t="shared" ca="1" si="7"/>
        <v>519.9</v>
      </c>
      <c r="U252" s="71" t="str">
        <f>IFERROR(VLOOKUP(Table1[[#This Row],[No_]],'Customer Net Price'!A:F,5,FALSE),"0")</f>
        <v>0</v>
      </c>
      <c r="V252" s="71" t="str">
        <f>IFERROR(VLOOKUP(Table1[[#This Row],[No_]],'Customer Net Price'!A:G,6,FALSE),"0")</f>
        <v>0</v>
      </c>
    </row>
    <row r="253" spans="1:22" x14ac:dyDescent="0.25">
      <c r="A253" s="23" t="s">
        <v>736</v>
      </c>
      <c r="B253" s="23" t="s">
        <v>736</v>
      </c>
      <c r="C253" t="s">
        <v>737</v>
      </c>
      <c r="D253" t="s">
        <v>1778</v>
      </c>
      <c r="E253" t="s">
        <v>546</v>
      </c>
      <c r="F253" t="s">
        <v>918</v>
      </c>
      <c r="G253" t="s">
        <v>923</v>
      </c>
      <c r="H253" s="1" t="s">
        <v>738</v>
      </c>
      <c r="I253">
        <v>1</v>
      </c>
      <c r="J253" t="s">
        <v>546</v>
      </c>
      <c r="K253" s="2">
        <v>19.3</v>
      </c>
      <c r="L253" s="2">
        <v>143.9</v>
      </c>
      <c r="M253" s="2">
        <v>21.9</v>
      </c>
      <c r="N253" s="2">
        <f ca="1">Table1[[#This Row],[2026 (EUR)]]*(1-INDIRECT(Table1[[#This Row],[Discount Name]]))</f>
        <v>19.3</v>
      </c>
      <c r="O253" s="2">
        <f ca="1">Table1[[#This Row],[2026 (DKK)]]*(1-INDIRECT(Table1[[#This Row],[Discount Name]]))</f>
        <v>143.9</v>
      </c>
      <c r="P253" s="2" cm="1">
        <f t="array" aca="1" ref="P253" ca="1">Table1[[#This Row],[2026 (USD)]]*(1-INDIRECT(Table1[[#This Row],[Discount Name]]))</f>
        <v>21.9</v>
      </c>
      <c r="Q253" s="31">
        <f ca="1">INDIRECT(Table1[[#This Row],[Discount Name]])</f>
        <v>0</v>
      </c>
      <c r="S253" s="2">
        <f t="shared" ca="1" si="6"/>
        <v>19.3</v>
      </c>
      <c r="T253" s="2">
        <f t="shared" ca="1" si="7"/>
        <v>143.9</v>
      </c>
      <c r="U253" s="71" t="str">
        <f>IFERROR(VLOOKUP(Table1[[#This Row],[No_]],'Customer Net Price'!A:F,5,FALSE),"0")</f>
        <v>0</v>
      </c>
      <c r="V253" s="71" t="str">
        <f>IFERROR(VLOOKUP(Table1[[#This Row],[No_]],'Customer Net Price'!A:G,6,FALSE),"0")</f>
        <v>0</v>
      </c>
    </row>
    <row r="254" spans="1:22" x14ac:dyDescent="0.25">
      <c r="A254" s="23" t="s">
        <v>739</v>
      </c>
      <c r="B254" s="23" t="s">
        <v>739</v>
      </c>
      <c r="C254" t="s">
        <v>740</v>
      </c>
      <c r="D254" t="s">
        <v>1778</v>
      </c>
      <c r="E254" t="s">
        <v>546</v>
      </c>
      <c r="F254" t="s">
        <v>918</v>
      </c>
      <c r="G254" t="s">
        <v>923</v>
      </c>
      <c r="H254" s="1" t="s">
        <v>861</v>
      </c>
      <c r="I254" t="s">
        <v>546</v>
      </c>
      <c r="J254" t="s">
        <v>546</v>
      </c>
      <c r="K254" s="2">
        <v>20.9</v>
      </c>
      <c r="L254" s="2">
        <v>154.9</v>
      </c>
      <c r="M254" s="2">
        <v>23.9</v>
      </c>
      <c r="N254" s="2">
        <f ca="1">Table1[[#This Row],[2026 (EUR)]]*(1-INDIRECT(Table1[[#This Row],[Discount Name]]))</f>
        <v>20.9</v>
      </c>
      <c r="O254" s="2">
        <f ca="1">Table1[[#This Row],[2026 (DKK)]]*(1-INDIRECT(Table1[[#This Row],[Discount Name]]))</f>
        <v>154.9</v>
      </c>
      <c r="P254" s="2" cm="1">
        <f t="array" aca="1" ref="P254" ca="1">Table1[[#This Row],[2026 (USD)]]*(1-INDIRECT(Table1[[#This Row],[Discount Name]]))</f>
        <v>23.9</v>
      </c>
      <c r="Q254" s="31">
        <f ca="1">INDIRECT(Table1[[#This Row],[Discount Name]])</f>
        <v>0</v>
      </c>
      <c r="S254" s="2">
        <f t="shared" ca="1" si="6"/>
        <v>20.9</v>
      </c>
      <c r="T254" s="2">
        <f t="shared" ca="1" si="7"/>
        <v>154.9</v>
      </c>
      <c r="U254" s="71" t="str">
        <f>IFERROR(VLOOKUP(Table1[[#This Row],[No_]],'Customer Net Price'!A:F,5,FALSE),"0")</f>
        <v>0</v>
      </c>
      <c r="V254" s="71" t="str">
        <f>IFERROR(VLOOKUP(Table1[[#This Row],[No_]],'Customer Net Price'!A:G,6,FALSE),"0")</f>
        <v>0</v>
      </c>
    </row>
    <row r="255" spans="1:22" x14ac:dyDescent="0.25">
      <c r="A255" s="23" t="s">
        <v>741</v>
      </c>
      <c r="B255" s="23" t="s">
        <v>741</v>
      </c>
      <c r="C255" t="s">
        <v>719</v>
      </c>
      <c r="D255" t="s">
        <v>1778</v>
      </c>
      <c r="E255" t="s">
        <v>546</v>
      </c>
      <c r="F255" t="s">
        <v>918</v>
      </c>
      <c r="G255" t="s">
        <v>923</v>
      </c>
      <c r="H255" s="1" t="s">
        <v>862</v>
      </c>
      <c r="I255" t="s">
        <v>546</v>
      </c>
      <c r="J255" t="s">
        <v>546</v>
      </c>
      <c r="K255" s="2">
        <v>12.9</v>
      </c>
      <c r="L255" s="2">
        <v>95.9</v>
      </c>
      <c r="M255" s="2">
        <v>14.9</v>
      </c>
      <c r="N255" s="2">
        <f ca="1">Table1[[#This Row],[2026 (EUR)]]*(1-INDIRECT(Table1[[#This Row],[Discount Name]]))</f>
        <v>12.9</v>
      </c>
      <c r="O255" s="2">
        <f ca="1">Table1[[#This Row],[2026 (DKK)]]*(1-INDIRECT(Table1[[#This Row],[Discount Name]]))</f>
        <v>95.9</v>
      </c>
      <c r="P255" s="2" cm="1">
        <f t="array" aca="1" ref="P255" ca="1">Table1[[#This Row],[2026 (USD)]]*(1-INDIRECT(Table1[[#This Row],[Discount Name]]))</f>
        <v>14.9</v>
      </c>
      <c r="Q255" s="31">
        <f ca="1">INDIRECT(Table1[[#This Row],[Discount Name]])</f>
        <v>0</v>
      </c>
      <c r="S255" s="2">
        <f t="shared" ca="1" si="6"/>
        <v>12.9</v>
      </c>
      <c r="T255" s="2">
        <f t="shared" ca="1" si="7"/>
        <v>95.9</v>
      </c>
      <c r="U255" s="71" t="str">
        <f>IFERROR(VLOOKUP(Table1[[#This Row],[No_]],'Customer Net Price'!A:F,5,FALSE),"0")</f>
        <v>0</v>
      </c>
      <c r="V255" s="71" t="str">
        <f>IFERROR(VLOOKUP(Table1[[#This Row],[No_]],'Customer Net Price'!A:G,6,FALSE),"0")</f>
        <v>0</v>
      </c>
    </row>
    <row r="256" spans="1:22" x14ac:dyDescent="0.25">
      <c r="A256" s="23" t="s">
        <v>742</v>
      </c>
      <c r="B256" s="23" t="s">
        <v>742</v>
      </c>
      <c r="C256" t="s">
        <v>719</v>
      </c>
      <c r="D256" t="s">
        <v>1778</v>
      </c>
      <c r="E256" t="s">
        <v>546</v>
      </c>
      <c r="F256" t="s">
        <v>918</v>
      </c>
      <c r="G256" t="s">
        <v>923</v>
      </c>
      <c r="H256" s="1" t="s">
        <v>863</v>
      </c>
      <c r="I256" t="s">
        <v>546</v>
      </c>
      <c r="J256" t="s">
        <v>546</v>
      </c>
      <c r="K256" s="2">
        <v>17.3</v>
      </c>
      <c r="L256" s="2">
        <v>128.9</v>
      </c>
      <c r="M256" s="2">
        <v>18.899999999999999</v>
      </c>
      <c r="N256" s="2">
        <f ca="1">Table1[[#This Row],[2026 (EUR)]]*(1-INDIRECT(Table1[[#This Row],[Discount Name]]))</f>
        <v>17.3</v>
      </c>
      <c r="O256" s="2">
        <f ca="1">Table1[[#This Row],[2026 (DKK)]]*(1-INDIRECT(Table1[[#This Row],[Discount Name]]))</f>
        <v>128.9</v>
      </c>
      <c r="P256" s="2" cm="1">
        <f t="array" aca="1" ref="P256" ca="1">Table1[[#This Row],[2026 (USD)]]*(1-INDIRECT(Table1[[#This Row],[Discount Name]]))</f>
        <v>18.899999999999999</v>
      </c>
      <c r="Q256" s="31">
        <f ca="1">INDIRECT(Table1[[#This Row],[Discount Name]])</f>
        <v>0</v>
      </c>
      <c r="S256" s="2">
        <f t="shared" ca="1" si="6"/>
        <v>17.3</v>
      </c>
      <c r="T256" s="2">
        <f t="shared" ca="1" si="7"/>
        <v>128.9</v>
      </c>
      <c r="U256" s="71" t="str">
        <f>IFERROR(VLOOKUP(Table1[[#This Row],[No_]],'Customer Net Price'!A:F,5,FALSE),"0")</f>
        <v>0</v>
      </c>
      <c r="V256" s="71" t="str">
        <f>IFERROR(VLOOKUP(Table1[[#This Row],[No_]],'Customer Net Price'!A:G,6,FALSE),"0")</f>
        <v>0</v>
      </c>
    </row>
    <row r="257" spans="1:22" x14ac:dyDescent="0.25">
      <c r="A257" s="23" t="s">
        <v>743</v>
      </c>
      <c r="B257" s="23" t="s">
        <v>743</v>
      </c>
      <c r="C257" t="s">
        <v>719</v>
      </c>
      <c r="D257" t="s">
        <v>1778</v>
      </c>
      <c r="E257" t="s">
        <v>546</v>
      </c>
      <c r="F257" t="s">
        <v>918</v>
      </c>
      <c r="G257" t="s">
        <v>923</v>
      </c>
      <c r="H257" s="1" t="s">
        <v>864</v>
      </c>
      <c r="I257" t="s">
        <v>546</v>
      </c>
      <c r="J257" t="s">
        <v>546</v>
      </c>
      <c r="K257" s="2">
        <v>19.899999999999999</v>
      </c>
      <c r="L257" s="2">
        <v>147.9</v>
      </c>
      <c r="M257" s="2">
        <v>21.9</v>
      </c>
      <c r="N257" s="2">
        <f ca="1">Table1[[#This Row],[2026 (EUR)]]*(1-INDIRECT(Table1[[#This Row],[Discount Name]]))</f>
        <v>19.899999999999999</v>
      </c>
      <c r="O257" s="2">
        <f ca="1">Table1[[#This Row],[2026 (DKK)]]*(1-INDIRECT(Table1[[#This Row],[Discount Name]]))</f>
        <v>147.9</v>
      </c>
      <c r="P257" s="2" cm="1">
        <f t="array" aca="1" ref="P257" ca="1">Table1[[#This Row],[2026 (USD)]]*(1-INDIRECT(Table1[[#This Row],[Discount Name]]))</f>
        <v>21.9</v>
      </c>
      <c r="Q257" s="31">
        <f ca="1">INDIRECT(Table1[[#This Row],[Discount Name]])</f>
        <v>0</v>
      </c>
      <c r="S257" s="2">
        <f t="shared" ref="S257:S320" ca="1" si="8">IF(MAX(U257:U257)=0,+N257,MAX(U257:U257))</f>
        <v>19.899999999999999</v>
      </c>
      <c r="T257" s="2">
        <f t="shared" ref="T257:T320" ca="1" si="9">IF(MAX(V257:V257)=0,+O257,MAX(V257:V257))</f>
        <v>147.9</v>
      </c>
      <c r="U257" s="71" t="str">
        <f>IFERROR(VLOOKUP(Table1[[#This Row],[No_]],'Customer Net Price'!A:F,5,FALSE),"0")</f>
        <v>0</v>
      </c>
      <c r="V257" s="71" t="str">
        <f>IFERROR(VLOOKUP(Table1[[#This Row],[No_]],'Customer Net Price'!A:G,6,FALSE),"0")</f>
        <v>0</v>
      </c>
    </row>
    <row r="258" spans="1:22" x14ac:dyDescent="0.25">
      <c r="A258" s="23" t="s">
        <v>744</v>
      </c>
      <c r="B258" s="23" t="s">
        <v>744</v>
      </c>
      <c r="C258" t="s">
        <v>745</v>
      </c>
      <c r="D258" t="s">
        <v>1778</v>
      </c>
      <c r="E258" t="s">
        <v>546</v>
      </c>
      <c r="F258" t="s">
        <v>918</v>
      </c>
      <c r="G258" t="s">
        <v>923</v>
      </c>
      <c r="H258" s="1" t="s">
        <v>865</v>
      </c>
      <c r="I258" t="s">
        <v>546</v>
      </c>
      <c r="J258" t="s">
        <v>546</v>
      </c>
      <c r="K258" s="2">
        <v>5.9</v>
      </c>
      <c r="L258" s="2">
        <v>43.9</v>
      </c>
      <c r="M258" s="2">
        <v>6.9</v>
      </c>
      <c r="N258" s="2">
        <f ca="1">Table1[[#This Row],[2026 (EUR)]]*(1-INDIRECT(Table1[[#This Row],[Discount Name]]))</f>
        <v>5.9</v>
      </c>
      <c r="O258" s="2">
        <f ca="1">Table1[[#This Row],[2026 (DKK)]]*(1-INDIRECT(Table1[[#This Row],[Discount Name]]))</f>
        <v>43.9</v>
      </c>
      <c r="P258" s="2" cm="1">
        <f t="array" aca="1" ref="P258" ca="1">Table1[[#This Row],[2026 (USD)]]*(1-INDIRECT(Table1[[#This Row],[Discount Name]]))</f>
        <v>6.9</v>
      </c>
      <c r="Q258" s="31">
        <f ca="1">INDIRECT(Table1[[#This Row],[Discount Name]])</f>
        <v>0</v>
      </c>
      <c r="S258" s="2">
        <f t="shared" ca="1" si="8"/>
        <v>5.9</v>
      </c>
      <c r="T258" s="2">
        <f t="shared" ca="1" si="9"/>
        <v>43.9</v>
      </c>
      <c r="U258" s="71" t="str">
        <f>IFERROR(VLOOKUP(Table1[[#This Row],[No_]],'Customer Net Price'!A:F,5,FALSE),"0")</f>
        <v>0</v>
      </c>
      <c r="V258" s="71" t="str">
        <f>IFERROR(VLOOKUP(Table1[[#This Row],[No_]],'Customer Net Price'!A:G,6,FALSE),"0")</f>
        <v>0</v>
      </c>
    </row>
    <row r="259" spans="1:22" x14ac:dyDescent="0.25">
      <c r="A259" s="23" t="s">
        <v>746</v>
      </c>
      <c r="B259" s="23" t="s">
        <v>746</v>
      </c>
      <c r="C259" t="s">
        <v>745</v>
      </c>
      <c r="D259" t="s">
        <v>1778</v>
      </c>
      <c r="E259" t="s">
        <v>546</v>
      </c>
      <c r="F259" t="s">
        <v>918</v>
      </c>
      <c r="G259" t="s">
        <v>923</v>
      </c>
      <c r="H259" t="s">
        <v>866</v>
      </c>
      <c r="I259" t="s">
        <v>546</v>
      </c>
      <c r="J259" t="s">
        <v>546</v>
      </c>
      <c r="K259" s="2">
        <v>8.9</v>
      </c>
      <c r="L259" s="2">
        <v>65.900000000000006</v>
      </c>
      <c r="M259" s="2">
        <v>9.9</v>
      </c>
      <c r="N259" s="2">
        <f ca="1">Table1[[#This Row],[2026 (EUR)]]*(1-INDIRECT(Table1[[#This Row],[Discount Name]]))</f>
        <v>8.9</v>
      </c>
      <c r="O259" s="2">
        <f ca="1">Table1[[#This Row],[2026 (DKK)]]*(1-INDIRECT(Table1[[#This Row],[Discount Name]]))</f>
        <v>65.900000000000006</v>
      </c>
      <c r="P259" s="2" cm="1">
        <f t="array" aca="1" ref="P259" ca="1">Table1[[#This Row],[2026 (USD)]]*(1-INDIRECT(Table1[[#This Row],[Discount Name]]))</f>
        <v>9.9</v>
      </c>
      <c r="Q259" s="31">
        <f ca="1">INDIRECT(Table1[[#This Row],[Discount Name]])</f>
        <v>0</v>
      </c>
      <c r="S259" s="2">
        <f t="shared" ca="1" si="8"/>
        <v>8.9</v>
      </c>
      <c r="T259" s="2">
        <f t="shared" ca="1" si="9"/>
        <v>65.900000000000006</v>
      </c>
      <c r="U259" s="71" t="str">
        <f>IFERROR(VLOOKUP(Table1[[#This Row],[No_]],'Customer Net Price'!A:F,5,FALSE),"0")</f>
        <v>0</v>
      </c>
      <c r="V259" s="71" t="str">
        <f>IFERROR(VLOOKUP(Table1[[#This Row],[No_]],'Customer Net Price'!A:G,6,FALSE),"0")</f>
        <v>0</v>
      </c>
    </row>
    <row r="260" spans="1:22" x14ac:dyDescent="0.25">
      <c r="A260" s="23" t="s">
        <v>747</v>
      </c>
      <c r="B260" s="23" t="s">
        <v>747</v>
      </c>
      <c r="C260" t="s">
        <v>745</v>
      </c>
      <c r="D260" t="s">
        <v>1778</v>
      </c>
      <c r="E260" t="s">
        <v>546</v>
      </c>
      <c r="F260" t="s">
        <v>918</v>
      </c>
      <c r="G260" t="s">
        <v>923</v>
      </c>
      <c r="H260" t="s">
        <v>867</v>
      </c>
      <c r="I260" t="s">
        <v>546</v>
      </c>
      <c r="J260" t="s">
        <v>546</v>
      </c>
      <c r="K260" s="2">
        <v>9.6</v>
      </c>
      <c r="L260" s="2">
        <v>70.900000000000006</v>
      </c>
      <c r="M260" s="2">
        <v>10.9</v>
      </c>
      <c r="N260" s="2">
        <f ca="1">Table1[[#This Row],[2026 (EUR)]]*(1-INDIRECT(Table1[[#This Row],[Discount Name]]))</f>
        <v>9.6</v>
      </c>
      <c r="O260" s="2">
        <f ca="1">Table1[[#This Row],[2026 (DKK)]]*(1-INDIRECT(Table1[[#This Row],[Discount Name]]))</f>
        <v>70.900000000000006</v>
      </c>
      <c r="P260" s="2" cm="1">
        <f t="array" aca="1" ref="P260" ca="1">Table1[[#This Row],[2026 (USD)]]*(1-INDIRECT(Table1[[#This Row],[Discount Name]]))</f>
        <v>10.9</v>
      </c>
      <c r="Q260" s="31">
        <f ca="1">INDIRECT(Table1[[#This Row],[Discount Name]])</f>
        <v>0</v>
      </c>
      <c r="S260" s="2">
        <f t="shared" ca="1" si="8"/>
        <v>9.6</v>
      </c>
      <c r="T260" s="2">
        <f t="shared" ca="1" si="9"/>
        <v>70.900000000000006</v>
      </c>
      <c r="U260" s="71" t="str">
        <f>IFERROR(VLOOKUP(Table1[[#This Row],[No_]],'Customer Net Price'!A:F,5,FALSE),"0")</f>
        <v>0</v>
      </c>
      <c r="V260" s="71" t="str">
        <f>IFERROR(VLOOKUP(Table1[[#This Row],[No_]],'Customer Net Price'!A:G,6,FALSE),"0")</f>
        <v>0</v>
      </c>
    </row>
    <row r="261" spans="1:22" x14ac:dyDescent="0.25">
      <c r="A261" s="23" t="s">
        <v>748</v>
      </c>
      <c r="B261" s="23" t="s">
        <v>748</v>
      </c>
      <c r="C261" t="s">
        <v>983</v>
      </c>
      <c r="D261" t="s">
        <v>1778</v>
      </c>
      <c r="E261" t="s">
        <v>546</v>
      </c>
      <c r="F261" t="s">
        <v>918</v>
      </c>
      <c r="G261" t="s">
        <v>923</v>
      </c>
      <c r="H261" t="s">
        <v>868</v>
      </c>
      <c r="I261" t="s">
        <v>546</v>
      </c>
      <c r="J261" t="s">
        <v>546</v>
      </c>
      <c r="K261" s="2">
        <v>10.4</v>
      </c>
      <c r="L261" s="2">
        <v>76.900000000000006</v>
      </c>
      <c r="M261" s="2">
        <v>11.9</v>
      </c>
      <c r="N261" s="2">
        <f ca="1">Table1[[#This Row],[2026 (EUR)]]*(1-INDIRECT(Table1[[#This Row],[Discount Name]]))</f>
        <v>10.4</v>
      </c>
      <c r="O261" s="2">
        <f ca="1">Table1[[#This Row],[2026 (DKK)]]*(1-INDIRECT(Table1[[#This Row],[Discount Name]]))</f>
        <v>76.900000000000006</v>
      </c>
      <c r="P261" s="2" cm="1">
        <f t="array" aca="1" ref="P261" ca="1">Table1[[#This Row],[2026 (USD)]]*(1-INDIRECT(Table1[[#This Row],[Discount Name]]))</f>
        <v>11.9</v>
      </c>
      <c r="Q261" s="31">
        <f ca="1">INDIRECT(Table1[[#This Row],[Discount Name]])</f>
        <v>0</v>
      </c>
      <c r="S261" s="2">
        <f t="shared" ca="1" si="8"/>
        <v>10.4</v>
      </c>
      <c r="T261" s="2">
        <f t="shared" ca="1" si="9"/>
        <v>76.900000000000006</v>
      </c>
      <c r="U261" s="71" t="str">
        <f>IFERROR(VLOOKUP(Table1[[#This Row],[No_]],'Customer Net Price'!A:F,5,FALSE),"0")</f>
        <v>0</v>
      </c>
      <c r="V261" s="71" t="str">
        <f>IFERROR(VLOOKUP(Table1[[#This Row],[No_]],'Customer Net Price'!A:G,6,FALSE),"0")</f>
        <v>0</v>
      </c>
    </row>
    <row r="262" spans="1:22" x14ac:dyDescent="0.25">
      <c r="A262" s="23" t="s">
        <v>749</v>
      </c>
      <c r="B262" s="23" t="s">
        <v>749</v>
      </c>
      <c r="C262" t="s">
        <v>984</v>
      </c>
      <c r="D262" t="s">
        <v>1778</v>
      </c>
      <c r="E262" t="s">
        <v>546</v>
      </c>
      <c r="F262" t="s">
        <v>918</v>
      </c>
      <c r="G262" t="s">
        <v>923</v>
      </c>
      <c r="H262" t="s">
        <v>869</v>
      </c>
      <c r="I262" t="s">
        <v>546</v>
      </c>
      <c r="J262" t="s">
        <v>546</v>
      </c>
      <c r="K262" s="2">
        <v>12.1</v>
      </c>
      <c r="L262" s="2">
        <v>89.9</v>
      </c>
      <c r="M262" s="2">
        <v>13.9</v>
      </c>
      <c r="N262" s="2">
        <f ca="1">Table1[[#This Row],[2026 (EUR)]]*(1-INDIRECT(Table1[[#This Row],[Discount Name]]))</f>
        <v>12.1</v>
      </c>
      <c r="O262" s="2">
        <f ca="1">Table1[[#This Row],[2026 (DKK)]]*(1-INDIRECT(Table1[[#This Row],[Discount Name]]))</f>
        <v>89.9</v>
      </c>
      <c r="P262" s="2" cm="1">
        <f t="array" aca="1" ref="P262" ca="1">Table1[[#This Row],[2026 (USD)]]*(1-INDIRECT(Table1[[#This Row],[Discount Name]]))</f>
        <v>13.9</v>
      </c>
      <c r="Q262" s="31">
        <f ca="1">INDIRECT(Table1[[#This Row],[Discount Name]])</f>
        <v>0</v>
      </c>
      <c r="S262" s="2">
        <f t="shared" ca="1" si="8"/>
        <v>12.1</v>
      </c>
      <c r="T262" s="2">
        <f t="shared" ca="1" si="9"/>
        <v>89.9</v>
      </c>
      <c r="U262" s="71" t="str">
        <f>IFERROR(VLOOKUP(Table1[[#This Row],[No_]],'Customer Net Price'!A:F,5,FALSE),"0")</f>
        <v>0</v>
      </c>
      <c r="V262" s="71" t="str">
        <f>IFERROR(VLOOKUP(Table1[[#This Row],[No_]],'Customer Net Price'!A:G,6,FALSE),"0")</f>
        <v>0</v>
      </c>
    </row>
    <row r="263" spans="1:22" x14ac:dyDescent="0.25">
      <c r="A263" s="23" t="s">
        <v>750</v>
      </c>
      <c r="B263" s="23" t="s">
        <v>750</v>
      </c>
      <c r="C263" t="s">
        <v>721</v>
      </c>
      <c r="D263" t="s">
        <v>1778</v>
      </c>
      <c r="E263" t="s">
        <v>546</v>
      </c>
      <c r="F263" t="s">
        <v>918</v>
      </c>
      <c r="G263" t="s">
        <v>923</v>
      </c>
      <c r="H263" t="s">
        <v>870</v>
      </c>
      <c r="I263" t="s">
        <v>546</v>
      </c>
      <c r="J263" t="s">
        <v>546</v>
      </c>
      <c r="K263" s="2">
        <v>8.2999999999999989</v>
      </c>
      <c r="L263" s="2">
        <v>61.9</v>
      </c>
      <c r="M263" s="2">
        <v>8.9</v>
      </c>
      <c r="N263" s="2">
        <f ca="1">Table1[[#This Row],[2026 (EUR)]]*(1-INDIRECT(Table1[[#This Row],[Discount Name]]))</f>
        <v>8.2999999999999989</v>
      </c>
      <c r="O263" s="2">
        <f ca="1">Table1[[#This Row],[2026 (DKK)]]*(1-INDIRECT(Table1[[#This Row],[Discount Name]]))</f>
        <v>61.9</v>
      </c>
      <c r="P263" s="2" cm="1">
        <f t="array" aca="1" ref="P263" ca="1">Table1[[#This Row],[2026 (USD)]]*(1-INDIRECT(Table1[[#This Row],[Discount Name]]))</f>
        <v>8.9</v>
      </c>
      <c r="Q263" s="31">
        <f ca="1">INDIRECT(Table1[[#This Row],[Discount Name]])</f>
        <v>0</v>
      </c>
      <c r="S263" s="2">
        <f t="shared" ca="1" si="8"/>
        <v>8.2999999999999989</v>
      </c>
      <c r="T263" s="2">
        <f t="shared" ca="1" si="9"/>
        <v>61.9</v>
      </c>
      <c r="U263" s="71" t="str">
        <f>IFERROR(VLOOKUP(Table1[[#This Row],[No_]],'Customer Net Price'!A:F,5,FALSE),"0")</f>
        <v>0</v>
      </c>
      <c r="V263" s="71" t="str">
        <f>IFERROR(VLOOKUP(Table1[[#This Row],[No_]],'Customer Net Price'!A:G,6,FALSE),"0")</f>
        <v>0</v>
      </c>
    </row>
    <row r="264" spans="1:22" x14ac:dyDescent="0.25">
      <c r="A264" s="23" t="s">
        <v>751</v>
      </c>
      <c r="B264" s="23" t="s">
        <v>751</v>
      </c>
      <c r="C264" t="s">
        <v>752</v>
      </c>
      <c r="D264" t="s">
        <v>1778</v>
      </c>
      <c r="E264" t="s">
        <v>546</v>
      </c>
      <c r="F264" t="s">
        <v>918</v>
      </c>
      <c r="G264" t="s">
        <v>923</v>
      </c>
      <c r="H264" t="s">
        <v>871</v>
      </c>
      <c r="I264" t="s">
        <v>546</v>
      </c>
      <c r="J264" t="s">
        <v>546</v>
      </c>
      <c r="K264" s="2">
        <v>9.6</v>
      </c>
      <c r="L264" s="2">
        <v>70.900000000000006</v>
      </c>
      <c r="M264" s="2">
        <v>10.9</v>
      </c>
      <c r="N264" s="2">
        <f ca="1">Table1[[#This Row],[2026 (EUR)]]*(1-INDIRECT(Table1[[#This Row],[Discount Name]]))</f>
        <v>9.6</v>
      </c>
      <c r="O264" s="2">
        <f ca="1">Table1[[#This Row],[2026 (DKK)]]*(1-INDIRECT(Table1[[#This Row],[Discount Name]]))</f>
        <v>70.900000000000006</v>
      </c>
      <c r="P264" s="2" cm="1">
        <f t="array" aca="1" ref="P264" ca="1">Table1[[#This Row],[2026 (USD)]]*(1-INDIRECT(Table1[[#This Row],[Discount Name]]))</f>
        <v>10.9</v>
      </c>
      <c r="Q264" s="31">
        <f ca="1">INDIRECT(Table1[[#This Row],[Discount Name]])</f>
        <v>0</v>
      </c>
      <c r="S264" s="2">
        <f t="shared" ca="1" si="8"/>
        <v>9.6</v>
      </c>
      <c r="T264" s="2">
        <f t="shared" ca="1" si="9"/>
        <v>70.900000000000006</v>
      </c>
      <c r="U264" s="71" t="str">
        <f>IFERROR(VLOOKUP(Table1[[#This Row],[No_]],'Customer Net Price'!A:F,5,FALSE),"0")</f>
        <v>0</v>
      </c>
      <c r="V264" s="71" t="str">
        <f>IFERROR(VLOOKUP(Table1[[#This Row],[No_]],'Customer Net Price'!A:G,6,FALSE),"0")</f>
        <v>0</v>
      </c>
    </row>
    <row r="265" spans="1:22" x14ac:dyDescent="0.25">
      <c r="A265" s="23" t="s">
        <v>753</v>
      </c>
      <c r="B265" s="23" t="s">
        <v>753</v>
      </c>
      <c r="C265" t="s">
        <v>754</v>
      </c>
      <c r="D265" t="s">
        <v>1778</v>
      </c>
      <c r="E265" t="s">
        <v>546</v>
      </c>
      <c r="F265" t="s">
        <v>918</v>
      </c>
      <c r="G265" t="s">
        <v>923</v>
      </c>
      <c r="H265" t="s">
        <v>872</v>
      </c>
      <c r="I265" t="s">
        <v>546</v>
      </c>
      <c r="J265" t="s">
        <v>546</v>
      </c>
      <c r="K265" s="2">
        <v>14.299999999999999</v>
      </c>
      <c r="L265" s="2">
        <v>105.9</v>
      </c>
      <c r="M265" s="2">
        <v>15.9</v>
      </c>
      <c r="N265" s="2">
        <f ca="1">Table1[[#This Row],[2026 (EUR)]]*(1-INDIRECT(Table1[[#This Row],[Discount Name]]))</f>
        <v>14.299999999999999</v>
      </c>
      <c r="O265" s="2">
        <f ca="1">Table1[[#This Row],[2026 (DKK)]]*(1-INDIRECT(Table1[[#This Row],[Discount Name]]))</f>
        <v>105.9</v>
      </c>
      <c r="P265" s="2" cm="1">
        <f t="array" aca="1" ref="P265" ca="1">Table1[[#This Row],[2026 (USD)]]*(1-INDIRECT(Table1[[#This Row],[Discount Name]]))</f>
        <v>15.9</v>
      </c>
      <c r="Q265" s="31">
        <f ca="1">INDIRECT(Table1[[#This Row],[Discount Name]])</f>
        <v>0</v>
      </c>
      <c r="S265" s="2">
        <f t="shared" ca="1" si="8"/>
        <v>14.299999999999999</v>
      </c>
      <c r="T265" s="2">
        <f t="shared" ca="1" si="9"/>
        <v>105.9</v>
      </c>
      <c r="U265" s="71" t="str">
        <f>IFERROR(VLOOKUP(Table1[[#This Row],[No_]],'Customer Net Price'!A:F,5,FALSE),"0")</f>
        <v>0</v>
      </c>
      <c r="V265" s="71" t="str">
        <f>IFERROR(VLOOKUP(Table1[[#This Row],[No_]],'Customer Net Price'!A:G,6,FALSE),"0")</f>
        <v>0</v>
      </c>
    </row>
    <row r="266" spans="1:22" x14ac:dyDescent="0.25">
      <c r="A266" s="23" t="s">
        <v>755</v>
      </c>
      <c r="B266" s="23" t="s">
        <v>755</v>
      </c>
      <c r="C266" t="s">
        <v>756</v>
      </c>
      <c r="D266" t="s">
        <v>1778</v>
      </c>
      <c r="E266" t="s">
        <v>546</v>
      </c>
      <c r="F266" t="s">
        <v>918</v>
      </c>
      <c r="G266" t="s">
        <v>923</v>
      </c>
      <c r="H266" t="s">
        <v>873</v>
      </c>
      <c r="I266" t="s">
        <v>546</v>
      </c>
      <c r="J266" t="s">
        <v>546</v>
      </c>
      <c r="K266" s="2">
        <v>10.9</v>
      </c>
      <c r="L266" s="2">
        <v>80.900000000000006</v>
      </c>
      <c r="M266" s="2">
        <v>11.9</v>
      </c>
      <c r="N266" s="2">
        <f ca="1">Table1[[#This Row],[2026 (EUR)]]*(1-INDIRECT(Table1[[#This Row],[Discount Name]]))</f>
        <v>10.9</v>
      </c>
      <c r="O266" s="2">
        <f ca="1">Table1[[#This Row],[2026 (DKK)]]*(1-INDIRECT(Table1[[#This Row],[Discount Name]]))</f>
        <v>80.900000000000006</v>
      </c>
      <c r="P266" s="2" cm="1">
        <f t="array" aca="1" ref="P266" ca="1">Table1[[#This Row],[2026 (USD)]]*(1-INDIRECT(Table1[[#This Row],[Discount Name]]))</f>
        <v>11.9</v>
      </c>
      <c r="Q266" s="31">
        <f ca="1">INDIRECT(Table1[[#This Row],[Discount Name]])</f>
        <v>0</v>
      </c>
      <c r="S266" s="2">
        <f t="shared" ca="1" si="8"/>
        <v>10.9</v>
      </c>
      <c r="T266" s="2">
        <f t="shared" ca="1" si="9"/>
        <v>80.900000000000006</v>
      </c>
      <c r="U266" s="71" t="str">
        <f>IFERROR(VLOOKUP(Table1[[#This Row],[No_]],'Customer Net Price'!A:F,5,FALSE),"0")</f>
        <v>0</v>
      </c>
      <c r="V266" s="71" t="str">
        <f>IFERROR(VLOOKUP(Table1[[#This Row],[No_]],'Customer Net Price'!A:G,6,FALSE),"0")</f>
        <v>0</v>
      </c>
    </row>
    <row r="267" spans="1:22" x14ac:dyDescent="0.25">
      <c r="A267" s="23" t="s">
        <v>757</v>
      </c>
      <c r="B267" s="24" t="s">
        <v>757</v>
      </c>
      <c r="C267" t="s">
        <v>758</v>
      </c>
      <c r="D267" t="s">
        <v>1778</v>
      </c>
      <c r="E267" t="s">
        <v>546</v>
      </c>
      <c r="F267" t="s">
        <v>918</v>
      </c>
      <c r="G267" t="s">
        <v>923</v>
      </c>
      <c r="H267" t="s">
        <v>874</v>
      </c>
      <c r="I267" t="s">
        <v>546</v>
      </c>
      <c r="J267" t="s">
        <v>546</v>
      </c>
      <c r="K267" s="2">
        <v>10.9</v>
      </c>
      <c r="L267" s="2">
        <v>80.900000000000006</v>
      </c>
      <c r="M267" s="2">
        <v>11.9</v>
      </c>
      <c r="N267" s="2">
        <f ca="1">Table1[[#This Row],[2026 (EUR)]]*(1-INDIRECT(Table1[[#This Row],[Discount Name]]))</f>
        <v>10.9</v>
      </c>
      <c r="O267" s="2">
        <f ca="1">Table1[[#This Row],[2026 (DKK)]]*(1-INDIRECT(Table1[[#This Row],[Discount Name]]))</f>
        <v>80.900000000000006</v>
      </c>
      <c r="P267" s="2" cm="1">
        <f t="array" aca="1" ref="P267" ca="1">Table1[[#This Row],[2026 (USD)]]*(1-INDIRECT(Table1[[#This Row],[Discount Name]]))</f>
        <v>11.9</v>
      </c>
      <c r="Q267" s="31">
        <f ca="1">INDIRECT(Table1[[#This Row],[Discount Name]])</f>
        <v>0</v>
      </c>
      <c r="S267" s="2">
        <f t="shared" ca="1" si="8"/>
        <v>10.9</v>
      </c>
      <c r="T267" s="2">
        <f t="shared" ca="1" si="9"/>
        <v>80.900000000000006</v>
      </c>
      <c r="U267" s="71" t="str">
        <f>IFERROR(VLOOKUP(Table1[[#This Row],[No_]],'Customer Net Price'!A:F,5,FALSE),"0")</f>
        <v>0</v>
      </c>
      <c r="V267" s="71" t="str">
        <f>IFERROR(VLOOKUP(Table1[[#This Row],[No_]],'Customer Net Price'!A:G,6,FALSE),"0")</f>
        <v>0</v>
      </c>
    </row>
    <row r="268" spans="1:22" x14ac:dyDescent="0.25">
      <c r="A268" s="23" t="s">
        <v>759</v>
      </c>
      <c r="B268" s="23" t="s">
        <v>759</v>
      </c>
      <c r="C268" t="s">
        <v>760</v>
      </c>
      <c r="D268" t="s">
        <v>1778</v>
      </c>
      <c r="E268" t="s">
        <v>546</v>
      </c>
      <c r="F268" t="s">
        <v>918</v>
      </c>
      <c r="G268" t="s">
        <v>923</v>
      </c>
      <c r="H268" t="s">
        <v>875</v>
      </c>
      <c r="I268" t="s">
        <v>546</v>
      </c>
      <c r="J268" t="s">
        <v>546</v>
      </c>
      <c r="K268" s="2">
        <v>7.9</v>
      </c>
      <c r="L268" s="2">
        <v>58.9</v>
      </c>
      <c r="M268" s="2">
        <v>8.9</v>
      </c>
      <c r="N268" s="2">
        <f ca="1">Table1[[#This Row],[2026 (EUR)]]*(1-INDIRECT(Table1[[#This Row],[Discount Name]]))</f>
        <v>7.9</v>
      </c>
      <c r="O268" s="2">
        <f ca="1">Table1[[#This Row],[2026 (DKK)]]*(1-INDIRECT(Table1[[#This Row],[Discount Name]]))</f>
        <v>58.9</v>
      </c>
      <c r="P268" s="2" cm="1">
        <f t="array" aca="1" ref="P268" ca="1">Table1[[#This Row],[2026 (USD)]]*(1-INDIRECT(Table1[[#This Row],[Discount Name]]))</f>
        <v>8.9</v>
      </c>
      <c r="Q268" s="31">
        <f ca="1">INDIRECT(Table1[[#This Row],[Discount Name]])</f>
        <v>0</v>
      </c>
      <c r="S268" s="2">
        <f t="shared" ca="1" si="8"/>
        <v>7.9</v>
      </c>
      <c r="T268" s="2">
        <f t="shared" ca="1" si="9"/>
        <v>58.9</v>
      </c>
      <c r="U268" s="71" t="str">
        <f>IFERROR(VLOOKUP(Table1[[#This Row],[No_]],'Customer Net Price'!A:F,5,FALSE),"0")</f>
        <v>0</v>
      </c>
      <c r="V268" s="71" t="str">
        <f>IFERROR(VLOOKUP(Table1[[#This Row],[No_]],'Customer Net Price'!A:G,6,FALSE),"0")</f>
        <v>0</v>
      </c>
    </row>
    <row r="269" spans="1:22" x14ac:dyDescent="0.25">
      <c r="A269" s="23" t="s">
        <v>761</v>
      </c>
      <c r="B269" s="23" t="s">
        <v>761</v>
      </c>
      <c r="C269" t="s">
        <v>762</v>
      </c>
      <c r="D269" t="s">
        <v>1778</v>
      </c>
      <c r="E269" t="s">
        <v>546</v>
      </c>
      <c r="F269" t="s">
        <v>918</v>
      </c>
      <c r="G269" t="s">
        <v>923</v>
      </c>
      <c r="H269" t="s">
        <v>876</v>
      </c>
      <c r="I269" t="s">
        <v>546</v>
      </c>
      <c r="J269" t="s">
        <v>546</v>
      </c>
      <c r="K269" s="2">
        <v>7.5</v>
      </c>
      <c r="L269" s="2">
        <v>55.9</v>
      </c>
      <c r="M269" s="2">
        <v>7.9</v>
      </c>
      <c r="N269" s="2">
        <f ca="1">Table1[[#This Row],[2026 (EUR)]]*(1-INDIRECT(Table1[[#This Row],[Discount Name]]))</f>
        <v>7.5</v>
      </c>
      <c r="O269" s="2">
        <f ca="1">Table1[[#This Row],[2026 (DKK)]]*(1-INDIRECT(Table1[[#This Row],[Discount Name]]))</f>
        <v>55.9</v>
      </c>
      <c r="P269" s="2" cm="1">
        <f t="array" aca="1" ref="P269" ca="1">Table1[[#This Row],[2026 (USD)]]*(1-INDIRECT(Table1[[#This Row],[Discount Name]]))</f>
        <v>7.9</v>
      </c>
      <c r="Q269" s="31">
        <f ca="1">INDIRECT(Table1[[#This Row],[Discount Name]])</f>
        <v>0</v>
      </c>
      <c r="S269" s="2">
        <f t="shared" ca="1" si="8"/>
        <v>7.5</v>
      </c>
      <c r="T269" s="2">
        <f t="shared" ca="1" si="9"/>
        <v>55.9</v>
      </c>
      <c r="U269" s="71" t="str">
        <f>IFERROR(VLOOKUP(Table1[[#This Row],[No_]],'Customer Net Price'!A:F,5,FALSE),"0")</f>
        <v>0</v>
      </c>
      <c r="V269" s="71" t="str">
        <f>IFERROR(VLOOKUP(Table1[[#This Row],[No_]],'Customer Net Price'!A:G,6,FALSE),"0")</f>
        <v>0</v>
      </c>
    </row>
    <row r="270" spans="1:22" x14ac:dyDescent="0.25">
      <c r="A270" s="23" t="s">
        <v>763</v>
      </c>
      <c r="B270" s="23" t="s">
        <v>763</v>
      </c>
      <c r="C270" t="s">
        <v>764</v>
      </c>
      <c r="D270" t="s">
        <v>1778</v>
      </c>
      <c r="E270" t="s">
        <v>546</v>
      </c>
      <c r="F270" t="s">
        <v>918</v>
      </c>
      <c r="G270" t="s">
        <v>923</v>
      </c>
      <c r="H270" t="s">
        <v>877</v>
      </c>
      <c r="I270" t="s">
        <v>546</v>
      </c>
      <c r="J270" t="s">
        <v>546</v>
      </c>
      <c r="K270" s="2">
        <v>4.3</v>
      </c>
      <c r="L270" s="2">
        <v>31.9</v>
      </c>
      <c r="M270" s="2">
        <v>4.9000000000000004</v>
      </c>
      <c r="N270" s="2">
        <f ca="1">Table1[[#This Row],[2026 (EUR)]]*(1-INDIRECT(Table1[[#This Row],[Discount Name]]))</f>
        <v>4.3</v>
      </c>
      <c r="O270" s="2">
        <f ca="1">Table1[[#This Row],[2026 (DKK)]]*(1-INDIRECT(Table1[[#This Row],[Discount Name]]))</f>
        <v>31.9</v>
      </c>
      <c r="P270" s="2" cm="1">
        <f t="array" aca="1" ref="P270" ca="1">Table1[[#This Row],[2026 (USD)]]*(1-INDIRECT(Table1[[#This Row],[Discount Name]]))</f>
        <v>4.9000000000000004</v>
      </c>
      <c r="Q270" s="31">
        <f ca="1">INDIRECT(Table1[[#This Row],[Discount Name]])</f>
        <v>0</v>
      </c>
      <c r="S270" s="2">
        <f t="shared" ca="1" si="8"/>
        <v>4.3</v>
      </c>
      <c r="T270" s="2">
        <f t="shared" ca="1" si="9"/>
        <v>31.9</v>
      </c>
      <c r="U270" s="71" t="str">
        <f>IFERROR(VLOOKUP(Table1[[#This Row],[No_]],'Customer Net Price'!A:F,5,FALSE),"0")</f>
        <v>0</v>
      </c>
      <c r="V270" s="71" t="str">
        <f>IFERROR(VLOOKUP(Table1[[#This Row],[No_]],'Customer Net Price'!A:G,6,FALSE),"0")</f>
        <v>0</v>
      </c>
    </row>
    <row r="271" spans="1:22" x14ac:dyDescent="0.25">
      <c r="A271" s="23" t="s">
        <v>765</v>
      </c>
      <c r="B271" s="23" t="s">
        <v>765</v>
      </c>
      <c r="C271" t="s">
        <v>766</v>
      </c>
      <c r="D271" t="s">
        <v>1778</v>
      </c>
      <c r="E271" t="s">
        <v>546</v>
      </c>
      <c r="F271" t="s">
        <v>918</v>
      </c>
      <c r="G271" t="s">
        <v>923</v>
      </c>
      <c r="H271" t="s">
        <v>878</v>
      </c>
      <c r="I271" t="s">
        <v>546</v>
      </c>
      <c r="J271" t="s">
        <v>546</v>
      </c>
      <c r="K271" s="2">
        <v>4.3</v>
      </c>
      <c r="L271" s="2">
        <v>31.9</v>
      </c>
      <c r="M271" s="2">
        <v>4.9000000000000004</v>
      </c>
      <c r="N271" s="2">
        <f ca="1">Table1[[#This Row],[2026 (EUR)]]*(1-INDIRECT(Table1[[#This Row],[Discount Name]]))</f>
        <v>4.3</v>
      </c>
      <c r="O271" s="2">
        <f ca="1">Table1[[#This Row],[2026 (DKK)]]*(1-INDIRECT(Table1[[#This Row],[Discount Name]]))</f>
        <v>31.9</v>
      </c>
      <c r="P271" s="2" cm="1">
        <f t="array" aca="1" ref="P271" ca="1">Table1[[#This Row],[2026 (USD)]]*(1-INDIRECT(Table1[[#This Row],[Discount Name]]))</f>
        <v>4.9000000000000004</v>
      </c>
      <c r="Q271" s="31">
        <f ca="1">INDIRECT(Table1[[#This Row],[Discount Name]])</f>
        <v>0</v>
      </c>
      <c r="S271" s="2">
        <f t="shared" ca="1" si="8"/>
        <v>4.3</v>
      </c>
      <c r="T271" s="2">
        <f t="shared" ca="1" si="9"/>
        <v>31.9</v>
      </c>
      <c r="U271" s="71" t="str">
        <f>IFERROR(VLOOKUP(Table1[[#This Row],[No_]],'Customer Net Price'!A:F,5,FALSE),"0")</f>
        <v>0</v>
      </c>
      <c r="V271" s="71" t="str">
        <f>IFERROR(VLOOKUP(Table1[[#This Row],[No_]],'Customer Net Price'!A:G,6,FALSE),"0")</f>
        <v>0</v>
      </c>
    </row>
    <row r="272" spans="1:22" x14ac:dyDescent="0.25">
      <c r="A272" s="23" t="s">
        <v>767</v>
      </c>
      <c r="B272" s="23" t="s">
        <v>767</v>
      </c>
      <c r="C272" t="s">
        <v>768</v>
      </c>
      <c r="D272" t="s">
        <v>1778</v>
      </c>
      <c r="E272" t="s">
        <v>546</v>
      </c>
      <c r="F272" t="s">
        <v>918</v>
      </c>
      <c r="G272" t="s">
        <v>923</v>
      </c>
      <c r="H272" t="s">
        <v>879</v>
      </c>
      <c r="I272" t="s">
        <v>546</v>
      </c>
      <c r="J272" t="s">
        <v>546</v>
      </c>
      <c r="K272" s="2">
        <v>12.6</v>
      </c>
      <c r="L272" s="2">
        <v>93.9</v>
      </c>
      <c r="M272" s="2">
        <v>13.9</v>
      </c>
      <c r="N272" s="2">
        <f ca="1">Table1[[#This Row],[2026 (EUR)]]*(1-INDIRECT(Table1[[#This Row],[Discount Name]]))</f>
        <v>12.6</v>
      </c>
      <c r="O272" s="2">
        <f ca="1">Table1[[#This Row],[2026 (DKK)]]*(1-INDIRECT(Table1[[#This Row],[Discount Name]]))</f>
        <v>93.9</v>
      </c>
      <c r="P272" s="2" cm="1">
        <f t="array" aca="1" ref="P272" ca="1">Table1[[#This Row],[2026 (USD)]]*(1-INDIRECT(Table1[[#This Row],[Discount Name]]))</f>
        <v>13.9</v>
      </c>
      <c r="Q272" s="31">
        <f ca="1">INDIRECT(Table1[[#This Row],[Discount Name]])</f>
        <v>0</v>
      </c>
      <c r="S272" s="2">
        <f t="shared" ca="1" si="8"/>
        <v>12.6</v>
      </c>
      <c r="T272" s="2">
        <f t="shared" ca="1" si="9"/>
        <v>93.9</v>
      </c>
      <c r="U272" s="71" t="str">
        <f>IFERROR(VLOOKUP(Table1[[#This Row],[No_]],'Customer Net Price'!A:F,5,FALSE),"0")</f>
        <v>0</v>
      </c>
      <c r="V272" s="71" t="str">
        <f>IFERROR(VLOOKUP(Table1[[#This Row],[No_]],'Customer Net Price'!A:G,6,FALSE),"0")</f>
        <v>0</v>
      </c>
    </row>
    <row r="273" spans="1:22" x14ac:dyDescent="0.25">
      <c r="A273" s="23" t="s">
        <v>769</v>
      </c>
      <c r="B273" s="23" t="s">
        <v>769</v>
      </c>
      <c r="C273" t="s">
        <v>770</v>
      </c>
      <c r="D273" t="s">
        <v>1778</v>
      </c>
      <c r="E273" t="s">
        <v>546</v>
      </c>
      <c r="F273" t="s">
        <v>918</v>
      </c>
      <c r="G273" t="s">
        <v>923</v>
      </c>
      <c r="H273" t="s">
        <v>880</v>
      </c>
      <c r="I273" t="s">
        <v>546</v>
      </c>
      <c r="J273" t="s">
        <v>546</v>
      </c>
      <c r="K273" s="2">
        <v>8.1</v>
      </c>
      <c r="L273" s="2">
        <v>59.9</v>
      </c>
      <c r="M273" s="2">
        <v>8.9</v>
      </c>
      <c r="N273" s="2">
        <f ca="1">Table1[[#This Row],[2026 (EUR)]]*(1-INDIRECT(Table1[[#This Row],[Discount Name]]))</f>
        <v>8.1</v>
      </c>
      <c r="O273" s="2">
        <f ca="1">Table1[[#This Row],[2026 (DKK)]]*(1-INDIRECT(Table1[[#This Row],[Discount Name]]))</f>
        <v>59.9</v>
      </c>
      <c r="P273" s="2" cm="1">
        <f t="array" aca="1" ref="P273" ca="1">Table1[[#This Row],[2026 (USD)]]*(1-INDIRECT(Table1[[#This Row],[Discount Name]]))</f>
        <v>8.9</v>
      </c>
      <c r="Q273" s="31">
        <f ca="1">INDIRECT(Table1[[#This Row],[Discount Name]])</f>
        <v>0</v>
      </c>
      <c r="S273" s="2">
        <f t="shared" ca="1" si="8"/>
        <v>8.1</v>
      </c>
      <c r="T273" s="2">
        <f t="shared" ca="1" si="9"/>
        <v>59.9</v>
      </c>
      <c r="U273" s="71" t="str">
        <f>IFERROR(VLOOKUP(Table1[[#This Row],[No_]],'Customer Net Price'!A:F,5,FALSE),"0")</f>
        <v>0</v>
      </c>
      <c r="V273" s="71" t="str">
        <f>IFERROR(VLOOKUP(Table1[[#This Row],[No_]],'Customer Net Price'!A:G,6,FALSE),"0")</f>
        <v>0</v>
      </c>
    </row>
    <row r="274" spans="1:22" x14ac:dyDescent="0.25">
      <c r="A274" s="23" t="s">
        <v>771</v>
      </c>
      <c r="B274" s="23" t="s">
        <v>771</v>
      </c>
      <c r="C274" t="s">
        <v>772</v>
      </c>
      <c r="D274" t="s">
        <v>1778</v>
      </c>
      <c r="E274" t="s">
        <v>546</v>
      </c>
      <c r="F274" t="s">
        <v>918</v>
      </c>
      <c r="G274" t="s">
        <v>923</v>
      </c>
      <c r="H274" t="s">
        <v>881</v>
      </c>
      <c r="I274" t="s">
        <v>546</v>
      </c>
      <c r="J274" t="s">
        <v>546</v>
      </c>
      <c r="K274" s="2">
        <v>11.9</v>
      </c>
      <c r="L274" s="2">
        <v>88.9</v>
      </c>
      <c r="M274" s="2">
        <v>12.9</v>
      </c>
      <c r="N274" s="2">
        <f ca="1">Table1[[#This Row],[2026 (EUR)]]*(1-INDIRECT(Table1[[#This Row],[Discount Name]]))</f>
        <v>11.9</v>
      </c>
      <c r="O274" s="2">
        <f ca="1">Table1[[#This Row],[2026 (DKK)]]*(1-INDIRECT(Table1[[#This Row],[Discount Name]]))</f>
        <v>88.9</v>
      </c>
      <c r="P274" s="2" cm="1">
        <f t="array" aca="1" ref="P274" ca="1">Table1[[#This Row],[2026 (USD)]]*(1-INDIRECT(Table1[[#This Row],[Discount Name]]))</f>
        <v>12.9</v>
      </c>
      <c r="Q274" s="31">
        <f ca="1">INDIRECT(Table1[[#This Row],[Discount Name]])</f>
        <v>0</v>
      </c>
      <c r="S274" s="2">
        <f t="shared" ca="1" si="8"/>
        <v>11.9</v>
      </c>
      <c r="T274" s="2">
        <f t="shared" ca="1" si="9"/>
        <v>88.9</v>
      </c>
      <c r="U274" s="71" t="str">
        <f>IFERROR(VLOOKUP(Table1[[#This Row],[No_]],'Customer Net Price'!A:F,5,FALSE),"0")</f>
        <v>0</v>
      </c>
      <c r="V274" s="71" t="str">
        <f>IFERROR(VLOOKUP(Table1[[#This Row],[No_]],'Customer Net Price'!A:G,6,FALSE),"0")</f>
        <v>0</v>
      </c>
    </row>
    <row r="275" spans="1:22" x14ac:dyDescent="0.25">
      <c r="A275" s="23" t="s">
        <v>773</v>
      </c>
      <c r="B275" s="23" t="s">
        <v>773</v>
      </c>
      <c r="C275" t="s">
        <v>774</v>
      </c>
      <c r="D275" t="s">
        <v>1778</v>
      </c>
      <c r="E275" t="s">
        <v>546</v>
      </c>
      <c r="F275" t="s">
        <v>918</v>
      </c>
      <c r="G275" t="s">
        <v>923</v>
      </c>
      <c r="H275" t="s">
        <v>882</v>
      </c>
      <c r="I275" t="s">
        <v>546</v>
      </c>
      <c r="J275" t="s">
        <v>546</v>
      </c>
      <c r="K275" s="2">
        <v>25.200000000000003</v>
      </c>
      <c r="L275" s="2">
        <v>186.9</v>
      </c>
      <c r="M275" s="2">
        <v>27.9</v>
      </c>
      <c r="N275" s="2">
        <f ca="1">Table1[[#This Row],[2026 (EUR)]]*(1-INDIRECT(Table1[[#This Row],[Discount Name]]))</f>
        <v>25.200000000000003</v>
      </c>
      <c r="O275" s="2">
        <f ca="1">Table1[[#This Row],[2026 (DKK)]]*(1-INDIRECT(Table1[[#This Row],[Discount Name]]))</f>
        <v>186.9</v>
      </c>
      <c r="P275" s="2" cm="1">
        <f t="array" aca="1" ref="P275" ca="1">Table1[[#This Row],[2026 (USD)]]*(1-INDIRECT(Table1[[#This Row],[Discount Name]]))</f>
        <v>27.9</v>
      </c>
      <c r="Q275" s="31">
        <f ca="1">INDIRECT(Table1[[#This Row],[Discount Name]])</f>
        <v>0</v>
      </c>
      <c r="S275" s="2">
        <f t="shared" ca="1" si="8"/>
        <v>25.200000000000003</v>
      </c>
      <c r="T275" s="2">
        <f t="shared" ca="1" si="9"/>
        <v>186.9</v>
      </c>
      <c r="U275" s="71" t="str">
        <f>IFERROR(VLOOKUP(Table1[[#This Row],[No_]],'Customer Net Price'!A:F,5,FALSE),"0")</f>
        <v>0</v>
      </c>
      <c r="V275" s="71" t="str">
        <f>IFERROR(VLOOKUP(Table1[[#This Row],[No_]],'Customer Net Price'!A:G,6,FALSE),"0")</f>
        <v>0</v>
      </c>
    </row>
    <row r="276" spans="1:22" x14ac:dyDescent="0.25">
      <c r="A276" s="23" t="s">
        <v>775</v>
      </c>
      <c r="B276" s="23" t="s">
        <v>775</v>
      </c>
      <c r="C276" t="s">
        <v>776</v>
      </c>
      <c r="D276" t="s">
        <v>1778</v>
      </c>
      <c r="E276" t="s">
        <v>546</v>
      </c>
      <c r="F276" t="s">
        <v>918</v>
      </c>
      <c r="G276" t="s">
        <v>923</v>
      </c>
      <c r="H276" t="s">
        <v>777</v>
      </c>
      <c r="I276" t="s">
        <v>546</v>
      </c>
      <c r="J276" t="s">
        <v>546</v>
      </c>
      <c r="K276" s="2">
        <v>50.9</v>
      </c>
      <c r="L276" s="2">
        <v>378.9</v>
      </c>
      <c r="M276" s="2">
        <v>56.9</v>
      </c>
      <c r="N276" s="2">
        <f ca="1">Table1[[#This Row],[2026 (EUR)]]*(1-INDIRECT(Table1[[#This Row],[Discount Name]]))</f>
        <v>50.9</v>
      </c>
      <c r="O276" s="2">
        <f ca="1">Table1[[#This Row],[2026 (DKK)]]*(1-INDIRECT(Table1[[#This Row],[Discount Name]]))</f>
        <v>378.9</v>
      </c>
      <c r="P276" s="2" cm="1">
        <f t="array" aca="1" ref="P276" ca="1">Table1[[#This Row],[2026 (USD)]]*(1-INDIRECT(Table1[[#This Row],[Discount Name]]))</f>
        <v>56.9</v>
      </c>
      <c r="Q276" s="31">
        <f ca="1">INDIRECT(Table1[[#This Row],[Discount Name]])</f>
        <v>0</v>
      </c>
      <c r="S276" s="2">
        <f t="shared" ca="1" si="8"/>
        <v>50.9</v>
      </c>
      <c r="T276" s="2">
        <f t="shared" ca="1" si="9"/>
        <v>378.9</v>
      </c>
      <c r="U276" s="71" t="str">
        <f>IFERROR(VLOOKUP(Table1[[#This Row],[No_]],'Customer Net Price'!A:F,5,FALSE),"0")</f>
        <v>0</v>
      </c>
      <c r="V276" s="71" t="str">
        <f>IFERROR(VLOOKUP(Table1[[#This Row],[No_]],'Customer Net Price'!A:G,6,FALSE),"0")</f>
        <v>0</v>
      </c>
    </row>
    <row r="277" spans="1:22" x14ac:dyDescent="0.25">
      <c r="A277" s="23" t="s">
        <v>509</v>
      </c>
      <c r="B277" s="23" t="s">
        <v>509</v>
      </c>
      <c r="C277" t="s">
        <v>510</v>
      </c>
      <c r="D277" t="s">
        <v>310</v>
      </c>
      <c r="E277" t="s">
        <v>546</v>
      </c>
      <c r="F277" t="s">
        <v>918</v>
      </c>
      <c r="G277" t="s">
        <v>923</v>
      </c>
      <c r="H277" t="s">
        <v>511</v>
      </c>
      <c r="I277">
        <v>48</v>
      </c>
      <c r="J277" t="s">
        <v>546</v>
      </c>
      <c r="K277" s="2">
        <v>10.9</v>
      </c>
      <c r="L277" s="2">
        <v>79.900000000000006</v>
      </c>
      <c r="M277" s="2">
        <v>11.9</v>
      </c>
      <c r="N277" s="2">
        <f ca="1">Table1[[#This Row],[2026 (EUR)]]*(1-INDIRECT(Table1[[#This Row],[Discount Name]]))</f>
        <v>10.9</v>
      </c>
      <c r="O277" s="2">
        <f ca="1">Table1[[#This Row],[2026 (DKK)]]*(1-INDIRECT(Table1[[#This Row],[Discount Name]]))</f>
        <v>79.900000000000006</v>
      </c>
      <c r="P277" s="2" cm="1">
        <f t="array" aca="1" ref="P277" ca="1">Table1[[#This Row],[2026 (USD)]]*(1-INDIRECT(Table1[[#This Row],[Discount Name]]))</f>
        <v>11.9</v>
      </c>
      <c r="Q277" s="31">
        <f ca="1">INDIRECT(Table1[[#This Row],[Discount Name]])</f>
        <v>0</v>
      </c>
      <c r="S277" s="2">
        <f t="shared" ca="1" si="8"/>
        <v>10.9</v>
      </c>
      <c r="T277" s="2">
        <f t="shared" ca="1" si="9"/>
        <v>79.900000000000006</v>
      </c>
      <c r="U277" s="71" t="str">
        <f>IFERROR(VLOOKUP(Table1[[#This Row],[No_]],'Customer Net Price'!A:F,5,FALSE),"0")</f>
        <v>0</v>
      </c>
      <c r="V277" s="71" t="str">
        <f>IFERROR(VLOOKUP(Table1[[#This Row],[No_]],'Customer Net Price'!A:G,6,FALSE),"0")</f>
        <v>0</v>
      </c>
    </row>
    <row r="278" spans="1:22" x14ac:dyDescent="0.25">
      <c r="A278" s="23" t="s">
        <v>513</v>
      </c>
      <c r="B278" s="23" t="s">
        <v>513</v>
      </c>
      <c r="C278" t="s">
        <v>512</v>
      </c>
      <c r="D278" t="s">
        <v>310</v>
      </c>
      <c r="E278" t="s">
        <v>546</v>
      </c>
      <c r="F278" t="s">
        <v>918</v>
      </c>
      <c r="G278" t="s">
        <v>923</v>
      </c>
      <c r="H278" t="s">
        <v>514</v>
      </c>
      <c r="I278">
        <v>24</v>
      </c>
      <c r="J278" t="s">
        <v>546</v>
      </c>
      <c r="K278" s="2">
        <v>15.9</v>
      </c>
      <c r="L278" s="2">
        <v>119.9</v>
      </c>
      <c r="M278" s="2">
        <v>17.899999999999999</v>
      </c>
      <c r="N278" s="2">
        <f ca="1">Table1[[#This Row],[2026 (EUR)]]*(1-INDIRECT(Table1[[#This Row],[Discount Name]]))</f>
        <v>15.9</v>
      </c>
      <c r="O278" s="2">
        <f ca="1">Table1[[#This Row],[2026 (DKK)]]*(1-INDIRECT(Table1[[#This Row],[Discount Name]]))</f>
        <v>119.9</v>
      </c>
      <c r="P278" s="2" cm="1">
        <f t="array" aca="1" ref="P278" ca="1">Table1[[#This Row],[2026 (USD)]]*(1-INDIRECT(Table1[[#This Row],[Discount Name]]))</f>
        <v>17.899999999999999</v>
      </c>
      <c r="Q278" s="31">
        <f ca="1">INDIRECT(Table1[[#This Row],[Discount Name]])</f>
        <v>0</v>
      </c>
      <c r="S278" s="2">
        <f t="shared" ca="1" si="8"/>
        <v>15.9</v>
      </c>
      <c r="T278" s="2">
        <f t="shared" ca="1" si="9"/>
        <v>119.9</v>
      </c>
      <c r="U278" s="71" t="str">
        <f>IFERROR(VLOOKUP(Table1[[#This Row],[No_]],'Customer Net Price'!A:F,5,FALSE),"0")</f>
        <v>0</v>
      </c>
      <c r="V278" s="71" t="str">
        <f>IFERROR(VLOOKUP(Table1[[#This Row],[No_]],'Customer Net Price'!A:G,6,FALSE),"0")</f>
        <v>0</v>
      </c>
    </row>
    <row r="279" spans="1:22" x14ac:dyDescent="0.25">
      <c r="A279" s="23" t="s">
        <v>778</v>
      </c>
      <c r="B279" s="23" t="s">
        <v>778</v>
      </c>
      <c r="C279" t="s">
        <v>779</v>
      </c>
      <c r="D279" t="s">
        <v>1778</v>
      </c>
      <c r="E279" t="s">
        <v>546</v>
      </c>
      <c r="F279" t="s">
        <v>918</v>
      </c>
      <c r="G279" t="s">
        <v>923</v>
      </c>
      <c r="H279" t="s">
        <v>883</v>
      </c>
      <c r="I279" t="s">
        <v>546</v>
      </c>
      <c r="J279" t="s">
        <v>546</v>
      </c>
      <c r="K279" s="2">
        <v>20.9</v>
      </c>
      <c r="L279" s="2">
        <v>154.9</v>
      </c>
      <c r="M279" s="2">
        <v>22.9</v>
      </c>
      <c r="N279" s="2">
        <f ca="1">Table1[[#This Row],[2026 (EUR)]]*(1-INDIRECT(Table1[[#This Row],[Discount Name]]))</f>
        <v>20.9</v>
      </c>
      <c r="O279" s="2">
        <f ca="1">Table1[[#This Row],[2026 (DKK)]]*(1-INDIRECT(Table1[[#This Row],[Discount Name]]))</f>
        <v>154.9</v>
      </c>
      <c r="P279" s="2" cm="1">
        <f t="array" aca="1" ref="P279" ca="1">Table1[[#This Row],[2026 (USD)]]*(1-INDIRECT(Table1[[#This Row],[Discount Name]]))</f>
        <v>22.9</v>
      </c>
      <c r="Q279" s="31">
        <f ca="1">INDIRECT(Table1[[#This Row],[Discount Name]])</f>
        <v>0</v>
      </c>
      <c r="S279" s="2">
        <f t="shared" ca="1" si="8"/>
        <v>20.9</v>
      </c>
      <c r="T279" s="2">
        <f t="shared" ca="1" si="9"/>
        <v>154.9</v>
      </c>
      <c r="U279" s="71" t="str">
        <f>IFERROR(VLOOKUP(Table1[[#This Row],[No_]],'Customer Net Price'!A:F,5,FALSE),"0")</f>
        <v>0</v>
      </c>
      <c r="V279" s="71" t="str">
        <f>IFERROR(VLOOKUP(Table1[[#This Row],[No_]],'Customer Net Price'!A:G,6,FALSE),"0")</f>
        <v>0</v>
      </c>
    </row>
    <row r="280" spans="1:22" x14ac:dyDescent="0.25">
      <c r="A280" s="23" t="s">
        <v>780</v>
      </c>
      <c r="B280" s="23" t="s">
        <v>780</v>
      </c>
      <c r="C280" t="s">
        <v>781</v>
      </c>
      <c r="D280" t="s">
        <v>1778</v>
      </c>
      <c r="E280" t="s">
        <v>546</v>
      </c>
      <c r="F280" t="s">
        <v>918</v>
      </c>
      <c r="G280" t="s">
        <v>923</v>
      </c>
      <c r="H280" t="s">
        <v>884</v>
      </c>
      <c r="I280" t="s">
        <v>546</v>
      </c>
      <c r="J280" t="s">
        <v>546</v>
      </c>
      <c r="K280" s="2">
        <v>30.9</v>
      </c>
      <c r="L280" s="2">
        <v>229.9</v>
      </c>
      <c r="M280" s="2">
        <v>45.9</v>
      </c>
      <c r="N280" s="2">
        <f ca="1">Table1[[#This Row],[2026 (EUR)]]*(1-INDIRECT(Table1[[#This Row],[Discount Name]]))</f>
        <v>30.9</v>
      </c>
      <c r="O280" s="2">
        <f ca="1">Table1[[#This Row],[2026 (DKK)]]*(1-INDIRECT(Table1[[#This Row],[Discount Name]]))</f>
        <v>229.9</v>
      </c>
      <c r="P280" s="2" cm="1">
        <f t="array" aca="1" ref="P280" ca="1">Table1[[#This Row],[2026 (USD)]]*(1-INDIRECT(Table1[[#This Row],[Discount Name]]))</f>
        <v>45.9</v>
      </c>
      <c r="Q280" s="31">
        <f ca="1">INDIRECT(Table1[[#This Row],[Discount Name]])</f>
        <v>0</v>
      </c>
      <c r="S280" s="2">
        <f t="shared" ca="1" si="8"/>
        <v>30.9</v>
      </c>
      <c r="T280" s="2">
        <f t="shared" ca="1" si="9"/>
        <v>229.9</v>
      </c>
      <c r="U280" s="71" t="str">
        <f>IFERROR(VLOOKUP(Table1[[#This Row],[No_]],'Customer Net Price'!A:F,5,FALSE),"0")</f>
        <v>0</v>
      </c>
      <c r="V280" s="71" t="str">
        <f>IFERROR(VLOOKUP(Table1[[#This Row],[No_]],'Customer Net Price'!A:G,6,FALSE),"0")</f>
        <v>0</v>
      </c>
    </row>
    <row r="281" spans="1:22" x14ac:dyDescent="0.25">
      <c r="A281" s="23" t="s">
        <v>782</v>
      </c>
      <c r="B281" s="23" t="s">
        <v>782</v>
      </c>
      <c r="C281" t="s">
        <v>783</v>
      </c>
      <c r="D281" t="s">
        <v>1778</v>
      </c>
      <c r="E281" t="s">
        <v>546</v>
      </c>
      <c r="F281" t="s">
        <v>918</v>
      </c>
      <c r="G281" t="s">
        <v>923</v>
      </c>
      <c r="H281" t="s">
        <v>885</v>
      </c>
      <c r="I281" t="s">
        <v>546</v>
      </c>
      <c r="J281" t="s">
        <v>546</v>
      </c>
      <c r="K281" s="2">
        <v>5.9</v>
      </c>
      <c r="L281" s="2">
        <v>43.9</v>
      </c>
      <c r="M281" s="2">
        <v>6.9</v>
      </c>
      <c r="N281" s="2">
        <f ca="1">Table1[[#This Row],[2026 (EUR)]]*(1-INDIRECT(Table1[[#This Row],[Discount Name]]))</f>
        <v>5.9</v>
      </c>
      <c r="O281" s="2">
        <f ca="1">Table1[[#This Row],[2026 (DKK)]]*(1-INDIRECT(Table1[[#This Row],[Discount Name]]))</f>
        <v>43.9</v>
      </c>
      <c r="P281" s="2" cm="1">
        <f t="array" aca="1" ref="P281" ca="1">Table1[[#This Row],[2026 (USD)]]*(1-INDIRECT(Table1[[#This Row],[Discount Name]]))</f>
        <v>6.9</v>
      </c>
      <c r="Q281" s="31">
        <f ca="1">INDIRECT(Table1[[#This Row],[Discount Name]])</f>
        <v>0</v>
      </c>
      <c r="S281" s="2">
        <f t="shared" ca="1" si="8"/>
        <v>5.9</v>
      </c>
      <c r="T281" s="2">
        <f t="shared" ca="1" si="9"/>
        <v>43.9</v>
      </c>
      <c r="U281" s="71" t="str">
        <f>IFERROR(VLOOKUP(Table1[[#This Row],[No_]],'Customer Net Price'!A:F,5,FALSE),"0")</f>
        <v>0</v>
      </c>
      <c r="V281" s="71" t="str">
        <f>IFERROR(VLOOKUP(Table1[[#This Row],[No_]],'Customer Net Price'!A:G,6,FALSE),"0")</f>
        <v>0</v>
      </c>
    </row>
    <row r="282" spans="1:22" x14ac:dyDescent="0.25">
      <c r="A282" s="23" t="s">
        <v>784</v>
      </c>
      <c r="B282" s="23" t="s">
        <v>784</v>
      </c>
      <c r="C282" t="s">
        <v>785</v>
      </c>
      <c r="D282" t="s">
        <v>1778</v>
      </c>
      <c r="E282" t="s">
        <v>546</v>
      </c>
      <c r="F282" t="s">
        <v>918</v>
      </c>
      <c r="G282" t="s">
        <v>923</v>
      </c>
      <c r="H282" t="s">
        <v>886</v>
      </c>
      <c r="I282" t="s">
        <v>546</v>
      </c>
      <c r="J282" t="s">
        <v>546</v>
      </c>
      <c r="K282" s="2">
        <v>2.7</v>
      </c>
      <c r="L282" s="2">
        <v>19.899999999999999</v>
      </c>
      <c r="M282" s="2">
        <v>2.9</v>
      </c>
      <c r="N282" s="2">
        <f ca="1">Table1[[#This Row],[2026 (EUR)]]*(1-INDIRECT(Table1[[#This Row],[Discount Name]]))</f>
        <v>2.7</v>
      </c>
      <c r="O282" s="2">
        <f ca="1">Table1[[#This Row],[2026 (DKK)]]*(1-INDIRECT(Table1[[#This Row],[Discount Name]]))</f>
        <v>19.899999999999999</v>
      </c>
      <c r="P282" s="2" cm="1">
        <f t="array" aca="1" ref="P282" ca="1">Table1[[#This Row],[2026 (USD)]]*(1-INDIRECT(Table1[[#This Row],[Discount Name]]))</f>
        <v>2.9</v>
      </c>
      <c r="Q282" s="31">
        <f ca="1">INDIRECT(Table1[[#This Row],[Discount Name]])</f>
        <v>0</v>
      </c>
      <c r="S282" s="2">
        <f t="shared" ca="1" si="8"/>
        <v>2.7</v>
      </c>
      <c r="T282" s="2">
        <f t="shared" ca="1" si="9"/>
        <v>19.899999999999999</v>
      </c>
      <c r="U282" s="71" t="str">
        <f>IFERROR(VLOOKUP(Table1[[#This Row],[No_]],'Customer Net Price'!A:F,5,FALSE),"0")</f>
        <v>0</v>
      </c>
      <c r="V282" s="71" t="str">
        <f>IFERROR(VLOOKUP(Table1[[#This Row],[No_]],'Customer Net Price'!A:G,6,FALSE),"0")</f>
        <v>0</v>
      </c>
    </row>
    <row r="283" spans="1:22" x14ac:dyDescent="0.25">
      <c r="A283" s="23" t="s">
        <v>786</v>
      </c>
      <c r="B283" s="23" t="s">
        <v>786</v>
      </c>
      <c r="C283" t="s">
        <v>787</v>
      </c>
      <c r="D283" t="s">
        <v>310</v>
      </c>
      <c r="E283" t="s">
        <v>546</v>
      </c>
      <c r="F283" t="s">
        <v>918</v>
      </c>
      <c r="G283" t="s">
        <v>923</v>
      </c>
      <c r="H283" t="s">
        <v>788</v>
      </c>
      <c r="I283" t="s">
        <v>546</v>
      </c>
      <c r="J283" t="s">
        <v>546</v>
      </c>
      <c r="K283" s="2">
        <v>53.9</v>
      </c>
      <c r="L283" s="2">
        <v>399.9</v>
      </c>
      <c r="M283" s="2">
        <v>59.9</v>
      </c>
      <c r="N283" s="2">
        <f ca="1">Table1[[#This Row],[2026 (EUR)]]*(1-INDIRECT(Table1[[#This Row],[Discount Name]]))</f>
        <v>53.9</v>
      </c>
      <c r="O283" s="2">
        <f ca="1">Table1[[#This Row],[2026 (DKK)]]*(1-INDIRECT(Table1[[#This Row],[Discount Name]]))</f>
        <v>399.9</v>
      </c>
      <c r="P283" s="2" cm="1">
        <f t="array" aca="1" ref="P283" ca="1">Table1[[#This Row],[2026 (USD)]]*(1-INDIRECT(Table1[[#This Row],[Discount Name]]))</f>
        <v>59.9</v>
      </c>
      <c r="Q283" s="31">
        <f ca="1">INDIRECT(Table1[[#This Row],[Discount Name]])</f>
        <v>0</v>
      </c>
      <c r="S283" s="2">
        <f t="shared" ca="1" si="8"/>
        <v>53.9</v>
      </c>
      <c r="T283" s="2">
        <f t="shared" ca="1" si="9"/>
        <v>399.9</v>
      </c>
      <c r="U283" s="71" t="str">
        <f>IFERROR(VLOOKUP(Table1[[#This Row],[No_]],'Customer Net Price'!A:F,5,FALSE),"0")</f>
        <v>0</v>
      </c>
      <c r="V283" s="71" t="str">
        <f>IFERROR(VLOOKUP(Table1[[#This Row],[No_]],'Customer Net Price'!A:G,6,FALSE),"0")</f>
        <v>0</v>
      </c>
    </row>
    <row r="284" spans="1:22" x14ac:dyDescent="0.25">
      <c r="A284" s="23" t="s">
        <v>515</v>
      </c>
      <c r="B284" s="23" t="s">
        <v>515</v>
      </c>
      <c r="C284" t="s">
        <v>789</v>
      </c>
      <c r="D284" t="s">
        <v>310</v>
      </c>
      <c r="E284" t="s">
        <v>546</v>
      </c>
      <c r="F284" t="s">
        <v>918</v>
      </c>
      <c r="G284" t="s">
        <v>923</v>
      </c>
      <c r="H284" s="46" t="s">
        <v>521</v>
      </c>
      <c r="I284" s="17">
        <v>10</v>
      </c>
      <c r="J284" t="s">
        <v>546</v>
      </c>
      <c r="K284" s="2">
        <v>59.9</v>
      </c>
      <c r="L284" s="2">
        <v>445.9</v>
      </c>
      <c r="M284" s="2">
        <v>66.900000000000006</v>
      </c>
      <c r="N284" s="2">
        <f ca="1">Table1[[#This Row],[2026 (EUR)]]*(1-INDIRECT(Table1[[#This Row],[Discount Name]]))</f>
        <v>59.9</v>
      </c>
      <c r="O284" s="2">
        <f ca="1">Table1[[#This Row],[2026 (DKK)]]*(1-INDIRECT(Table1[[#This Row],[Discount Name]]))</f>
        <v>445.9</v>
      </c>
      <c r="P284" s="2" cm="1">
        <f t="array" aca="1" ref="P284" ca="1">Table1[[#This Row],[2026 (USD)]]*(1-INDIRECT(Table1[[#This Row],[Discount Name]]))</f>
        <v>66.900000000000006</v>
      </c>
      <c r="Q284" s="31">
        <f ca="1">INDIRECT(Table1[[#This Row],[Discount Name]])</f>
        <v>0</v>
      </c>
      <c r="S284" s="2">
        <f t="shared" ca="1" si="8"/>
        <v>59.9</v>
      </c>
      <c r="T284" s="2">
        <f t="shared" ca="1" si="9"/>
        <v>445.9</v>
      </c>
      <c r="U284" s="71" t="str">
        <f>IFERROR(VLOOKUP(Table1[[#This Row],[No_]],'Customer Net Price'!A:F,5,FALSE),"0")</f>
        <v>0</v>
      </c>
      <c r="V284" s="71" t="str">
        <f>IFERROR(VLOOKUP(Table1[[#This Row],[No_]],'Customer Net Price'!A:G,6,FALSE),"0")</f>
        <v>0</v>
      </c>
    </row>
    <row r="285" spans="1:22" x14ac:dyDescent="0.25">
      <c r="A285" s="23" t="s">
        <v>790</v>
      </c>
      <c r="B285" s="23" t="s">
        <v>790</v>
      </c>
      <c r="C285" t="s">
        <v>887</v>
      </c>
      <c r="D285" t="s">
        <v>791</v>
      </c>
      <c r="F285" t="s">
        <v>921</v>
      </c>
      <c r="G285" t="s">
        <v>921</v>
      </c>
      <c r="H285" s="1" t="s">
        <v>792</v>
      </c>
      <c r="I285" t="s">
        <v>546</v>
      </c>
      <c r="J285" t="s">
        <v>546</v>
      </c>
      <c r="K285" s="2">
        <v>22.9</v>
      </c>
      <c r="L285" s="2">
        <v>170.9</v>
      </c>
      <c r="M285" s="2">
        <v>25.9</v>
      </c>
      <c r="N285" s="2">
        <f ca="1">Table1[[#This Row],[2026 (EUR)]]*(1-INDIRECT(Table1[[#This Row],[Discount Name]]))</f>
        <v>22.9</v>
      </c>
      <c r="O285" s="2">
        <f ca="1">Table1[[#This Row],[2026 (DKK)]]*(1-INDIRECT(Table1[[#This Row],[Discount Name]]))</f>
        <v>170.9</v>
      </c>
      <c r="P285" s="2" cm="1">
        <f t="array" aca="1" ref="P285" ca="1">Table1[[#This Row],[2026 (USD)]]*(1-INDIRECT(Table1[[#This Row],[Discount Name]]))</f>
        <v>25.9</v>
      </c>
      <c r="Q285" s="31">
        <f ca="1">INDIRECT(Table1[[#This Row],[Discount Name]])</f>
        <v>0</v>
      </c>
      <c r="S285" s="2">
        <f t="shared" ca="1" si="8"/>
        <v>22.9</v>
      </c>
      <c r="T285" s="2">
        <f t="shared" ca="1" si="9"/>
        <v>170.9</v>
      </c>
      <c r="U285" s="71" t="str">
        <f>IFERROR(VLOOKUP(Table1[[#This Row],[No_]],'Customer Net Price'!A:F,5,FALSE),"0")</f>
        <v>0</v>
      </c>
      <c r="V285" s="71" t="str">
        <f>IFERROR(VLOOKUP(Table1[[#This Row],[No_]],'Customer Net Price'!A:G,6,FALSE),"0")</f>
        <v>0</v>
      </c>
    </row>
    <row r="286" spans="1:22" x14ac:dyDescent="0.25">
      <c r="A286" s="23" t="s">
        <v>516</v>
      </c>
      <c r="B286" s="23" t="s">
        <v>516</v>
      </c>
      <c r="C286" t="s">
        <v>793</v>
      </c>
      <c r="D286" t="s">
        <v>310</v>
      </c>
      <c r="E286" t="s">
        <v>546</v>
      </c>
      <c r="F286" t="s">
        <v>918</v>
      </c>
      <c r="G286" t="s">
        <v>923</v>
      </c>
      <c r="H286" s="1" t="s">
        <v>517</v>
      </c>
      <c r="I286" t="s">
        <v>546</v>
      </c>
      <c r="J286" t="s">
        <v>546</v>
      </c>
      <c r="K286" s="2">
        <v>21.9</v>
      </c>
      <c r="L286" s="2">
        <v>162.9</v>
      </c>
      <c r="M286" s="2">
        <v>23.9</v>
      </c>
      <c r="N286" s="2">
        <f ca="1">Table1[[#This Row],[2026 (EUR)]]*(1-INDIRECT(Table1[[#This Row],[Discount Name]]))</f>
        <v>21.9</v>
      </c>
      <c r="O286" s="2">
        <f ca="1">Table1[[#This Row],[2026 (DKK)]]*(1-INDIRECT(Table1[[#This Row],[Discount Name]]))</f>
        <v>162.9</v>
      </c>
      <c r="P286" s="2" cm="1">
        <f t="array" aca="1" ref="P286" ca="1">Table1[[#This Row],[2026 (USD)]]*(1-INDIRECT(Table1[[#This Row],[Discount Name]]))</f>
        <v>23.9</v>
      </c>
      <c r="Q286" s="31">
        <f ca="1">INDIRECT(Table1[[#This Row],[Discount Name]])</f>
        <v>0</v>
      </c>
      <c r="S286" s="2">
        <f t="shared" ca="1" si="8"/>
        <v>21.9</v>
      </c>
      <c r="T286" s="2">
        <f t="shared" ca="1" si="9"/>
        <v>162.9</v>
      </c>
      <c r="U286" s="71" t="str">
        <f>IFERROR(VLOOKUP(Table1[[#This Row],[No_]],'Customer Net Price'!A:F,5,FALSE),"0")</f>
        <v>0</v>
      </c>
      <c r="V286" s="71" t="str">
        <f>IFERROR(VLOOKUP(Table1[[#This Row],[No_]],'Customer Net Price'!A:G,6,FALSE),"0")</f>
        <v>0</v>
      </c>
    </row>
    <row r="287" spans="1:22" x14ac:dyDescent="0.25">
      <c r="A287" s="23" t="s">
        <v>794</v>
      </c>
      <c r="B287" s="23" t="s">
        <v>794</v>
      </c>
      <c r="C287" t="s">
        <v>795</v>
      </c>
      <c r="D287" t="s">
        <v>1778</v>
      </c>
      <c r="E287" t="s">
        <v>546</v>
      </c>
      <c r="F287" t="s">
        <v>918</v>
      </c>
      <c r="G287" t="s">
        <v>923</v>
      </c>
      <c r="H287" s="1" t="s">
        <v>796</v>
      </c>
      <c r="I287" t="s">
        <v>546</v>
      </c>
      <c r="J287" t="s">
        <v>546</v>
      </c>
      <c r="K287" s="2">
        <v>5.9</v>
      </c>
      <c r="L287" s="2">
        <v>43.9</v>
      </c>
      <c r="M287" s="2">
        <v>6.9</v>
      </c>
      <c r="N287" s="2">
        <f ca="1">Table1[[#This Row],[2026 (EUR)]]*(1-INDIRECT(Table1[[#This Row],[Discount Name]]))</f>
        <v>5.9</v>
      </c>
      <c r="O287" s="2">
        <f ca="1">Table1[[#This Row],[2026 (DKK)]]*(1-INDIRECT(Table1[[#This Row],[Discount Name]]))</f>
        <v>43.9</v>
      </c>
      <c r="P287" s="2" cm="1">
        <f t="array" aca="1" ref="P287" ca="1">Table1[[#This Row],[2026 (USD)]]*(1-INDIRECT(Table1[[#This Row],[Discount Name]]))</f>
        <v>6.9</v>
      </c>
      <c r="Q287" s="31">
        <f ca="1">INDIRECT(Table1[[#This Row],[Discount Name]])</f>
        <v>0</v>
      </c>
      <c r="S287" s="2">
        <f t="shared" ca="1" si="8"/>
        <v>5.9</v>
      </c>
      <c r="T287" s="2">
        <f t="shared" ca="1" si="9"/>
        <v>43.9</v>
      </c>
      <c r="U287" s="71" t="str">
        <f>IFERROR(VLOOKUP(Table1[[#This Row],[No_]],'Customer Net Price'!A:F,5,FALSE),"0")</f>
        <v>0</v>
      </c>
      <c r="V287" s="71" t="str">
        <f>IFERROR(VLOOKUP(Table1[[#This Row],[No_]],'Customer Net Price'!A:G,6,FALSE),"0")</f>
        <v>0</v>
      </c>
    </row>
    <row r="288" spans="1:22" x14ac:dyDescent="0.25">
      <c r="A288" s="23" t="s">
        <v>797</v>
      </c>
      <c r="B288" s="23" t="s">
        <v>797</v>
      </c>
      <c r="C288" t="s">
        <v>798</v>
      </c>
      <c r="D288" t="s">
        <v>1778</v>
      </c>
      <c r="E288" t="s">
        <v>546</v>
      </c>
      <c r="F288" t="s">
        <v>918</v>
      </c>
      <c r="G288" t="s">
        <v>923</v>
      </c>
      <c r="H288" s="1" t="s">
        <v>799</v>
      </c>
      <c r="I288" t="s">
        <v>546</v>
      </c>
      <c r="J288" t="s">
        <v>546</v>
      </c>
      <c r="K288" s="2">
        <v>20.9</v>
      </c>
      <c r="L288" s="2">
        <v>154.9</v>
      </c>
      <c r="M288" s="2">
        <v>22.9</v>
      </c>
      <c r="N288" s="2">
        <f ca="1">Table1[[#This Row],[2026 (EUR)]]*(1-INDIRECT(Table1[[#This Row],[Discount Name]]))</f>
        <v>20.9</v>
      </c>
      <c r="O288" s="2">
        <f ca="1">Table1[[#This Row],[2026 (DKK)]]*(1-INDIRECT(Table1[[#This Row],[Discount Name]]))</f>
        <v>154.9</v>
      </c>
      <c r="P288" s="2" cm="1">
        <f t="array" aca="1" ref="P288" ca="1">Table1[[#This Row],[2026 (USD)]]*(1-INDIRECT(Table1[[#This Row],[Discount Name]]))</f>
        <v>22.9</v>
      </c>
      <c r="Q288" s="31">
        <f ca="1">INDIRECT(Table1[[#This Row],[Discount Name]])</f>
        <v>0</v>
      </c>
      <c r="S288" s="2">
        <f t="shared" ca="1" si="8"/>
        <v>20.9</v>
      </c>
      <c r="T288" s="2">
        <f t="shared" ca="1" si="9"/>
        <v>154.9</v>
      </c>
      <c r="U288" s="71" t="str">
        <f>IFERROR(VLOOKUP(Table1[[#This Row],[No_]],'Customer Net Price'!A:F,5,FALSE),"0")</f>
        <v>0</v>
      </c>
      <c r="V288" s="71" t="str">
        <f>IFERROR(VLOOKUP(Table1[[#This Row],[No_]],'Customer Net Price'!A:G,6,FALSE),"0")</f>
        <v>0</v>
      </c>
    </row>
    <row r="289" spans="1:22" x14ac:dyDescent="0.25">
      <c r="A289" s="23" t="s">
        <v>945</v>
      </c>
      <c r="B289" s="23" t="s">
        <v>945</v>
      </c>
      <c r="C289" t="s">
        <v>960</v>
      </c>
      <c r="D289" t="s">
        <v>1778</v>
      </c>
      <c r="E289" t="s">
        <v>546</v>
      </c>
      <c r="F289" t="s">
        <v>918</v>
      </c>
      <c r="G289" t="s">
        <v>923</v>
      </c>
      <c r="H289" s="1" t="s">
        <v>1068</v>
      </c>
      <c r="I289">
        <v>1</v>
      </c>
      <c r="J289" t="s">
        <v>546</v>
      </c>
      <c r="K289" s="2">
        <v>10.5</v>
      </c>
      <c r="L289" s="2">
        <v>77.900000000000006</v>
      </c>
      <c r="M289" s="2">
        <v>10.9</v>
      </c>
      <c r="N289" s="2">
        <f ca="1">Table1[[#This Row],[2026 (EUR)]]*(1-INDIRECT(Table1[[#This Row],[Discount Name]]))</f>
        <v>10.5</v>
      </c>
      <c r="O289" s="2">
        <f ca="1">Table1[[#This Row],[2026 (DKK)]]*(1-INDIRECT(Table1[[#This Row],[Discount Name]]))</f>
        <v>77.900000000000006</v>
      </c>
      <c r="P289" s="2" cm="1">
        <f t="array" aca="1" ref="P289" ca="1">Table1[[#This Row],[2026 (USD)]]*(1-INDIRECT(Table1[[#This Row],[Discount Name]]))</f>
        <v>10.9</v>
      </c>
      <c r="Q289" s="31">
        <f ca="1">INDIRECT(Table1[[#This Row],[Discount Name]])</f>
        <v>0</v>
      </c>
      <c r="S289" s="2">
        <f t="shared" ca="1" si="8"/>
        <v>10.5</v>
      </c>
      <c r="T289" s="2">
        <f t="shared" ca="1" si="9"/>
        <v>77.900000000000006</v>
      </c>
      <c r="U289" s="71" t="str">
        <f>IFERROR(VLOOKUP(Table1[[#This Row],[No_]],'Customer Net Price'!A:F,5,FALSE),"0")</f>
        <v>0</v>
      </c>
      <c r="V289" s="71" t="str">
        <f>IFERROR(VLOOKUP(Table1[[#This Row],[No_]],'Customer Net Price'!A:G,6,FALSE),"0")</f>
        <v>0</v>
      </c>
    </row>
    <row r="290" spans="1:22" x14ac:dyDescent="0.25">
      <c r="A290" s="23" t="s">
        <v>1345</v>
      </c>
      <c r="B290" s="23" t="s">
        <v>1345</v>
      </c>
      <c r="C290" t="s">
        <v>1352</v>
      </c>
      <c r="D290" t="s">
        <v>1778</v>
      </c>
      <c r="E290" t="s">
        <v>546</v>
      </c>
      <c r="F290" t="s">
        <v>918</v>
      </c>
      <c r="G290" t="s">
        <v>923</v>
      </c>
      <c r="H290" s="48" t="s">
        <v>1358</v>
      </c>
      <c r="I290" t="s">
        <v>546</v>
      </c>
      <c r="J290" t="s">
        <v>546</v>
      </c>
      <c r="K290" s="2">
        <v>8</v>
      </c>
      <c r="L290" s="2">
        <v>59</v>
      </c>
      <c r="M290" s="2">
        <v>8.9</v>
      </c>
      <c r="N290" s="2">
        <f ca="1">Table1[[#This Row],[2026 (EUR)]]*(1-INDIRECT(Table1[[#This Row],[Discount Name]]))</f>
        <v>8</v>
      </c>
      <c r="O290" s="2">
        <f ca="1">Table1[[#This Row],[2026 (DKK)]]*(1-INDIRECT(Table1[[#This Row],[Discount Name]]))</f>
        <v>59</v>
      </c>
      <c r="P290" s="2" cm="1">
        <f t="array" aca="1" ref="P290" ca="1">Table1[[#This Row],[2026 (USD)]]*(1-INDIRECT(Table1[[#This Row],[Discount Name]]))</f>
        <v>8.9</v>
      </c>
      <c r="Q290" s="31">
        <f ca="1">INDIRECT(Table1[[#This Row],[Discount Name]])</f>
        <v>0</v>
      </c>
      <c r="S290" s="77">
        <f t="shared" ca="1" si="8"/>
        <v>8</v>
      </c>
      <c r="T290" s="77">
        <f t="shared" ca="1" si="9"/>
        <v>59</v>
      </c>
      <c r="U290" s="78" t="str">
        <f>IFERROR(VLOOKUP(Table1[[#This Row],[No_]],'Customer Net Price'!A:F,5,FALSE),"0")</f>
        <v>0</v>
      </c>
      <c r="V290" s="78" t="str">
        <f>IFERROR(VLOOKUP(Table1[[#This Row],[No_]],'Customer Net Price'!A:G,6,FALSE),"0")</f>
        <v>0</v>
      </c>
    </row>
    <row r="291" spans="1:22" x14ac:dyDescent="0.25">
      <c r="A291" s="23" t="s">
        <v>973</v>
      </c>
      <c r="B291" s="23" t="s">
        <v>973</v>
      </c>
      <c r="C291" t="s">
        <v>1099</v>
      </c>
      <c r="D291" t="s">
        <v>1778</v>
      </c>
      <c r="E291" t="s">
        <v>546</v>
      </c>
      <c r="F291" t="s">
        <v>918</v>
      </c>
      <c r="G291" t="s">
        <v>923</v>
      </c>
      <c r="H291" s="1" t="s">
        <v>1076</v>
      </c>
      <c r="I291" t="s">
        <v>546</v>
      </c>
      <c r="J291" t="s">
        <v>546</v>
      </c>
      <c r="K291" s="2">
        <v>8.1</v>
      </c>
      <c r="L291" s="2">
        <v>59.9</v>
      </c>
      <c r="M291" s="2">
        <v>8.9</v>
      </c>
      <c r="N291" s="2">
        <f ca="1">Table1[[#This Row],[2026 (EUR)]]*(1-INDIRECT(Table1[[#This Row],[Discount Name]]))</f>
        <v>8.1</v>
      </c>
      <c r="O291" s="2">
        <f ca="1">Table1[[#This Row],[2026 (DKK)]]*(1-INDIRECT(Table1[[#This Row],[Discount Name]]))</f>
        <v>59.9</v>
      </c>
      <c r="P291" s="2" cm="1">
        <f t="array" aca="1" ref="P291" ca="1">Table1[[#This Row],[2026 (USD)]]*(1-INDIRECT(Table1[[#This Row],[Discount Name]]))</f>
        <v>8.9</v>
      </c>
      <c r="Q291" s="31">
        <f ca="1">INDIRECT(Table1[[#This Row],[Discount Name]])</f>
        <v>0</v>
      </c>
      <c r="S291" s="2">
        <f t="shared" ca="1" si="8"/>
        <v>8.1</v>
      </c>
      <c r="T291" s="2">
        <f t="shared" ca="1" si="9"/>
        <v>59.9</v>
      </c>
      <c r="U291" s="71" t="str">
        <f>IFERROR(VLOOKUP(Table1[[#This Row],[No_]],'Customer Net Price'!A:F,5,FALSE),"0")</f>
        <v>0</v>
      </c>
      <c r="V291" s="71" t="str">
        <f>IFERROR(VLOOKUP(Table1[[#This Row],[No_]],'Customer Net Price'!A:G,6,FALSE),"0")</f>
        <v>0</v>
      </c>
    </row>
    <row r="292" spans="1:22" x14ac:dyDescent="0.25">
      <c r="A292" s="23" t="s">
        <v>800</v>
      </c>
      <c r="B292" s="23" t="s">
        <v>800</v>
      </c>
      <c r="C292" t="s">
        <v>801</v>
      </c>
      <c r="D292" t="s">
        <v>1778</v>
      </c>
      <c r="E292" t="s">
        <v>546</v>
      </c>
      <c r="F292" t="s">
        <v>918</v>
      </c>
      <c r="G292" t="s">
        <v>923</v>
      </c>
      <c r="H292" s="1" t="s">
        <v>802</v>
      </c>
      <c r="I292" t="s">
        <v>546</v>
      </c>
      <c r="J292" t="s">
        <v>546</v>
      </c>
      <c r="K292" s="2">
        <v>6.1999999999999993</v>
      </c>
      <c r="L292" s="2">
        <v>45.9</v>
      </c>
      <c r="M292" s="2">
        <v>6.9</v>
      </c>
      <c r="N292" s="2">
        <f ca="1">Table1[[#This Row],[2026 (EUR)]]*(1-INDIRECT(Table1[[#This Row],[Discount Name]]))</f>
        <v>6.1999999999999993</v>
      </c>
      <c r="O292" s="2">
        <f ca="1">Table1[[#This Row],[2026 (DKK)]]*(1-INDIRECT(Table1[[#This Row],[Discount Name]]))</f>
        <v>45.9</v>
      </c>
      <c r="P292" s="2" cm="1">
        <f t="array" aca="1" ref="P292" ca="1">Table1[[#This Row],[2026 (USD)]]*(1-INDIRECT(Table1[[#This Row],[Discount Name]]))</f>
        <v>6.9</v>
      </c>
      <c r="Q292" s="31">
        <f ca="1">INDIRECT(Table1[[#This Row],[Discount Name]])</f>
        <v>0</v>
      </c>
      <c r="S292" s="2">
        <f t="shared" ca="1" si="8"/>
        <v>6.1999999999999993</v>
      </c>
      <c r="T292" s="2">
        <f t="shared" ca="1" si="9"/>
        <v>45.9</v>
      </c>
      <c r="U292" s="71" t="str">
        <f>IFERROR(VLOOKUP(Table1[[#This Row],[No_]],'Customer Net Price'!A:F,5,FALSE),"0")</f>
        <v>0</v>
      </c>
      <c r="V292" s="71" t="str">
        <f>IFERROR(VLOOKUP(Table1[[#This Row],[No_]],'Customer Net Price'!A:G,6,FALSE),"0")</f>
        <v>0</v>
      </c>
    </row>
    <row r="293" spans="1:22" x14ac:dyDescent="0.25">
      <c r="A293" s="23" t="s">
        <v>1367</v>
      </c>
      <c r="B293" s="23" t="s">
        <v>1367</v>
      </c>
      <c r="C293" t="s">
        <v>961</v>
      </c>
      <c r="D293" t="s">
        <v>1778</v>
      </c>
      <c r="E293" t="s">
        <v>546</v>
      </c>
      <c r="F293" t="s">
        <v>918</v>
      </c>
      <c r="G293" t="s">
        <v>923</v>
      </c>
      <c r="H293" s="1" t="s">
        <v>1386</v>
      </c>
      <c r="I293" t="s">
        <v>546</v>
      </c>
      <c r="J293" t="s">
        <v>546</v>
      </c>
      <c r="K293" s="2">
        <v>78</v>
      </c>
      <c r="L293" s="2">
        <v>580.29999999999995</v>
      </c>
      <c r="M293" s="2">
        <v>86.9</v>
      </c>
      <c r="N293" s="2">
        <f ca="1">Table1[[#This Row],[2026 (EUR)]]*(1-INDIRECT(Table1[[#This Row],[Discount Name]]))</f>
        <v>78</v>
      </c>
      <c r="O293" s="2">
        <f ca="1">Table1[[#This Row],[2026 (DKK)]]*(1-INDIRECT(Table1[[#This Row],[Discount Name]]))</f>
        <v>580.29999999999995</v>
      </c>
      <c r="P293" s="2" cm="1">
        <f t="array" aca="1" ref="P293" ca="1">Table1[[#This Row],[2026 (USD)]]*(1-INDIRECT(Table1[[#This Row],[Discount Name]]))</f>
        <v>86.9</v>
      </c>
      <c r="Q293" s="31">
        <f ca="1">INDIRECT(Table1[[#This Row],[Discount Name]])</f>
        <v>0</v>
      </c>
      <c r="S293" s="77">
        <f t="shared" ca="1" si="8"/>
        <v>78</v>
      </c>
      <c r="T293" s="77">
        <f t="shared" ca="1" si="9"/>
        <v>580.29999999999995</v>
      </c>
      <c r="U293" s="78" t="str">
        <f>IFERROR(VLOOKUP(Table1[[#This Row],[No_]],'Customer Net Price'!A:F,5,FALSE),"0")</f>
        <v>0</v>
      </c>
      <c r="V293" s="78" t="str">
        <f>IFERROR(VLOOKUP(Table1[[#This Row],[No_]],'Customer Net Price'!A:G,6,FALSE),"0")</f>
        <v>0</v>
      </c>
    </row>
    <row r="294" spans="1:22" x14ac:dyDescent="0.25">
      <c r="A294" s="23" t="s">
        <v>974</v>
      </c>
      <c r="B294" s="23" t="s">
        <v>974</v>
      </c>
      <c r="C294" t="s">
        <v>1100</v>
      </c>
      <c r="D294" t="s">
        <v>1778</v>
      </c>
      <c r="E294" t="s">
        <v>546</v>
      </c>
      <c r="F294" t="s">
        <v>918</v>
      </c>
      <c r="G294" t="s">
        <v>923</v>
      </c>
      <c r="H294" s="1" t="s">
        <v>1077</v>
      </c>
      <c r="I294" t="s">
        <v>546</v>
      </c>
      <c r="J294" t="s">
        <v>546</v>
      </c>
      <c r="K294" s="2">
        <v>8.9</v>
      </c>
      <c r="L294" s="2">
        <v>65.900000000000006</v>
      </c>
      <c r="M294" s="2">
        <v>9.9</v>
      </c>
      <c r="N294" s="2">
        <f ca="1">Table1[[#This Row],[2026 (EUR)]]*(1-INDIRECT(Table1[[#This Row],[Discount Name]]))</f>
        <v>8.9</v>
      </c>
      <c r="O294" s="2">
        <f ca="1">Table1[[#This Row],[2026 (DKK)]]*(1-INDIRECT(Table1[[#This Row],[Discount Name]]))</f>
        <v>65.900000000000006</v>
      </c>
      <c r="P294" s="2" cm="1">
        <f t="array" aca="1" ref="P294" ca="1">Table1[[#This Row],[2026 (USD)]]*(1-INDIRECT(Table1[[#This Row],[Discount Name]]))</f>
        <v>9.9</v>
      </c>
      <c r="Q294" s="31">
        <f ca="1">INDIRECT(Table1[[#This Row],[Discount Name]])</f>
        <v>0</v>
      </c>
      <c r="S294" s="2">
        <f t="shared" ca="1" si="8"/>
        <v>8.9</v>
      </c>
      <c r="T294" s="2">
        <f t="shared" ca="1" si="9"/>
        <v>65.900000000000006</v>
      </c>
      <c r="U294" s="71" t="str">
        <f>IFERROR(VLOOKUP(Table1[[#This Row],[No_]],'Customer Net Price'!A:F,5,FALSE),"0")</f>
        <v>0</v>
      </c>
      <c r="V294" s="71" t="str">
        <f>IFERROR(VLOOKUP(Table1[[#This Row],[No_]],'Customer Net Price'!A:G,6,FALSE),"0")</f>
        <v>0</v>
      </c>
    </row>
    <row r="295" spans="1:22" x14ac:dyDescent="0.25">
      <c r="A295" s="23" t="s">
        <v>975</v>
      </c>
      <c r="B295" s="23" t="s">
        <v>975</v>
      </c>
      <c r="C295" t="s">
        <v>1101</v>
      </c>
      <c r="D295" t="s">
        <v>1778</v>
      </c>
      <c r="E295" t="s">
        <v>546</v>
      </c>
      <c r="F295" t="s">
        <v>918</v>
      </c>
      <c r="G295" t="s">
        <v>923</v>
      </c>
      <c r="H295" s="1" t="s">
        <v>1078</v>
      </c>
      <c r="I295" t="s">
        <v>546</v>
      </c>
      <c r="J295" t="s">
        <v>546</v>
      </c>
      <c r="K295" s="2">
        <v>10.1</v>
      </c>
      <c r="L295" s="2">
        <v>74.900000000000006</v>
      </c>
      <c r="M295" s="2">
        <v>11.1</v>
      </c>
      <c r="N295" s="2">
        <f ca="1">Table1[[#This Row],[2026 (EUR)]]*(1-INDIRECT(Table1[[#This Row],[Discount Name]]))</f>
        <v>10.1</v>
      </c>
      <c r="O295" s="2">
        <f ca="1">Table1[[#This Row],[2026 (DKK)]]*(1-INDIRECT(Table1[[#This Row],[Discount Name]]))</f>
        <v>74.900000000000006</v>
      </c>
      <c r="P295" s="2" cm="1">
        <f t="array" aca="1" ref="P295" ca="1">Table1[[#This Row],[2026 (USD)]]*(1-INDIRECT(Table1[[#This Row],[Discount Name]]))</f>
        <v>11.1</v>
      </c>
      <c r="Q295" s="31">
        <f ca="1">INDIRECT(Table1[[#This Row],[Discount Name]])</f>
        <v>0</v>
      </c>
      <c r="S295" s="2">
        <f t="shared" ca="1" si="8"/>
        <v>10.1</v>
      </c>
      <c r="T295" s="2">
        <f t="shared" ca="1" si="9"/>
        <v>74.900000000000006</v>
      </c>
      <c r="U295" s="71" t="str">
        <f>IFERROR(VLOOKUP(Table1[[#This Row],[No_]],'Customer Net Price'!A:F,5,FALSE),"0")</f>
        <v>0</v>
      </c>
      <c r="V295" s="71" t="str">
        <f>IFERROR(VLOOKUP(Table1[[#This Row],[No_]],'Customer Net Price'!A:G,6,FALSE),"0")</f>
        <v>0</v>
      </c>
    </row>
    <row r="296" spans="1:22" x14ac:dyDescent="0.25">
      <c r="A296" s="23" t="s">
        <v>976</v>
      </c>
      <c r="B296" s="23" t="s">
        <v>976</v>
      </c>
      <c r="C296" t="s">
        <v>1102</v>
      </c>
      <c r="D296" t="s">
        <v>1778</v>
      </c>
      <c r="E296" t="s">
        <v>546</v>
      </c>
      <c r="F296" t="s">
        <v>918</v>
      </c>
      <c r="G296" t="s">
        <v>923</v>
      </c>
      <c r="H296" s="1" t="s">
        <v>1079</v>
      </c>
      <c r="I296" t="s">
        <v>546</v>
      </c>
      <c r="J296" t="s">
        <v>546</v>
      </c>
      <c r="K296" s="2">
        <v>12.6</v>
      </c>
      <c r="L296" s="2">
        <v>93.9</v>
      </c>
      <c r="M296" s="2">
        <v>13.8</v>
      </c>
      <c r="N296" s="2">
        <f ca="1">Table1[[#This Row],[2026 (EUR)]]*(1-INDIRECT(Table1[[#This Row],[Discount Name]]))</f>
        <v>12.6</v>
      </c>
      <c r="O296" s="2">
        <f ca="1">Table1[[#This Row],[2026 (DKK)]]*(1-INDIRECT(Table1[[#This Row],[Discount Name]]))</f>
        <v>93.9</v>
      </c>
      <c r="P296" s="2" cm="1">
        <f t="array" aca="1" ref="P296" ca="1">Table1[[#This Row],[2026 (USD)]]*(1-INDIRECT(Table1[[#This Row],[Discount Name]]))</f>
        <v>13.8</v>
      </c>
      <c r="Q296" s="31">
        <f ca="1">INDIRECT(Table1[[#This Row],[Discount Name]])</f>
        <v>0</v>
      </c>
      <c r="S296" s="2">
        <f t="shared" ca="1" si="8"/>
        <v>12.6</v>
      </c>
      <c r="T296" s="2">
        <f t="shared" ca="1" si="9"/>
        <v>93.9</v>
      </c>
      <c r="U296" s="71" t="str">
        <f>IFERROR(VLOOKUP(Table1[[#This Row],[No_]],'Customer Net Price'!A:F,5,FALSE),"0")</f>
        <v>0</v>
      </c>
      <c r="V296" s="71" t="str">
        <f>IFERROR(VLOOKUP(Table1[[#This Row],[No_]],'Customer Net Price'!A:G,6,FALSE),"0")</f>
        <v>0</v>
      </c>
    </row>
    <row r="297" spans="1:22" x14ac:dyDescent="0.25">
      <c r="A297" s="23" t="s">
        <v>908</v>
      </c>
      <c r="B297" s="23" t="s">
        <v>908</v>
      </c>
      <c r="C297" t="s">
        <v>909</v>
      </c>
      <c r="D297" t="s">
        <v>310</v>
      </c>
      <c r="E297" t="s">
        <v>546</v>
      </c>
      <c r="F297" t="s">
        <v>918</v>
      </c>
      <c r="G297" t="s">
        <v>923</v>
      </c>
      <c r="H297" s="46" t="s">
        <v>910</v>
      </c>
      <c r="I297" s="17">
        <v>24</v>
      </c>
      <c r="J297" t="s">
        <v>546</v>
      </c>
      <c r="K297" s="2">
        <v>15.9</v>
      </c>
      <c r="L297" s="2">
        <v>119.9</v>
      </c>
      <c r="M297" s="2">
        <v>18.5</v>
      </c>
      <c r="N297" s="2">
        <f ca="1">Table1[[#This Row],[2026 (EUR)]]*(1-INDIRECT(Table1[[#This Row],[Discount Name]]))</f>
        <v>15.9</v>
      </c>
      <c r="O297" s="2">
        <f ca="1">Table1[[#This Row],[2026 (DKK)]]*(1-INDIRECT(Table1[[#This Row],[Discount Name]]))</f>
        <v>119.9</v>
      </c>
      <c r="P297" s="2" cm="1">
        <f t="array" aca="1" ref="P297" ca="1">Table1[[#This Row],[2026 (USD)]]*(1-INDIRECT(Table1[[#This Row],[Discount Name]]))</f>
        <v>18.5</v>
      </c>
      <c r="Q297" s="31">
        <f ca="1">INDIRECT(Table1[[#This Row],[Discount Name]])</f>
        <v>0</v>
      </c>
      <c r="S297" s="2">
        <f t="shared" ca="1" si="8"/>
        <v>15.9</v>
      </c>
      <c r="T297" s="2">
        <f t="shared" ca="1" si="9"/>
        <v>119.9</v>
      </c>
      <c r="U297" s="71" t="str">
        <f>IFERROR(VLOOKUP(Table1[[#This Row],[No_]],'Customer Net Price'!A:F,5,FALSE),"0")</f>
        <v>0</v>
      </c>
      <c r="V297" s="71" t="str">
        <f>IFERROR(VLOOKUP(Table1[[#This Row],[No_]],'Customer Net Price'!A:G,6,FALSE),"0")</f>
        <v>0</v>
      </c>
    </row>
    <row r="298" spans="1:22" x14ac:dyDescent="0.25">
      <c r="A298" s="23" t="s">
        <v>954</v>
      </c>
      <c r="B298" s="23" t="s">
        <v>954</v>
      </c>
      <c r="C298" t="s">
        <v>969</v>
      </c>
      <c r="D298" t="s">
        <v>1778</v>
      </c>
      <c r="E298" t="s">
        <v>546</v>
      </c>
      <c r="F298" t="s">
        <v>918</v>
      </c>
      <c r="G298" t="s">
        <v>923</v>
      </c>
      <c r="H298" s="46" t="s">
        <v>1104</v>
      </c>
      <c r="I298" t="s">
        <v>546</v>
      </c>
      <c r="J298" t="s">
        <v>546</v>
      </c>
      <c r="K298" s="2">
        <v>49.9</v>
      </c>
      <c r="L298" s="2">
        <v>370.9</v>
      </c>
      <c r="M298" s="2">
        <v>54.9</v>
      </c>
      <c r="N298" s="2">
        <f ca="1">Table1[[#This Row],[2026 (EUR)]]*(1-INDIRECT(Table1[[#This Row],[Discount Name]]))</f>
        <v>49.9</v>
      </c>
      <c r="O298" s="2">
        <f ca="1">Table1[[#This Row],[2026 (DKK)]]*(1-INDIRECT(Table1[[#This Row],[Discount Name]]))</f>
        <v>370.9</v>
      </c>
      <c r="P298" s="2" cm="1">
        <f t="array" aca="1" ref="P298" ca="1">Table1[[#This Row],[2026 (USD)]]*(1-INDIRECT(Table1[[#This Row],[Discount Name]]))</f>
        <v>54.9</v>
      </c>
      <c r="Q298" s="31">
        <f ca="1">INDIRECT(Table1[[#This Row],[Discount Name]])</f>
        <v>0</v>
      </c>
      <c r="S298" s="2">
        <f t="shared" ca="1" si="8"/>
        <v>49.9</v>
      </c>
      <c r="T298" s="2">
        <f t="shared" ca="1" si="9"/>
        <v>370.9</v>
      </c>
      <c r="U298" s="71" t="str">
        <f>IFERROR(VLOOKUP(Table1[[#This Row],[No_]],'Customer Net Price'!A:F,5,FALSE),"0")</f>
        <v>0</v>
      </c>
      <c r="V298" s="71" t="str">
        <f>IFERROR(VLOOKUP(Table1[[#This Row],[No_]],'Customer Net Price'!A:G,6,FALSE),"0")</f>
        <v>0</v>
      </c>
    </row>
    <row r="299" spans="1:22" x14ac:dyDescent="0.25">
      <c r="A299" s="23" t="s">
        <v>950</v>
      </c>
      <c r="B299" s="23" t="s">
        <v>950</v>
      </c>
      <c r="C299" t="s">
        <v>965</v>
      </c>
      <c r="D299" t="s">
        <v>310</v>
      </c>
      <c r="E299" t="s">
        <v>546</v>
      </c>
      <c r="F299" t="s">
        <v>922</v>
      </c>
      <c r="G299" t="s">
        <v>922</v>
      </c>
      <c r="H299" s="1" t="s">
        <v>980</v>
      </c>
      <c r="I299" t="s">
        <v>546</v>
      </c>
      <c r="J299" t="s">
        <v>546</v>
      </c>
      <c r="K299" s="2">
        <v>58.9</v>
      </c>
      <c r="L299" s="2">
        <v>439.9</v>
      </c>
      <c r="M299" s="2">
        <v>64.900000000000006</v>
      </c>
      <c r="N299" s="2">
        <f ca="1">Table1[[#This Row],[2026 (EUR)]]*(1-INDIRECT(Table1[[#This Row],[Discount Name]]))</f>
        <v>58.9</v>
      </c>
      <c r="O299" s="2">
        <f ca="1">Table1[[#This Row],[2026 (DKK)]]*(1-INDIRECT(Table1[[#This Row],[Discount Name]]))</f>
        <v>439.9</v>
      </c>
      <c r="P299" s="2" cm="1">
        <f t="array" aca="1" ref="P299" ca="1">Table1[[#This Row],[2026 (USD)]]*(1-INDIRECT(Table1[[#This Row],[Discount Name]]))</f>
        <v>64.900000000000006</v>
      </c>
      <c r="Q299" s="31">
        <f ca="1">INDIRECT(Table1[[#This Row],[Discount Name]])</f>
        <v>0</v>
      </c>
      <c r="S299" s="2">
        <f t="shared" ca="1" si="8"/>
        <v>58.9</v>
      </c>
      <c r="T299" s="2">
        <f t="shared" ca="1" si="9"/>
        <v>439.9</v>
      </c>
      <c r="U299" s="71" t="str">
        <f>IFERROR(VLOOKUP(Table1[[#This Row],[No_]],'Customer Net Price'!A:F,5,FALSE),"0")</f>
        <v>0</v>
      </c>
      <c r="V299" s="71" t="str">
        <f>IFERROR(VLOOKUP(Table1[[#This Row],[No_]],'Customer Net Price'!A:G,6,FALSE),"0")</f>
        <v>0</v>
      </c>
    </row>
    <row r="300" spans="1:22" x14ac:dyDescent="0.25">
      <c r="A300" s="23" t="s">
        <v>913</v>
      </c>
      <c r="B300" s="23" t="s">
        <v>913</v>
      </c>
      <c r="C300" t="s">
        <v>914</v>
      </c>
      <c r="D300" t="s">
        <v>310</v>
      </c>
      <c r="E300" t="s">
        <v>546</v>
      </c>
      <c r="F300" t="s">
        <v>918</v>
      </c>
      <c r="G300" t="s">
        <v>923</v>
      </c>
      <c r="H300" s="46" t="s">
        <v>915</v>
      </c>
      <c r="I300" s="17">
        <v>24</v>
      </c>
      <c r="J300" t="s">
        <v>546</v>
      </c>
      <c r="K300" s="2">
        <v>34.9</v>
      </c>
      <c r="L300" s="2">
        <v>259.89999999999998</v>
      </c>
      <c r="M300" s="2">
        <v>38.9</v>
      </c>
      <c r="N300" s="2">
        <f ca="1">Table1[[#This Row],[2026 (EUR)]]*(1-INDIRECT(Table1[[#This Row],[Discount Name]]))</f>
        <v>34.9</v>
      </c>
      <c r="O300" s="2">
        <f ca="1">Table1[[#This Row],[2026 (DKK)]]*(1-INDIRECT(Table1[[#This Row],[Discount Name]]))</f>
        <v>259.89999999999998</v>
      </c>
      <c r="P300" s="2" cm="1">
        <f t="array" aca="1" ref="P300" ca="1">Table1[[#This Row],[2026 (USD)]]*(1-INDIRECT(Table1[[#This Row],[Discount Name]]))</f>
        <v>38.9</v>
      </c>
      <c r="Q300" s="31">
        <f ca="1">INDIRECT(Table1[[#This Row],[Discount Name]])</f>
        <v>0</v>
      </c>
      <c r="S300" s="2">
        <f t="shared" ca="1" si="8"/>
        <v>34.9</v>
      </c>
      <c r="T300" s="2">
        <f t="shared" ca="1" si="9"/>
        <v>259.89999999999998</v>
      </c>
      <c r="U300" s="71" t="str">
        <f>IFERROR(VLOOKUP(Table1[[#This Row],[No_]],'Customer Net Price'!A:F,5,FALSE),"0")</f>
        <v>0</v>
      </c>
      <c r="V300" s="71" t="str">
        <f>IFERROR(VLOOKUP(Table1[[#This Row],[No_]],'Customer Net Price'!A:G,6,FALSE),"0")</f>
        <v>0</v>
      </c>
    </row>
    <row r="301" spans="1:22" x14ac:dyDescent="0.25">
      <c r="A301" s="23" t="s">
        <v>949</v>
      </c>
      <c r="B301" s="23" t="s">
        <v>949</v>
      </c>
      <c r="C301" t="s">
        <v>964</v>
      </c>
      <c r="D301" t="s">
        <v>1778</v>
      </c>
      <c r="E301" t="s">
        <v>546</v>
      </c>
      <c r="F301" t="s">
        <v>918</v>
      </c>
      <c r="G301" t="s">
        <v>923</v>
      </c>
      <c r="H301" s="1" t="s">
        <v>1072</v>
      </c>
      <c r="I301" t="s">
        <v>546</v>
      </c>
      <c r="J301" t="s">
        <v>546</v>
      </c>
      <c r="K301" s="2">
        <v>15.9</v>
      </c>
      <c r="L301" s="2">
        <v>117.9</v>
      </c>
      <c r="M301" s="2">
        <v>17.899999999999999</v>
      </c>
      <c r="N301" s="2">
        <f ca="1">Table1[[#This Row],[2026 (EUR)]]*(1-INDIRECT(Table1[[#This Row],[Discount Name]]))</f>
        <v>15.9</v>
      </c>
      <c r="O301" s="2">
        <f ca="1">Table1[[#This Row],[2026 (DKK)]]*(1-INDIRECT(Table1[[#This Row],[Discount Name]]))</f>
        <v>117.9</v>
      </c>
      <c r="P301" s="2" cm="1">
        <f t="array" aca="1" ref="P301" ca="1">Table1[[#This Row],[2026 (USD)]]*(1-INDIRECT(Table1[[#This Row],[Discount Name]]))</f>
        <v>17.899999999999999</v>
      </c>
      <c r="Q301" s="31">
        <f ca="1">INDIRECT(Table1[[#This Row],[Discount Name]])</f>
        <v>0</v>
      </c>
      <c r="S301" s="2">
        <f t="shared" ca="1" si="8"/>
        <v>15.9</v>
      </c>
      <c r="T301" s="2">
        <f t="shared" ca="1" si="9"/>
        <v>117.9</v>
      </c>
      <c r="U301" s="71" t="str">
        <f>IFERROR(VLOOKUP(Table1[[#This Row],[No_]],'Customer Net Price'!A:F,5,FALSE),"0")</f>
        <v>0</v>
      </c>
      <c r="V301" s="71" t="str">
        <f>IFERROR(VLOOKUP(Table1[[#This Row],[No_]],'Customer Net Price'!A:G,6,FALSE),"0")</f>
        <v>0</v>
      </c>
    </row>
    <row r="302" spans="1:22" x14ac:dyDescent="0.25">
      <c r="A302" s="23" t="s">
        <v>955</v>
      </c>
      <c r="B302" s="23" t="s">
        <v>955</v>
      </c>
      <c r="C302" t="s">
        <v>970</v>
      </c>
      <c r="D302" t="s">
        <v>1778</v>
      </c>
      <c r="E302" t="s">
        <v>546</v>
      </c>
      <c r="F302" t="s">
        <v>918</v>
      </c>
      <c r="G302" t="s">
        <v>923</v>
      </c>
      <c r="H302" s="1" t="s">
        <v>1074</v>
      </c>
      <c r="I302" t="s">
        <v>546</v>
      </c>
      <c r="J302" t="s">
        <v>546</v>
      </c>
      <c r="K302" s="2">
        <v>20.9</v>
      </c>
      <c r="L302" s="2">
        <v>154.9</v>
      </c>
      <c r="M302" s="2">
        <v>22.9</v>
      </c>
      <c r="N302" s="2">
        <f ca="1">Table1[[#This Row],[2026 (EUR)]]*(1-INDIRECT(Table1[[#This Row],[Discount Name]]))</f>
        <v>20.9</v>
      </c>
      <c r="O302" s="2">
        <f ca="1">Table1[[#This Row],[2026 (DKK)]]*(1-INDIRECT(Table1[[#This Row],[Discount Name]]))</f>
        <v>154.9</v>
      </c>
      <c r="P302" s="2" cm="1">
        <f t="array" aca="1" ref="P302" ca="1">Table1[[#This Row],[2026 (USD)]]*(1-INDIRECT(Table1[[#This Row],[Discount Name]]))</f>
        <v>22.9</v>
      </c>
      <c r="Q302" s="31">
        <f ca="1">INDIRECT(Table1[[#This Row],[Discount Name]])</f>
        <v>0</v>
      </c>
      <c r="S302" s="2">
        <f t="shared" ca="1" si="8"/>
        <v>20.9</v>
      </c>
      <c r="T302" s="2">
        <f t="shared" ca="1" si="9"/>
        <v>154.9</v>
      </c>
      <c r="U302" s="71" t="str">
        <f>IFERROR(VLOOKUP(Table1[[#This Row],[No_]],'Customer Net Price'!A:F,5,FALSE),"0")</f>
        <v>0</v>
      </c>
      <c r="V302" s="71" t="str">
        <f>IFERROR(VLOOKUP(Table1[[#This Row],[No_]],'Customer Net Price'!A:G,6,FALSE),"0")</f>
        <v>0</v>
      </c>
    </row>
    <row r="303" spans="1:22" x14ac:dyDescent="0.25">
      <c r="A303" s="23" t="s">
        <v>977</v>
      </c>
      <c r="B303" s="23" t="s">
        <v>977</v>
      </c>
      <c r="C303" t="s">
        <v>725</v>
      </c>
      <c r="D303" t="s">
        <v>1778</v>
      </c>
      <c r="E303" t="s">
        <v>546</v>
      </c>
      <c r="F303" t="s">
        <v>918</v>
      </c>
      <c r="G303" t="s">
        <v>923</v>
      </c>
      <c r="H303" s="1" t="s">
        <v>1080</v>
      </c>
      <c r="I303" t="s">
        <v>546</v>
      </c>
      <c r="J303" t="s">
        <v>546</v>
      </c>
      <c r="K303" s="2">
        <v>11.2</v>
      </c>
      <c r="L303" s="2">
        <v>82.9</v>
      </c>
      <c r="M303" s="2">
        <v>12.2</v>
      </c>
      <c r="N303" s="2">
        <f ca="1">Table1[[#This Row],[2026 (EUR)]]*(1-INDIRECT(Table1[[#This Row],[Discount Name]]))</f>
        <v>11.2</v>
      </c>
      <c r="O303" s="2">
        <f ca="1">Table1[[#This Row],[2026 (DKK)]]*(1-INDIRECT(Table1[[#This Row],[Discount Name]]))</f>
        <v>82.9</v>
      </c>
      <c r="P303" s="2" cm="1">
        <f t="array" aca="1" ref="P303" ca="1">Table1[[#This Row],[2026 (USD)]]*(1-INDIRECT(Table1[[#This Row],[Discount Name]]))</f>
        <v>12.2</v>
      </c>
      <c r="Q303" s="31">
        <f ca="1">INDIRECT(Table1[[#This Row],[Discount Name]])</f>
        <v>0</v>
      </c>
      <c r="S303" s="2">
        <f t="shared" ca="1" si="8"/>
        <v>11.2</v>
      </c>
      <c r="T303" s="2">
        <f t="shared" ca="1" si="9"/>
        <v>82.9</v>
      </c>
      <c r="U303" s="71" t="str">
        <f>IFERROR(VLOOKUP(Table1[[#This Row],[No_]],'Customer Net Price'!A:F,5,FALSE),"0")</f>
        <v>0</v>
      </c>
      <c r="V303" s="71" t="str">
        <f>IFERROR(VLOOKUP(Table1[[#This Row],[No_]],'Customer Net Price'!A:G,6,FALSE),"0")</f>
        <v>0</v>
      </c>
    </row>
    <row r="304" spans="1:22" x14ac:dyDescent="0.25">
      <c r="A304" s="23" t="s">
        <v>1347</v>
      </c>
      <c r="B304" s="23" t="s">
        <v>1347</v>
      </c>
      <c r="C304" t="s">
        <v>1354</v>
      </c>
      <c r="D304" t="s">
        <v>1778</v>
      </c>
      <c r="E304" t="s">
        <v>546</v>
      </c>
      <c r="F304" t="s">
        <v>918</v>
      </c>
      <c r="G304" t="s">
        <v>923</v>
      </c>
      <c r="H304" s="48" t="s">
        <v>1359</v>
      </c>
      <c r="I304" t="s">
        <v>546</v>
      </c>
      <c r="J304" t="s">
        <v>546</v>
      </c>
      <c r="K304" s="2">
        <v>12.4</v>
      </c>
      <c r="L304" s="2">
        <v>89.9</v>
      </c>
      <c r="M304" s="2">
        <v>14.6</v>
      </c>
      <c r="N304" s="2">
        <f ca="1">Table1[[#This Row],[2026 (EUR)]]*(1-INDIRECT(Table1[[#This Row],[Discount Name]]))</f>
        <v>12.4</v>
      </c>
      <c r="O304" s="2">
        <f ca="1">Table1[[#This Row],[2026 (DKK)]]*(1-INDIRECT(Table1[[#This Row],[Discount Name]]))</f>
        <v>89.9</v>
      </c>
      <c r="P304" s="2" cm="1">
        <f t="array" aca="1" ref="P304" ca="1">Table1[[#This Row],[2026 (USD)]]*(1-INDIRECT(Table1[[#This Row],[Discount Name]]))</f>
        <v>14.6</v>
      </c>
      <c r="Q304" s="31">
        <f ca="1">INDIRECT(Table1[[#This Row],[Discount Name]])</f>
        <v>0</v>
      </c>
      <c r="S304" s="77">
        <f t="shared" ca="1" si="8"/>
        <v>12.4</v>
      </c>
      <c r="T304" s="77">
        <f t="shared" ca="1" si="9"/>
        <v>89.9</v>
      </c>
      <c r="U304" s="78" t="str">
        <f>IFERROR(VLOOKUP(Table1[[#This Row],[No_]],'Customer Net Price'!A:F,5,FALSE),"0")</f>
        <v>0</v>
      </c>
      <c r="V304" s="78" t="str">
        <f>IFERROR(VLOOKUP(Table1[[#This Row],[No_]],'Customer Net Price'!A:G,6,FALSE),"0")</f>
        <v>0</v>
      </c>
    </row>
    <row r="305" spans="1:22" x14ac:dyDescent="0.25">
      <c r="A305" s="23" t="s">
        <v>947</v>
      </c>
      <c r="B305" s="23" t="s">
        <v>947</v>
      </c>
      <c r="C305" t="s">
        <v>962</v>
      </c>
      <c r="D305" t="s">
        <v>1778</v>
      </c>
      <c r="E305" t="s">
        <v>546</v>
      </c>
      <c r="F305" t="s">
        <v>918</v>
      </c>
      <c r="G305" t="s">
        <v>923</v>
      </c>
      <c r="H305" s="50" t="s">
        <v>1070</v>
      </c>
      <c r="I305" t="s">
        <v>546</v>
      </c>
      <c r="J305" t="s">
        <v>546</v>
      </c>
      <c r="K305" s="2">
        <v>85.9</v>
      </c>
      <c r="L305" s="2">
        <v>638.9</v>
      </c>
      <c r="M305" s="2">
        <v>89</v>
      </c>
      <c r="N305" s="2">
        <f ca="1">Table1[[#This Row],[2026 (EUR)]]*(1-INDIRECT(Table1[[#This Row],[Discount Name]]))</f>
        <v>85.9</v>
      </c>
      <c r="O305" s="2">
        <f ca="1">Table1[[#This Row],[2026 (DKK)]]*(1-INDIRECT(Table1[[#This Row],[Discount Name]]))</f>
        <v>638.9</v>
      </c>
      <c r="P305" s="2" cm="1">
        <f t="array" aca="1" ref="P305" ca="1">Table1[[#This Row],[2026 (USD)]]*(1-INDIRECT(Table1[[#This Row],[Discount Name]]))</f>
        <v>89</v>
      </c>
      <c r="Q305" s="31">
        <f ca="1">INDIRECT(Table1[[#This Row],[Discount Name]])</f>
        <v>0</v>
      </c>
      <c r="S305" s="2">
        <f t="shared" ca="1" si="8"/>
        <v>85.9</v>
      </c>
      <c r="T305" s="2">
        <f t="shared" ca="1" si="9"/>
        <v>638.9</v>
      </c>
      <c r="U305" s="71" t="str">
        <f>IFERROR(VLOOKUP(Table1[[#This Row],[No_]],'Customer Net Price'!A:F,5,FALSE),"0")</f>
        <v>0</v>
      </c>
      <c r="V305" s="71" t="str">
        <f>IFERROR(VLOOKUP(Table1[[#This Row],[No_]],'Customer Net Price'!A:G,6,FALSE),"0")</f>
        <v>0</v>
      </c>
    </row>
    <row r="306" spans="1:22" x14ac:dyDescent="0.25">
      <c r="A306" s="23" t="s">
        <v>946</v>
      </c>
      <c r="B306" s="23" t="s">
        <v>946</v>
      </c>
      <c r="C306" t="s">
        <v>961</v>
      </c>
      <c r="D306" t="s">
        <v>1778</v>
      </c>
      <c r="E306" t="s">
        <v>546</v>
      </c>
      <c r="F306" t="s">
        <v>918</v>
      </c>
      <c r="G306" t="s">
        <v>923</v>
      </c>
      <c r="H306" s="50" t="s">
        <v>1069</v>
      </c>
      <c r="I306" t="s">
        <v>546</v>
      </c>
      <c r="J306" t="s">
        <v>546</v>
      </c>
      <c r="K306" s="2">
        <v>190.9</v>
      </c>
      <c r="L306" s="2">
        <v>1419.9</v>
      </c>
      <c r="M306" s="2">
        <v>209.9</v>
      </c>
      <c r="N306" s="2">
        <f ca="1">Table1[[#This Row],[2026 (EUR)]]*(1-INDIRECT(Table1[[#This Row],[Discount Name]]))</f>
        <v>190.9</v>
      </c>
      <c r="O306" s="2">
        <f ca="1">Table1[[#This Row],[2026 (DKK)]]*(1-INDIRECT(Table1[[#This Row],[Discount Name]]))</f>
        <v>1419.9</v>
      </c>
      <c r="P306" s="2" cm="1">
        <f t="array" aca="1" ref="P306" ca="1">Table1[[#This Row],[2026 (USD)]]*(1-INDIRECT(Table1[[#This Row],[Discount Name]]))</f>
        <v>209.9</v>
      </c>
      <c r="Q306" s="31">
        <f ca="1">INDIRECT(Table1[[#This Row],[Discount Name]])</f>
        <v>0</v>
      </c>
      <c r="S306" s="2">
        <f t="shared" ca="1" si="8"/>
        <v>190.9</v>
      </c>
      <c r="T306" s="2">
        <f t="shared" ca="1" si="9"/>
        <v>1419.9</v>
      </c>
      <c r="U306" s="71" t="str">
        <f>IFERROR(VLOOKUP(Table1[[#This Row],[No_]],'Customer Net Price'!A:F,5,FALSE),"0")</f>
        <v>0</v>
      </c>
      <c r="V306" s="71" t="str">
        <f>IFERROR(VLOOKUP(Table1[[#This Row],[No_]],'Customer Net Price'!A:G,6,FALSE),"0")</f>
        <v>0</v>
      </c>
    </row>
    <row r="307" spans="1:22" x14ac:dyDescent="0.25">
      <c r="A307" t="s">
        <v>1228</v>
      </c>
      <c r="B307" s="23" t="s">
        <v>1228</v>
      </c>
      <c r="C307" t="s">
        <v>1241</v>
      </c>
      <c r="D307" t="s">
        <v>310</v>
      </c>
      <c r="E307" t="s">
        <v>546</v>
      </c>
      <c r="F307" t="s">
        <v>918</v>
      </c>
      <c r="G307" t="s">
        <v>923</v>
      </c>
      <c r="H307" s="51" t="s">
        <v>1273</v>
      </c>
      <c r="I307" t="s">
        <v>546</v>
      </c>
      <c r="J307" t="s">
        <v>546</v>
      </c>
      <c r="K307" s="2">
        <v>39.9</v>
      </c>
      <c r="L307" s="2">
        <v>299.89999999999998</v>
      </c>
      <c r="M307" s="2">
        <v>43.9</v>
      </c>
      <c r="N307" s="2">
        <f ca="1">Table1[[#This Row],[2026 (EUR)]]*(1-INDIRECT(Table1[[#This Row],[Discount Name]]))</f>
        <v>39.9</v>
      </c>
      <c r="O307" s="2">
        <f ca="1">Table1[[#This Row],[2026 (DKK)]]*(1-INDIRECT(Table1[[#This Row],[Discount Name]]))</f>
        <v>299.89999999999998</v>
      </c>
      <c r="P307" s="2" cm="1">
        <f t="array" aca="1" ref="P307" ca="1">Table1[[#This Row],[2026 (USD)]]*(1-INDIRECT(Table1[[#This Row],[Discount Name]]))</f>
        <v>43.9</v>
      </c>
      <c r="Q307" s="31">
        <f ca="1">INDIRECT(Table1[[#This Row],[Discount Name]])</f>
        <v>0</v>
      </c>
      <c r="S307" s="2">
        <f t="shared" ca="1" si="8"/>
        <v>39.9</v>
      </c>
      <c r="T307" s="2">
        <f t="shared" ca="1" si="9"/>
        <v>299.89999999999998</v>
      </c>
      <c r="U307" s="71" t="str">
        <f>IFERROR(VLOOKUP(Table1[[#This Row],[No_]],'Customer Net Price'!A:F,5,FALSE),"0")</f>
        <v>0</v>
      </c>
      <c r="V307" s="71" t="str">
        <f>IFERROR(VLOOKUP(Table1[[#This Row],[No_]],'Customer Net Price'!A:G,6,FALSE),"0")</f>
        <v>0</v>
      </c>
    </row>
    <row r="308" spans="1:22" x14ac:dyDescent="0.25">
      <c r="A308" s="23" t="s">
        <v>1346</v>
      </c>
      <c r="B308" s="23" t="s">
        <v>1346</v>
      </c>
      <c r="C308" t="s">
        <v>1353</v>
      </c>
      <c r="D308" t="s">
        <v>1778</v>
      </c>
      <c r="E308" t="s">
        <v>546</v>
      </c>
      <c r="F308" t="s">
        <v>918</v>
      </c>
      <c r="G308" t="s">
        <v>923</v>
      </c>
      <c r="H308" s="48" t="s">
        <v>1363</v>
      </c>
      <c r="I308" t="s">
        <v>546</v>
      </c>
      <c r="J308" t="s">
        <v>546</v>
      </c>
      <c r="K308" s="2">
        <v>7.75</v>
      </c>
      <c r="L308" s="2">
        <v>56</v>
      </c>
      <c r="M308" s="2">
        <v>8.9</v>
      </c>
      <c r="N308" s="2">
        <f ca="1">Table1[[#This Row],[2026 (EUR)]]*(1-INDIRECT(Table1[[#This Row],[Discount Name]]))</f>
        <v>7.75</v>
      </c>
      <c r="O308" s="2">
        <f ca="1">Table1[[#This Row],[2026 (DKK)]]*(1-INDIRECT(Table1[[#This Row],[Discount Name]]))</f>
        <v>56</v>
      </c>
      <c r="P308" s="2" cm="1">
        <f t="array" aca="1" ref="P308" ca="1">Table1[[#This Row],[2026 (USD)]]*(1-INDIRECT(Table1[[#This Row],[Discount Name]]))</f>
        <v>8.9</v>
      </c>
      <c r="Q308" s="31">
        <f ca="1">INDIRECT(Table1[[#This Row],[Discount Name]])</f>
        <v>0</v>
      </c>
      <c r="S308" s="77">
        <f t="shared" ca="1" si="8"/>
        <v>7.75</v>
      </c>
      <c r="T308" s="77">
        <f t="shared" ca="1" si="9"/>
        <v>56</v>
      </c>
      <c r="U308" s="78" t="str">
        <f>IFERROR(VLOOKUP(Table1[[#This Row],[No_]],'Customer Net Price'!A:F,5,FALSE),"0")</f>
        <v>0</v>
      </c>
      <c r="V308" s="78" t="str">
        <f>IFERROR(VLOOKUP(Table1[[#This Row],[No_]],'Customer Net Price'!A:G,6,FALSE),"0")</f>
        <v>0</v>
      </c>
    </row>
    <row r="309" spans="1:22" x14ac:dyDescent="0.25">
      <c r="A309" s="23" t="s">
        <v>1344</v>
      </c>
      <c r="B309" s="23" t="s">
        <v>1344</v>
      </c>
      <c r="C309" t="s">
        <v>1351</v>
      </c>
      <c r="D309" t="s">
        <v>1778</v>
      </c>
      <c r="E309" t="s">
        <v>546</v>
      </c>
      <c r="F309" t="s">
        <v>918</v>
      </c>
      <c r="G309" t="s">
        <v>923</v>
      </c>
      <c r="H309" s="48" t="s">
        <v>1361</v>
      </c>
      <c r="I309" t="s">
        <v>546</v>
      </c>
      <c r="J309" t="s">
        <v>546</v>
      </c>
      <c r="K309" s="2">
        <v>39.9</v>
      </c>
      <c r="L309" s="2">
        <v>299.89999999999998</v>
      </c>
      <c r="M309" s="2">
        <v>44.9</v>
      </c>
      <c r="N309" s="2">
        <f ca="1">Table1[[#This Row],[2026 (EUR)]]*(1-INDIRECT(Table1[[#This Row],[Discount Name]]))</f>
        <v>39.9</v>
      </c>
      <c r="O309" s="2">
        <f ca="1">Table1[[#This Row],[2026 (DKK)]]*(1-INDIRECT(Table1[[#This Row],[Discount Name]]))</f>
        <v>299.89999999999998</v>
      </c>
      <c r="P309" s="2" cm="1">
        <f t="array" aca="1" ref="P309" ca="1">Table1[[#This Row],[2026 (USD)]]*(1-INDIRECT(Table1[[#This Row],[Discount Name]]))</f>
        <v>44.9</v>
      </c>
      <c r="Q309" s="31">
        <f ca="1">INDIRECT(Table1[[#This Row],[Discount Name]])</f>
        <v>0</v>
      </c>
      <c r="S309" s="77">
        <f t="shared" ca="1" si="8"/>
        <v>39.9</v>
      </c>
      <c r="T309" s="77">
        <f t="shared" ca="1" si="9"/>
        <v>299.89999999999998</v>
      </c>
      <c r="U309" s="78" t="str">
        <f>IFERROR(VLOOKUP(Table1[[#This Row],[No_]],'Customer Net Price'!A:F,5,FALSE),"0")</f>
        <v>0</v>
      </c>
      <c r="V309" s="78" t="str">
        <f>IFERROR(VLOOKUP(Table1[[#This Row],[No_]],'Customer Net Price'!A:G,6,FALSE),"0")</f>
        <v>0</v>
      </c>
    </row>
    <row r="310" spans="1:22" x14ac:dyDescent="0.25">
      <c r="A310" s="23" t="s">
        <v>1138</v>
      </c>
      <c r="B310" s="23" t="s">
        <v>1138</v>
      </c>
      <c r="C310" t="s">
        <v>1139</v>
      </c>
      <c r="D310" t="s">
        <v>310</v>
      </c>
      <c r="E310" t="s">
        <v>546</v>
      </c>
      <c r="F310" t="s">
        <v>918</v>
      </c>
      <c r="G310" t="s">
        <v>923</v>
      </c>
      <c r="H310" s="53" t="s">
        <v>1140</v>
      </c>
      <c r="I310" t="s">
        <v>546</v>
      </c>
      <c r="J310" t="s">
        <v>546</v>
      </c>
      <c r="K310" s="2">
        <v>14.9</v>
      </c>
      <c r="L310" s="2">
        <v>109.9</v>
      </c>
      <c r="M310" s="2">
        <v>17.899999999999999</v>
      </c>
      <c r="N310" s="2">
        <f ca="1">Table1[[#This Row],[2026 (EUR)]]*(1-INDIRECT(Table1[[#This Row],[Discount Name]]))</f>
        <v>14.9</v>
      </c>
      <c r="O310" s="2">
        <f ca="1">Table1[[#This Row],[2026 (DKK)]]*(1-INDIRECT(Table1[[#This Row],[Discount Name]]))</f>
        <v>109.9</v>
      </c>
      <c r="P310" s="2" cm="1">
        <f t="array" aca="1" ref="P310" ca="1">Table1[[#This Row],[2026 (USD)]]*(1-INDIRECT(Table1[[#This Row],[Discount Name]]))</f>
        <v>17.899999999999999</v>
      </c>
      <c r="Q310" s="31">
        <f ca="1">INDIRECT(Table1[[#This Row],[Discount Name]])</f>
        <v>0</v>
      </c>
      <c r="S310" s="2">
        <f t="shared" ca="1" si="8"/>
        <v>14.9</v>
      </c>
      <c r="T310" s="2">
        <f t="shared" ca="1" si="9"/>
        <v>109.9</v>
      </c>
      <c r="U310" s="71" t="str">
        <f>IFERROR(VLOOKUP(Table1[[#This Row],[No_]],'Customer Net Price'!A:F,5,FALSE),"0")</f>
        <v>0</v>
      </c>
      <c r="V310" s="71" t="str">
        <f>IFERROR(VLOOKUP(Table1[[#This Row],[No_]],'Customer Net Price'!A:G,6,FALSE),"0")</f>
        <v>0</v>
      </c>
    </row>
    <row r="311" spans="1:22" x14ac:dyDescent="0.25">
      <c r="A311" s="23" t="s">
        <v>1141</v>
      </c>
      <c r="B311" s="23" t="s">
        <v>1141</v>
      </c>
      <c r="C311" t="s">
        <v>1142</v>
      </c>
      <c r="D311" t="s">
        <v>310</v>
      </c>
      <c r="E311" t="s">
        <v>546</v>
      </c>
      <c r="F311" t="s">
        <v>918</v>
      </c>
      <c r="G311" t="s">
        <v>923</v>
      </c>
      <c r="H311" s="53" t="s">
        <v>1143</v>
      </c>
      <c r="I311" t="s">
        <v>546</v>
      </c>
      <c r="J311" t="s">
        <v>546</v>
      </c>
      <c r="K311" s="2">
        <v>7.9</v>
      </c>
      <c r="L311" s="2">
        <v>59.9</v>
      </c>
      <c r="M311" s="2">
        <v>8.9</v>
      </c>
      <c r="N311" s="2">
        <f ca="1">Table1[[#This Row],[2026 (EUR)]]*(1-INDIRECT(Table1[[#This Row],[Discount Name]]))</f>
        <v>7.9</v>
      </c>
      <c r="O311" s="2">
        <f ca="1">Table1[[#This Row],[2026 (DKK)]]*(1-INDIRECT(Table1[[#This Row],[Discount Name]]))</f>
        <v>59.9</v>
      </c>
      <c r="P311" s="2" cm="1">
        <f t="array" aca="1" ref="P311" ca="1">Table1[[#This Row],[2026 (USD)]]*(1-INDIRECT(Table1[[#This Row],[Discount Name]]))</f>
        <v>8.9</v>
      </c>
      <c r="Q311" s="31">
        <f ca="1">INDIRECT(Table1[[#This Row],[Discount Name]])</f>
        <v>0</v>
      </c>
      <c r="S311" s="2">
        <f t="shared" ca="1" si="8"/>
        <v>7.9</v>
      </c>
      <c r="T311" s="2">
        <f t="shared" ca="1" si="9"/>
        <v>59.9</v>
      </c>
      <c r="U311" s="71" t="str">
        <f>IFERROR(VLOOKUP(Table1[[#This Row],[No_]],'Customer Net Price'!A:F,5,FALSE),"0")</f>
        <v>0</v>
      </c>
      <c r="V311" s="71" t="str">
        <f>IFERROR(VLOOKUP(Table1[[#This Row],[No_]],'Customer Net Price'!A:G,6,FALSE),"0")</f>
        <v>0</v>
      </c>
    </row>
    <row r="312" spans="1:22" x14ac:dyDescent="0.25">
      <c r="A312" s="23" t="s">
        <v>1368</v>
      </c>
      <c r="B312" s="23" t="s">
        <v>1368</v>
      </c>
      <c r="C312" t="s">
        <v>1369</v>
      </c>
      <c r="D312" t="s">
        <v>1778</v>
      </c>
      <c r="E312" t="s">
        <v>546</v>
      </c>
      <c r="F312" t="s">
        <v>918</v>
      </c>
      <c r="G312" t="s">
        <v>923</v>
      </c>
      <c r="H312" s="1" t="s">
        <v>1387</v>
      </c>
      <c r="I312" t="s">
        <v>546</v>
      </c>
      <c r="J312" t="s">
        <v>546</v>
      </c>
      <c r="K312" s="2">
        <v>1.95</v>
      </c>
      <c r="L312" s="2">
        <v>14.5</v>
      </c>
      <c r="M312" s="2">
        <v>2.2999999999999998</v>
      </c>
      <c r="N312" s="2">
        <f ca="1">Table1[[#This Row],[2026 (EUR)]]*(1-INDIRECT(Table1[[#This Row],[Discount Name]]))</f>
        <v>1.95</v>
      </c>
      <c r="O312" s="2">
        <f ca="1">Table1[[#This Row],[2026 (DKK)]]*(1-INDIRECT(Table1[[#This Row],[Discount Name]]))</f>
        <v>14.5</v>
      </c>
      <c r="P312" s="2" cm="1">
        <f t="array" aca="1" ref="P312" ca="1">Table1[[#This Row],[2026 (USD)]]*(1-INDIRECT(Table1[[#This Row],[Discount Name]]))</f>
        <v>2.2999999999999998</v>
      </c>
      <c r="Q312" s="31">
        <f ca="1">INDIRECT(Table1[[#This Row],[Discount Name]])</f>
        <v>0</v>
      </c>
      <c r="S312" s="77">
        <f t="shared" ca="1" si="8"/>
        <v>1.95</v>
      </c>
      <c r="T312" s="77">
        <f t="shared" ca="1" si="9"/>
        <v>14.5</v>
      </c>
      <c r="U312" s="78" t="str">
        <f>IFERROR(VLOOKUP(Table1[[#This Row],[No_]],'Customer Net Price'!A:F,5,FALSE),"0")</f>
        <v>0</v>
      </c>
      <c r="V312" s="78" t="str">
        <f>IFERROR(VLOOKUP(Table1[[#This Row],[No_]],'Customer Net Price'!A:G,6,FALSE),"0")</f>
        <v>0</v>
      </c>
    </row>
    <row r="313" spans="1:22" x14ac:dyDescent="0.25">
      <c r="A313" s="23" t="s">
        <v>118</v>
      </c>
      <c r="B313" s="23" t="s">
        <v>118</v>
      </c>
      <c r="C313" t="s">
        <v>221</v>
      </c>
      <c r="D313" t="s">
        <v>791</v>
      </c>
      <c r="F313" t="s">
        <v>921</v>
      </c>
      <c r="G313" t="s">
        <v>921</v>
      </c>
      <c r="H313" s="50" t="s">
        <v>376</v>
      </c>
      <c r="I313">
        <v>24</v>
      </c>
      <c r="J313" t="s">
        <v>546</v>
      </c>
      <c r="K313" s="2">
        <v>187.9</v>
      </c>
      <c r="L313" s="2">
        <v>1397.9</v>
      </c>
      <c r="M313" s="2">
        <v>205.9</v>
      </c>
      <c r="N313" s="2">
        <f ca="1">Table1[[#This Row],[2026 (EUR)]]*(1-INDIRECT(Table1[[#This Row],[Discount Name]]))</f>
        <v>187.9</v>
      </c>
      <c r="O313" s="2">
        <f ca="1">Table1[[#This Row],[2026 (DKK)]]*(1-INDIRECT(Table1[[#This Row],[Discount Name]]))</f>
        <v>1397.9</v>
      </c>
      <c r="P313" s="2" cm="1">
        <f t="array" aca="1" ref="P313" ca="1">Table1[[#This Row],[2026 (USD)]]*(1-INDIRECT(Table1[[#This Row],[Discount Name]]))</f>
        <v>205.9</v>
      </c>
      <c r="Q313" s="31">
        <f ca="1">INDIRECT(Table1[[#This Row],[Discount Name]])</f>
        <v>0</v>
      </c>
      <c r="S313" s="2">
        <f t="shared" ca="1" si="8"/>
        <v>187.9</v>
      </c>
      <c r="T313" s="2">
        <f t="shared" ca="1" si="9"/>
        <v>1397.9</v>
      </c>
      <c r="U313" s="71" t="str">
        <f>IFERROR(VLOOKUP(Table1[[#This Row],[No_]],'Customer Net Price'!A:F,5,FALSE),"0")</f>
        <v>0</v>
      </c>
      <c r="V313" s="71" t="str">
        <f>IFERROR(VLOOKUP(Table1[[#This Row],[No_]],'Customer Net Price'!A:G,6,FALSE),"0")</f>
        <v>0</v>
      </c>
    </row>
    <row r="314" spans="1:22" x14ac:dyDescent="0.25">
      <c r="A314" s="23" t="s">
        <v>119</v>
      </c>
      <c r="B314" s="23" t="s">
        <v>119</v>
      </c>
      <c r="C314" t="s">
        <v>222</v>
      </c>
      <c r="D314" t="s">
        <v>791</v>
      </c>
      <c r="F314" t="s">
        <v>921</v>
      </c>
      <c r="G314" t="s">
        <v>921</v>
      </c>
      <c r="H314" s="50" t="s">
        <v>377</v>
      </c>
      <c r="I314">
        <v>6</v>
      </c>
      <c r="J314" t="s">
        <v>546</v>
      </c>
      <c r="K314" s="2">
        <v>439.9</v>
      </c>
      <c r="L314" s="2">
        <v>3272.9</v>
      </c>
      <c r="M314" s="2">
        <v>502.9</v>
      </c>
      <c r="N314" s="2">
        <f ca="1">Table1[[#This Row],[2026 (EUR)]]*(1-INDIRECT(Table1[[#This Row],[Discount Name]]))</f>
        <v>439.9</v>
      </c>
      <c r="O314" s="2">
        <f ca="1">Table1[[#This Row],[2026 (DKK)]]*(1-INDIRECT(Table1[[#This Row],[Discount Name]]))</f>
        <v>3272.9</v>
      </c>
      <c r="P314" s="2" cm="1">
        <f t="array" aca="1" ref="P314" ca="1">Table1[[#This Row],[2026 (USD)]]*(1-INDIRECT(Table1[[#This Row],[Discount Name]]))</f>
        <v>502.9</v>
      </c>
      <c r="Q314" s="31">
        <f ca="1">INDIRECT(Table1[[#This Row],[Discount Name]])</f>
        <v>0</v>
      </c>
      <c r="S314" s="2">
        <f t="shared" ca="1" si="8"/>
        <v>439.9</v>
      </c>
      <c r="T314" s="2">
        <f t="shared" ca="1" si="9"/>
        <v>3272.9</v>
      </c>
      <c r="U314" s="71" t="str">
        <f>IFERROR(VLOOKUP(Table1[[#This Row],[No_]],'Customer Net Price'!A:F,5,FALSE),"0")</f>
        <v>0</v>
      </c>
      <c r="V314" s="71" t="str">
        <f>IFERROR(VLOOKUP(Table1[[#This Row],[No_]],'Customer Net Price'!A:G,6,FALSE),"0")</f>
        <v>0</v>
      </c>
    </row>
    <row r="315" spans="1:22" x14ac:dyDescent="0.25">
      <c r="A315" s="23" t="s">
        <v>522</v>
      </c>
      <c r="B315" s="23" t="s">
        <v>522</v>
      </c>
      <c r="C315" t="s">
        <v>803</v>
      </c>
      <c r="D315" t="s">
        <v>791</v>
      </c>
      <c r="F315" t="s">
        <v>921</v>
      </c>
      <c r="G315" t="s">
        <v>921</v>
      </c>
      <c r="H315" s="1" t="s">
        <v>523</v>
      </c>
      <c r="I315">
        <v>3</v>
      </c>
      <c r="J315" t="s">
        <v>572</v>
      </c>
      <c r="K315" s="2">
        <v>1379.9</v>
      </c>
      <c r="L315" s="2">
        <v>10266.9</v>
      </c>
      <c r="M315" s="2">
        <v>1525.9</v>
      </c>
      <c r="N315" s="2">
        <f ca="1">Table1[[#This Row],[2026 (EUR)]]*(1-INDIRECT(Table1[[#This Row],[Discount Name]]))</f>
        <v>1379.9</v>
      </c>
      <c r="O315" s="2">
        <f ca="1">Table1[[#This Row],[2026 (DKK)]]*(1-INDIRECT(Table1[[#This Row],[Discount Name]]))</f>
        <v>10266.9</v>
      </c>
      <c r="P315" s="2" cm="1">
        <f t="array" aca="1" ref="P315" ca="1">Table1[[#This Row],[2026 (USD)]]*(1-INDIRECT(Table1[[#This Row],[Discount Name]]))</f>
        <v>1525.9</v>
      </c>
      <c r="Q315" s="31">
        <f ca="1">INDIRECT(Table1[[#This Row],[Discount Name]])</f>
        <v>0</v>
      </c>
      <c r="S315" s="2">
        <f t="shared" ca="1" si="8"/>
        <v>1379.9</v>
      </c>
      <c r="T315" s="2">
        <f t="shared" ca="1" si="9"/>
        <v>10266.9</v>
      </c>
      <c r="U315" s="71" t="str">
        <f>IFERROR(VLOOKUP(Table1[[#This Row],[No_]],'Customer Net Price'!A:F,5,FALSE),"0")</f>
        <v>0</v>
      </c>
      <c r="V315" s="71" t="str">
        <f>IFERROR(VLOOKUP(Table1[[#This Row],[No_]],'Customer Net Price'!A:G,6,FALSE),"0")</f>
        <v>0</v>
      </c>
    </row>
    <row r="316" spans="1:22" x14ac:dyDescent="0.25">
      <c r="A316" s="23" t="s">
        <v>525</v>
      </c>
      <c r="B316" s="23" t="s">
        <v>522</v>
      </c>
      <c r="C316" t="s">
        <v>803</v>
      </c>
      <c r="D316" t="s">
        <v>791</v>
      </c>
      <c r="F316" t="s">
        <v>921</v>
      </c>
      <c r="G316" t="s">
        <v>921</v>
      </c>
      <c r="H316" s="1" t="s">
        <v>526</v>
      </c>
      <c r="I316">
        <v>3</v>
      </c>
      <c r="J316" t="s">
        <v>571</v>
      </c>
      <c r="K316" s="2">
        <v>1379.9</v>
      </c>
      <c r="L316" s="2">
        <v>10266.9</v>
      </c>
      <c r="M316" s="2">
        <v>1525.9</v>
      </c>
      <c r="N316" s="2">
        <f ca="1">Table1[[#This Row],[2026 (EUR)]]*(1-INDIRECT(Table1[[#This Row],[Discount Name]]))</f>
        <v>1379.9</v>
      </c>
      <c r="O316" s="2">
        <f ca="1">Table1[[#This Row],[2026 (DKK)]]*(1-INDIRECT(Table1[[#This Row],[Discount Name]]))</f>
        <v>10266.9</v>
      </c>
      <c r="P316" s="2" cm="1">
        <f t="array" aca="1" ref="P316" ca="1">Table1[[#This Row],[2026 (USD)]]*(1-INDIRECT(Table1[[#This Row],[Discount Name]]))</f>
        <v>1525.9</v>
      </c>
      <c r="Q316" s="31">
        <f ca="1">INDIRECT(Table1[[#This Row],[Discount Name]])</f>
        <v>0</v>
      </c>
      <c r="S316" s="2">
        <f t="shared" ca="1" si="8"/>
        <v>1379.9</v>
      </c>
      <c r="T316" s="2">
        <f t="shared" ca="1" si="9"/>
        <v>10266.9</v>
      </c>
      <c r="U316" s="71" t="str">
        <f>IFERROR(VLOOKUP(Table1[[#This Row],[No_]],'Customer Net Price'!A:F,5,FALSE),"0")</f>
        <v>0</v>
      </c>
      <c r="V316" s="71" t="str">
        <f>IFERROR(VLOOKUP(Table1[[#This Row],[No_]],'Customer Net Price'!A:G,6,FALSE),"0")</f>
        <v>0</v>
      </c>
    </row>
    <row r="317" spans="1:22" x14ac:dyDescent="0.25">
      <c r="A317" s="23" t="s">
        <v>1772</v>
      </c>
      <c r="B317" s="23" t="s">
        <v>522</v>
      </c>
      <c r="C317" t="s">
        <v>803</v>
      </c>
      <c r="D317" t="s">
        <v>791</v>
      </c>
      <c r="F317" t="s">
        <v>921</v>
      </c>
      <c r="G317" t="s">
        <v>921</v>
      </c>
      <c r="H317" s="48" t="s">
        <v>1773</v>
      </c>
      <c r="I317" t="s">
        <v>546</v>
      </c>
      <c r="J317" t="s">
        <v>575</v>
      </c>
      <c r="K317" s="2">
        <v>1379.9</v>
      </c>
      <c r="L317" s="2">
        <v>10266.9</v>
      </c>
      <c r="M317" s="2">
        <v>1525.9</v>
      </c>
      <c r="N317" s="2">
        <f ca="1">Table1[[#This Row],[2026 (EUR)]]*(1-INDIRECT(Table1[[#This Row],[Discount Name]]))</f>
        <v>1379.9</v>
      </c>
      <c r="O317" s="2">
        <f ca="1">Table1[[#This Row],[2026 (DKK)]]*(1-INDIRECT(Table1[[#This Row],[Discount Name]]))</f>
        <v>10266.9</v>
      </c>
      <c r="P317" s="2" cm="1">
        <f t="array" aca="1" ref="P317" ca="1">Table1[[#This Row],[2026 (USD)]]*(1-INDIRECT(Table1[[#This Row],[Discount Name]]))</f>
        <v>1525.9</v>
      </c>
      <c r="Q317" s="31">
        <f ca="1">INDIRECT(Table1[[#This Row],[Discount Name]])</f>
        <v>0</v>
      </c>
      <c r="S317" s="2">
        <f t="shared" ca="1" si="8"/>
        <v>1379.9</v>
      </c>
      <c r="T317" s="2">
        <f t="shared" ca="1" si="9"/>
        <v>10266.9</v>
      </c>
      <c r="U317" s="71" t="str">
        <f>IFERROR(VLOOKUP(Table1[[#This Row],[No_]],'Customer Net Price'!A:F,5,FALSE),"0")</f>
        <v>0</v>
      </c>
      <c r="V317" s="71" t="str">
        <f>IFERROR(VLOOKUP(Table1[[#This Row],[No_]],'Customer Net Price'!A:G,6,FALSE),"0")</f>
        <v>0</v>
      </c>
    </row>
    <row r="318" spans="1:22" x14ac:dyDescent="0.25">
      <c r="A318" s="23" t="s">
        <v>1292</v>
      </c>
      <c r="B318" s="23" t="s">
        <v>522</v>
      </c>
      <c r="C318" t="s">
        <v>803</v>
      </c>
      <c r="D318" t="s">
        <v>791</v>
      </c>
      <c r="F318" t="s">
        <v>921</v>
      </c>
      <c r="G318" t="s">
        <v>921</v>
      </c>
      <c r="H318" s="48" t="s">
        <v>1293</v>
      </c>
      <c r="I318">
        <v>3</v>
      </c>
      <c r="J318" t="s">
        <v>1184</v>
      </c>
      <c r="K318" s="2">
        <v>1379.9</v>
      </c>
      <c r="L318" s="2">
        <v>10266.9</v>
      </c>
      <c r="M318" s="2">
        <v>1525.9</v>
      </c>
      <c r="N318" s="2">
        <f ca="1">Table1[[#This Row],[2026 (EUR)]]*(1-INDIRECT(Table1[[#This Row],[Discount Name]]))</f>
        <v>1379.9</v>
      </c>
      <c r="O318" s="2">
        <f ca="1">Table1[[#This Row],[2026 (DKK)]]*(1-INDIRECT(Table1[[#This Row],[Discount Name]]))</f>
        <v>10266.9</v>
      </c>
      <c r="P318" s="2" cm="1">
        <f t="array" aca="1" ref="P318" ca="1">Table1[[#This Row],[2026 (USD)]]*(1-INDIRECT(Table1[[#This Row],[Discount Name]]))</f>
        <v>1525.9</v>
      </c>
      <c r="Q318" s="31">
        <f ca="1">INDIRECT(Table1[[#This Row],[Discount Name]])</f>
        <v>0</v>
      </c>
      <c r="S318" s="2">
        <f t="shared" ca="1" si="8"/>
        <v>1379.9</v>
      </c>
      <c r="T318" s="2">
        <f t="shared" ca="1" si="9"/>
        <v>10266.9</v>
      </c>
      <c r="U318" s="71" t="str">
        <f>IFERROR(VLOOKUP(Table1[[#This Row],[No_]],'Customer Net Price'!A:F,5,FALSE),"0")</f>
        <v>0</v>
      </c>
      <c r="V318" s="71" t="str">
        <f>IFERROR(VLOOKUP(Table1[[#This Row],[No_]],'Customer Net Price'!A:G,6,FALSE),"0")</f>
        <v>0</v>
      </c>
    </row>
    <row r="319" spans="1:22" x14ac:dyDescent="0.25">
      <c r="A319" s="23" t="s">
        <v>524</v>
      </c>
      <c r="B319" s="23" t="s">
        <v>522</v>
      </c>
      <c r="C319" t="s">
        <v>803</v>
      </c>
      <c r="D319" t="s">
        <v>791</v>
      </c>
      <c r="F319" t="s">
        <v>921</v>
      </c>
      <c r="G319" t="s">
        <v>921</v>
      </c>
      <c r="H319" s="1" t="s">
        <v>527</v>
      </c>
      <c r="I319">
        <v>3</v>
      </c>
      <c r="J319" t="s">
        <v>570</v>
      </c>
      <c r="K319" s="2">
        <v>1379.9</v>
      </c>
      <c r="L319" s="2">
        <v>10266.9</v>
      </c>
      <c r="M319" s="2">
        <v>1525.9</v>
      </c>
      <c r="N319" s="2">
        <f ca="1">Table1[[#This Row],[2026 (EUR)]]*(1-INDIRECT(Table1[[#This Row],[Discount Name]]))</f>
        <v>1379.9</v>
      </c>
      <c r="O319" s="2">
        <f ca="1">Table1[[#This Row],[2026 (DKK)]]*(1-INDIRECT(Table1[[#This Row],[Discount Name]]))</f>
        <v>10266.9</v>
      </c>
      <c r="P319" s="2" cm="1">
        <f t="array" aca="1" ref="P319" ca="1">Table1[[#This Row],[2026 (USD)]]*(1-INDIRECT(Table1[[#This Row],[Discount Name]]))</f>
        <v>1525.9</v>
      </c>
      <c r="Q319" s="31">
        <f ca="1">INDIRECT(Table1[[#This Row],[Discount Name]])</f>
        <v>0</v>
      </c>
      <c r="S319" s="2">
        <f t="shared" ca="1" si="8"/>
        <v>1379.9</v>
      </c>
      <c r="T319" s="2">
        <f t="shared" ca="1" si="9"/>
        <v>10266.9</v>
      </c>
      <c r="U319" s="71" t="str">
        <f>IFERROR(VLOOKUP(Table1[[#This Row],[No_]],'Customer Net Price'!A:F,5,FALSE),"0")</f>
        <v>0</v>
      </c>
      <c r="V319" s="71" t="str">
        <f>IFERROR(VLOOKUP(Table1[[#This Row],[No_]],'Customer Net Price'!A:G,6,FALSE),"0")</f>
        <v>0</v>
      </c>
    </row>
    <row r="320" spans="1:22" x14ac:dyDescent="0.25">
      <c r="A320" s="23" t="s">
        <v>804</v>
      </c>
      <c r="B320" s="23" t="s">
        <v>522</v>
      </c>
      <c r="C320" t="s">
        <v>803</v>
      </c>
      <c r="D320" t="s">
        <v>791</v>
      </c>
      <c r="F320" t="s">
        <v>921</v>
      </c>
      <c r="G320" t="s">
        <v>921</v>
      </c>
      <c r="H320" s="1" t="s">
        <v>805</v>
      </c>
      <c r="I320">
        <v>3</v>
      </c>
      <c r="J320" t="s">
        <v>562</v>
      </c>
      <c r="K320" s="2">
        <v>1379.9</v>
      </c>
      <c r="L320" s="2">
        <v>10266.9</v>
      </c>
      <c r="M320" s="2">
        <v>1525.9</v>
      </c>
      <c r="N320" s="2">
        <f ca="1">Table1[[#This Row],[2026 (EUR)]]*(1-INDIRECT(Table1[[#This Row],[Discount Name]]))</f>
        <v>1379.9</v>
      </c>
      <c r="O320" s="2">
        <f ca="1">Table1[[#This Row],[2026 (DKK)]]*(1-INDIRECT(Table1[[#This Row],[Discount Name]]))</f>
        <v>10266.9</v>
      </c>
      <c r="P320" s="2" cm="1">
        <f t="array" aca="1" ref="P320" ca="1">Table1[[#This Row],[2026 (USD)]]*(1-INDIRECT(Table1[[#This Row],[Discount Name]]))</f>
        <v>1525.9</v>
      </c>
      <c r="Q320" s="31">
        <f ca="1">INDIRECT(Table1[[#This Row],[Discount Name]])</f>
        <v>0</v>
      </c>
      <c r="S320" s="2">
        <f t="shared" ca="1" si="8"/>
        <v>1379.9</v>
      </c>
      <c r="T320" s="2">
        <f t="shared" ca="1" si="9"/>
        <v>10266.9</v>
      </c>
      <c r="U320" s="71" t="str">
        <f>IFERROR(VLOOKUP(Table1[[#This Row],[No_]],'Customer Net Price'!A:F,5,FALSE),"0")</f>
        <v>0</v>
      </c>
      <c r="V320" s="71" t="str">
        <f>IFERROR(VLOOKUP(Table1[[#This Row],[No_]],'Customer Net Price'!A:G,6,FALSE),"0")</f>
        <v>0</v>
      </c>
    </row>
    <row r="321" spans="1:22" x14ac:dyDescent="0.25">
      <c r="A321" s="23" t="s">
        <v>1144</v>
      </c>
      <c r="B321" s="23" t="s">
        <v>1144</v>
      </c>
      <c r="C321" t="s">
        <v>1147</v>
      </c>
      <c r="D321" t="s">
        <v>305</v>
      </c>
      <c r="E321" t="s">
        <v>544</v>
      </c>
      <c r="F321" t="s">
        <v>918</v>
      </c>
      <c r="G321" t="s">
        <v>923</v>
      </c>
      <c r="H321" s="46" t="s">
        <v>1145</v>
      </c>
      <c r="I321" s="17">
        <v>96</v>
      </c>
      <c r="J321" t="s">
        <v>546</v>
      </c>
      <c r="K321" s="2">
        <v>30.9</v>
      </c>
      <c r="L321" s="2">
        <v>229.9</v>
      </c>
      <c r="M321" s="2">
        <v>35.9</v>
      </c>
      <c r="N321" s="2">
        <f ca="1">Table1[[#This Row],[2026 (EUR)]]*(1-INDIRECT(Table1[[#This Row],[Discount Name]]))</f>
        <v>30.9</v>
      </c>
      <c r="O321" s="2">
        <f ca="1">Table1[[#This Row],[2026 (DKK)]]*(1-INDIRECT(Table1[[#This Row],[Discount Name]]))</f>
        <v>229.9</v>
      </c>
      <c r="P321" s="2" cm="1">
        <f t="array" aca="1" ref="P321" ca="1">Table1[[#This Row],[2026 (USD)]]*(1-INDIRECT(Table1[[#This Row],[Discount Name]]))</f>
        <v>35.9</v>
      </c>
      <c r="Q321" s="31">
        <f ca="1">INDIRECT(Table1[[#This Row],[Discount Name]])</f>
        <v>0</v>
      </c>
      <c r="S321" s="2">
        <f t="shared" ref="S321:S383" ca="1" si="10">IF(MAX(U321:U321)=0,+N321,MAX(U321:U321))</f>
        <v>30.9</v>
      </c>
      <c r="T321" s="2">
        <f t="shared" ref="T321:T383" ca="1" si="11">IF(MAX(V321:V321)=0,+O321,MAX(V321:V321))</f>
        <v>229.9</v>
      </c>
      <c r="U321" s="71" t="str">
        <f>IFERROR(VLOOKUP(Table1[[#This Row],[No_]],'Customer Net Price'!A:F,5,FALSE),"0")</f>
        <v>0</v>
      </c>
      <c r="V321" s="71" t="str">
        <f>IFERROR(VLOOKUP(Table1[[#This Row],[No_]],'Customer Net Price'!A:G,6,FALSE),"0")</f>
        <v>0</v>
      </c>
    </row>
    <row r="322" spans="1:22" x14ac:dyDescent="0.25">
      <c r="A322" s="23" t="s">
        <v>1146</v>
      </c>
      <c r="B322" s="23" t="s">
        <v>1146</v>
      </c>
      <c r="C322" t="s">
        <v>1148</v>
      </c>
      <c r="D322" t="s">
        <v>305</v>
      </c>
      <c r="E322" t="s">
        <v>544</v>
      </c>
      <c r="F322" t="s">
        <v>918</v>
      </c>
      <c r="G322" t="s">
        <v>923</v>
      </c>
      <c r="H322" s="46" t="s">
        <v>1149</v>
      </c>
      <c r="I322" s="17">
        <v>48</v>
      </c>
      <c r="J322" t="s">
        <v>546</v>
      </c>
      <c r="K322" s="2">
        <v>41.9</v>
      </c>
      <c r="L322" s="2">
        <v>309.89999999999998</v>
      </c>
      <c r="M322" s="2">
        <v>45.9</v>
      </c>
      <c r="N322" s="2">
        <f ca="1">Table1[[#This Row],[2026 (EUR)]]*(1-INDIRECT(Table1[[#This Row],[Discount Name]]))</f>
        <v>41.9</v>
      </c>
      <c r="O322" s="2">
        <f ca="1">Table1[[#This Row],[2026 (DKK)]]*(1-INDIRECT(Table1[[#This Row],[Discount Name]]))</f>
        <v>309.89999999999998</v>
      </c>
      <c r="P322" s="2" cm="1">
        <f t="array" aca="1" ref="P322" ca="1">Table1[[#This Row],[2026 (USD)]]*(1-INDIRECT(Table1[[#This Row],[Discount Name]]))</f>
        <v>45.9</v>
      </c>
      <c r="Q322" s="31">
        <f ca="1">INDIRECT(Table1[[#This Row],[Discount Name]])</f>
        <v>0</v>
      </c>
      <c r="S322" s="2">
        <f t="shared" ca="1" si="10"/>
        <v>41.9</v>
      </c>
      <c r="T322" s="2">
        <f t="shared" ca="1" si="11"/>
        <v>309.89999999999998</v>
      </c>
      <c r="U322" s="71" t="str">
        <f>IFERROR(VLOOKUP(Table1[[#This Row],[No_]],'Customer Net Price'!A:F,5,FALSE),"0")</f>
        <v>0</v>
      </c>
      <c r="V322" s="71" t="str">
        <f>IFERROR(VLOOKUP(Table1[[#This Row],[No_]],'Customer Net Price'!A:G,6,FALSE),"0")</f>
        <v>0</v>
      </c>
    </row>
    <row r="323" spans="1:22" x14ac:dyDescent="0.25">
      <c r="A323" s="23" t="s">
        <v>1265</v>
      </c>
      <c r="B323" s="23" t="s">
        <v>1265</v>
      </c>
      <c r="C323" t="s">
        <v>1148</v>
      </c>
      <c r="D323" t="s">
        <v>305</v>
      </c>
      <c r="E323" t="s">
        <v>544</v>
      </c>
      <c r="F323" t="s">
        <v>918</v>
      </c>
      <c r="G323" t="s">
        <v>923</v>
      </c>
      <c r="H323" s="23" t="s">
        <v>1285</v>
      </c>
      <c r="I323">
        <v>48</v>
      </c>
      <c r="J323" t="s">
        <v>546</v>
      </c>
      <c r="K323" s="2">
        <v>41.9</v>
      </c>
      <c r="L323" s="2">
        <v>309.89999999999998</v>
      </c>
      <c r="M323" s="2">
        <v>45.9</v>
      </c>
      <c r="N323" s="2">
        <f ca="1">Table1[[#This Row],[2026 (EUR)]]*(1-INDIRECT(Table1[[#This Row],[Discount Name]]))</f>
        <v>41.9</v>
      </c>
      <c r="O323" s="2">
        <f ca="1">Table1[[#This Row],[2026 (DKK)]]*(1-INDIRECT(Table1[[#This Row],[Discount Name]]))</f>
        <v>309.89999999999998</v>
      </c>
      <c r="P323" s="2" cm="1">
        <f t="array" aca="1" ref="P323" ca="1">Table1[[#This Row],[2026 (USD)]]*(1-INDIRECT(Table1[[#This Row],[Discount Name]]))</f>
        <v>45.9</v>
      </c>
      <c r="Q323" s="31">
        <f ca="1">INDIRECT(Table1[[#This Row],[Discount Name]])</f>
        <v>0</v>
      </c>
      <c r="S323" s="2">
        <f t="shared" ca="1" si="10"/>
        <v>41.9</v>
      </c>
      <c r="T323" s="2">
        <f t="shared" ca="1" si="11"/>
        <v>309.89999999999998</v>
      </c>
      <c r="U323" s="71" t="str">
        <f>IFERROR(VLOOKUP(Table1[[#This Row],[No_]],'Customer Net Price'!A:F,5,FALSE),"0")</f>
        <v>0</v>
      </c>
      <c r="V323" s="71" t="str">
        <f>IFERROR(VLOOKUP(Table1[[#This Row],[No_]],'Customer Net Price'!A:G,6,FALSE),"0")</f>
        <v>0</v>
      </c>
    </row>
    <row r="324" spans="1:22" x14ac:dyDescent="0.25">
      <c r="A324" s="23" t="s">
        <v>1677</v>
      </c>
      <c r="B324" s="23" t="s">
        <v>1677</v>
      </c>
      <c r="C324" t="s">
        <v>1678</v>
      </c>
      <c r="D324" t="s">
        <v>305</v>
      </c>
      <c r="E324" t="s">
        <v>1205</v>
      </c>
      <c r="F324" t="s">
        <v>924</v>
      </c>
      <c r="G324" t="s">
        <v>924</v>
      </c>
      <c r="H324" s="48" t="s">
        <v>1679</v>
      </c>
      <c r="I324" t="s">
        <v>546</v>
      </c>
      <c r="J324" t="s">
        <v>1382</v>
      </c>
      <c r="K324" s="2">
        <v>419.9</v>
      </c>
      <c r="L324" s="2">
        <v>3124.9</v>
      </c>
      <c r="M324" s="2">
        <v>459.9</v>
      </c>
      <c r="N324" s="2">
        <f ca="1">Table1[[#This Row],[2026 (EUR)]]*(1-INDIRECT(Table1[[#This Row],[Discount Name]]))</f>
        <v>419.9</v>
      </c>
      <c r="O324" s="2">
        <f ca="1">Table1[[#This Row],[2026 (DKK)]]*(1-INDIRECT(Table1[[#This Row],[Discount Name]]))</f>
        <v>3124.9</v>
      </c>
      <c r="P324" s="2" cm="1">
        <f t="array" aca="1" ref="P324" ca="1">Table1[[#This Row],[2026 (USD)]]*(1-INDIRECT(Table1[[#This Row],[Discount Name]]))</f>
        <v>459.9</v>
      </c>
      <c r="Q324" s="31">
        <f ca="1">INDIRECT(Table1[[#This Row],[Discount Name]])</f>
        <v>0</v>
      </c>
      <c r="S324" s="2">
        <f t="shared" ca="1" si="10"/>
        <v>419.9</v>
      </c>
      <c r="T324" s="2">
        <f t="shared" ca="1" si="11"/>
        <v>3124.9</v>
      </c>
      <c r="U324" s="71" t="str">
        <f>IFERROR(VLOOKUP(Table1[[#This Row],[No_]],'Customer Net Price'!A:F,5,FALSE),"0")</f>
        <v>0</v>
      </c>
      <c r="V324" s="71" t="str">
        <f>IFERROR(VLOOKUP(Table1[[#This Row],[No_]],'Customer Net Price'!A:G,6,FALSE),"0")</f>
        <v>0</v>
      </c>
    </row>
    <row r="325" spans="1:22" x14ac:dyDescent="0.25">
      <c r="A325" s="23" t="s">
        <v>1745</v>
      </c>
      <c r="B325" s="23" t="s">
        <v>1677</v>
      </c>
      <c r="C325" t="s">
        <v>1678</v>
      </c>
      <c r="D325" t="s">
        <v>305</v>
      </c>
      <c r="E325" t="s">
        <v>1205</v>
      </c>
      <c r="F325" t="s">
        <v>924</v>
      </c>
      <c r="G325" t="s">
        <v>924</v>
      </c>
      <c r="H325" s="48" t="s">
        <v>1746</v>
      </c>
      <c r="I325" t="s">
        <v>546</v>
      </c>
      <c r="J325" t="s">
        <v>903</v>
      </c>
      <c r="K325" s="2">
        <v>419.9</v>
      </c>
      <c r="L325" s="2">
        <v>3124.9</v>
      </c>
      <c r="M325" s="2">
        <v>459.9</v>
      </c>
      <c r="N325" s="2">
        <f ca="1">Table1[[#This Row],[2026 (EUR)]]*(1-INDIRECT(Table1[[#This Row],[Discount Name]]))</f>
        <v>419.9</v>
      </c>
      <c r="O325" s="2">
        <f ca="1">Table1[[#This Row],[2026 (DKK)]]*(1-INDIRECT(Table1[[#This Row],[Discount Name]]))</f>
        <v>3124.9</v>
      </c>
      <c r="P325" s="2" cm="1">
        <f t="array" aca="1" ref="P325" ca="1">Table1[[#This Row],[2026 (USD)]]*(1-INDIRECT(Table1[[#This Row],[Discount Name]]))</f>
        <v>459.9</v>
      </c>
      <c r="Q325" s="31">
        <f ca="1">INDIRECT(Table1[[#This Row],[Discount Name]])</f>
        <v>0</v>
      </c>
      <c r="S325" s="2">
        <f t="shared" ca="1" si="10"/>
        <v>419.9</v>
      </c>
      <c r="T325" s="2">
        <f t="shared" ca="1" si="11"/>
        <v>3124.9</v>
      </c>
      <c r="U325" s="71" t="str">
        <f>IFERROR(VLOOKUP(Table1[[#This Row],[No_]],'Customer Net Price'!A:F,5,FALSE),"0")</f>
        <v>0</v>
      </c>
      <c r="V325" s="71" t="str">
        <f>IFERROR(VLOOKUP(Table1[[#This Row],[No_]],'Customer Net Price'!A:G,6,FALSE),"0")</f>
        <v>0</v>
      </c>
    </row>
    <row r="326" spans="1:22" x14ac:dyDescent="0.25">
      <c r="A326" s="23" t="s">
        <v>1747</v>
      </c>
      <c r="B326" s="23" t="s">
        <v>1677</v>
      </c>
      <c r="C326" t="s">
        <v>1678</v>
      </c>
      <c r="D326" t="s">
        <v>305</v>
      </c>
      <c r="E326" t="s">
        <v>1205</v>
      </c>
      <c r="F326" t="s">
        <v>924</v>
      </c>
      <c r="G326" t="s">
        <v>924</v>
      </c>
      <c r="H326" s="48" t="s">
        <v>1748</v>
      </c>
      <c r="I326" t="s">
        <v>546</v>
      </c>
      <c r="J326" t="s">
        <v>570</v>
      </c>
      <c r="K326" s="2">
        <v>419.9</v>
      </c>
      <c r="L326" s="2">
        <v>3124.9</v>
      </c>
      <c r="M326" s="2">
        <v>459.9</v>
      </c>
      <c r="N326" s="2">
        <f ca="1">Table1[[#This Row],[2026 (EUR)]]*(1-INDIRECT(Table1[[#This Row],[Discount Name]]))</f>
        <v>419.9</v>
      </c>
      <c r="O326" s="2">
        <f ca="1">Table1[[#This Row],[2026 (DKK)]]*(1-INDIRECT(Table1[[#This Row],[Discount Name]]))</f>
        <v>3124.9</v>
      </c>
      <c r="P326" s="2" cm="1">
        <f t="array" aca="1" ref="P326" ca="1">Table1[[#This Row],[2026 (USD)]]*(1-INDIRECT(Table1[[#This Row],[Discount Name]]))</f>
        <v>459.9</v>
      </c>
      <c r="Q326" s="31">
        <f ca="1">INDIRECT(Table1[[#This Row],[Discount Name]])</f>
        <v>0</v>
      </c>
      <c r="S326" s="2">
        <f t="shared" ca="1" si="10"/>
        <v>419.9</v>
      </c>
      <c r="T326" s="2">
        <f t="shared" ca="1" si="11"/>
        <v>3124.9</v>
      </c>
      <c r="U326" s="71" t="str">
        <f>IFERROR(VLOOKUP(Table1[[#This Row],[No_]],'Customer Net Price'!A:F,5,FALSE),"0")</f>
        <v>0</v>
      </c>
      <c r="V326" s="71" t="str">
        <f>IFERROR(VLOOKUP(Table1[[#This Row],[No_]],'Customer Net Price'!A:G,6,FALSE),"0")</f>
        <v>0</v>
      </c>
    </row>
    <row r="327" spans="1:22" x14ac:dyDescent="0.25">
      <c r="A327" s="23" t="s">
        <v>1683</v>
      </c>
      <c r="B327" s="23" t="s">
        <v>1683</v>
      </c>
      <c r="C327" t="s">
        <v>1686</v>
      </c>
      <c r="D327" t="s">
        <v>305</v>
      </c>
      <c r="E327" t="s">
        <v>1205</v>
      </c>
      <c r="F327" t="s">
        <v>1689</v>
      </c>
      <c r="G327" t="s">
        <v>1689</v>
      </c>
      <c r="H327" s="48" t="s">
        <v>1690</v>
      </c>
      <c r="I327" t="s">
        <v>546</v>
      </c>
      <c r="J327" t="s">
        <v>1382</v>
      </c>
      <c r="K327" s="71" t="s">
        <v>1693</v>
      </c>
      <c r="L327" s="71" t="s">
        <v>1693</v>
      </c>
      <c r="M327" s="71" t="s">
        <v>1693</v>
      </c>
      <c r="N327" s="71" t="s">
        <v>1693</v>
      </c>
      <c r="O327" s="71" t="s">
        <v>1693</v>
      </c>
      <c r="P327" s="71" t="s">
        <v>1693</v>
      </c>
      <c r="Q327" s="31" t="s">
        <v>546</v>
      </c>
      <c r="R327" s="71"/>
      <c r="S327" s="71" t="str">
        <f t="shared" si="10"/>
        <v>Net</v>
      </c>
      <c r="T327" s="71" t="str">
        <f t="shared" si="11"/>
        <v>Net</v>
      </c>
      <c r="U327" s="71" t="str">
        <f>IFERROR(VLOOKUP(Table1[[#This Row],[No_]],'Customer Net Price'!A:F,5,FALSE),"0")</f>
        <v>0</v>
      </c>
      <c r="V327" s="71" t="str">
        <f>IFERROR(VLOOKUP(Table1[[#This Row],[No_]],'Customer Net Price'!A:G,6,FALSE),"0")</f>
        <v>0</v>
      </c>
    </row>
    <row r="328" spans="1:22" x14ac:dyDescent="0.25">
      <c r="A328" s="23" t="s">
        <v>1739</v>
      </c>
      <c r="B328" s="23" t="s">
        <v>1683</v>
      </c>
      <c r="C328" t="s">
        <v>1686</v>
      </c>
      <c r="D328" t="s">
        <v>305</v>
      </c>
      <c r="E328" t="s">
        <v>1205</v>
      </c>
      <c r="F328" t="s">
        <v>1689</v>
      </c>
      <c r="G328" t="s">
        <v>1689</v>
      </c>
      <c r="H328" s="48" t="s">
        <v>1742</v>
      </c>
      <c r="I328" t="s">
        <v>546</v>
      </c>
      <c r="J328" t="s">
        <v>903</v>
      </c>
      <c r="K328" s="71" t="s">
        <v>1693</v>
      </c>
      <c r="L328" s="71" t="s">
        <v>1693</v>
      </c>
      <c r="M328" s="71" t="s">
        <v>1693</v>
      </c>
      <c r="N328" s="71" t="s">
        <v>1693</v>
      </c>
      <c r="O328" s="71" t="s">
        <v>1693</v>
      </c>
      <c r="P328" s="71" t="s">
        <v>1693</v>
      </c>
      <c r="Q328" s="31" t="s">
        <v>546</v>
      </c>
      <c r="R328" s="71"/>
      <c r="S328" s="71" t="str">
        <f t="shared" si="10"/>
        <v>Net</v>
      </c>
      <c r="T328" s="71" t="str">
        <f t="shared" si="11"/>
        <v>Net</v>
      </c>
      <c r="U328" s="71" t="str">
        <f>IFERROR(VLOOKUP(Table1[[#This Row],[No_]],'Customer Net Price'!A:F,5,FALSE),"0")</f>
        <v>0</v>
      </c>
      <c r="V328" s="71" t="str">
        <f>IFERROR(VLOOKUP(Table1[[#This Row],[No_]],'Customer Net Price'!A:G,6,FALSE),"0")</f>
        <v>0</v>
      </c>
    </row>
    <row r="329" spans="1:22" x14ac:dyDescent="0.25">
      <c r="A329" s="23" t="s">
        <v>1684</v>
      </c>
      <c r="B329" s="23" t="s">
        <v>1684</v>
      </c>
      <c r="C329" t="s">
        <v>1687</v>
      </c>
      <c r="D329" t="s">
        <v>305</v>
      </c>
      <c r="E329" t="s">
        <v>1205</v>
      </c>
      <c r="F329" t="s">
        <v>1689</v>
      </c>
      <c r="G329" t="s">
        <v>1689</v>
      </c>
      <c r="H329" s="48" t="s">
        <v>1691</v>
      </c>
      <c r="I329" t="s">
        <v>546</v>
      </c>
      <c r="J329" t="s">
        <v>1382</v>
      </c>
      <c r="K329" s="71" t="s">
        <v>1693</v>
      </c>
      <c r="L329" s="71" t="s">
        <v>1693</v>
      </c>
      <c r="M329" s="71" t="s">
        <v>1693</v>
      </c>
      <c r="N329" s="71" t="s">
        <v>1693</v>
      </c>
      <c r="O329" s="71" t="s">
        <v>1693</v>
      </c>
      <c r="P329" s="71" t="s">
        <v>1693</v>
      </c>
      <c r="Q329" s="31" t="s">
        <v>546</v>
      </c>
      <c r="R329" s="71"/>
      <c r="S329" s="71" t="str">
        <f t="shared" si="10"/>
        <v>Net</v>
      </c>
      <c r="T329" s="71" t="str">
        <f t="shared" si="11"/>
        <v>Net</v>
      </c>
      <c r="U329" s="71" t="str">
        <f>IFERROR(VLOOKUP(Table1[[#This Row],[No_]],'Customer Net Price'!A:F,5,FALSE),"0")</f>
        <v>0</v>
      </c>
      <c r="V329" s="71" t="str">
        <f>IFERROR(VLOOKUP(Table1[[#This Row],[No_]],'Customer Net Price'!A:G,6,FALSE),"0")</f>
        <v>0</v>
      </c>
    </row>
    <row r="330" spans="1:22" x14ac:dyDescent="0.25">
      <c r="A330" s="23" t="s">
        <v>1740</v>
      </c>
      <c r="B330" s="23" t="s">
        <v>1684</v>
      </c>
      <c r="C330" t="s">
        <v>1687</v>
      </c>
      <c r="D330" t="s">
        <v>305</v>
      </c>
      <c r="E330" t="s">
        <v>1205</v>
      </c>
      <c r="F330" t="s">
        <v>1689</v>
      </c>
      <c r="G330" t="s">
        <v>1689</v>
      </c>
      <c r="H330" s="48" t="s">
        <v>1743</v>
      </c>
      <c r="I330" t="s">
        <v>546</v>
      </c>
      <c r="J330" t="s">
        <v>903</v>
      </c>
      <c r="K330" s="71" t="s">
        <v>1693</v>
      </c>
      <c r="L330" s="71" t="s">
        <v>1693</v>
      </c>
      <c r="M330" s="71" t="s">
        <v>1693</v>
      </c>
      <c r="N330" s="71" t="s">
        <v>1693</v>
      </c>
      <c r="O330" s="71" t="s">
        <v>1693</v>
      </c>
      <c r="P330" s="71" t="s">
        <v>1693</v>
      </c>
      <c r="Q330" s="31" t="s">
        <v>546</v>
      </c>
      <c r="R330" s="71"/>
      <c r="S330" s="71" t="str">
        <f t="shared" si="10"/>
        <v>Net</v>
      </c>
      <c r="T330" s="71" t="str">
        <f t="shared" si="11"/>
        <v>Net</v>
      </c>
      <c r="U330" s="71" t="str">
        <f>IFERROR(VLOOKUP(Table1[[#This Row],[No_]],'Customer Net Price'!A:F,5,FALSE),"0")</f>
        <v>0</v>
      </c>
      <c r="V330" s="71" t="str">
        <f>IFERROR(VLOOKUP(Table1[[#This Row],[No_]],'Customer Net Price'!A:G,6,FALSE),"0")</f>
        <v>0</v>
      </c>
    </row>
    <row r="331" spans="1:22" x14ac:dyDescent="0.25">
      <c r="A331" s="23" t="s">
        <v>1685</v>
      </c>
      <c r="B331" s="23" t="s">
        <v>1685</v>
      </c>
      <c r="C331" t="s">
        <v>1688</v>
      </c>
      <c r="D331" t="s">
        <v>305</v>
      </c>
      <c r="E331" t="s">
        <v>1205</v>
      </c>
      <c r="F331" t="s">
        <v>1689</v>
      </c>
      <c r="G331" t="s">
        <v>1689</v>
      </c>
      <c r="H331" s="48" t="s">
        <v>1692</v>
      </c>
      <c r="I331" t="s">
        <v>546</v>
      </c>
      <c r="J331" t="s">
        <v>1382</v>
      </c>
      <c r="K331" s="71" t="s">
        <v>1693</v>
      </c>
      <c r="L331" s="71" t="s">
        <v>1693</v>
      </c>
      <c r="M331" s="71" t="s">
        <v>1693</v>
      </c>
      <c r="N331" s="71" t="s">
        <v>1693</v>
      </c>
      <c r="O331" s="71" t="s">
        <v>1693</v>
      </c>
      <c r="P331" s="71" t="s">
        <v>1693</v>
      </c>
      <c r="Q331" s="31" t="s">
        <v>546</v>
      </c>
      <c r="R331" s="71"/>
      <c r="S331" s="71" t="str">
        <f t="shared" si="10"/>
        <v>Net</v>
      </c>
      <c r="T331" s="71" t="str">
        <f t="shared" si="11"/>
        <v>Net</v>
      </c>
      <c r="U331" s="71" t="str">
        <f>IFERROR(VLOOKUP(Table1[[#This Row],[No_]],'Customer Net Price'!A:F,5,FALSE),"0")</f>
        <v>0</v>
      </c>
      <c r="V331" s="71" t="str">
        <f>IFERROR(VLOOKUP(Table1[[#This Row],[No_]],'Customer Net Price'!A:G,6,FALSE),"0")</f>
        <v>0</v>
      </c>
    </row>
    <row r="332" spans="1:22" x14ac:dyDescent="0.25">
      <c r="A332" s="23" t="s">
        <v>1741</v>
      </c>
      <c r="B332" s="23" t="s">
        <v>1685</v>
      </c>
      <c r="C332" t="s">
        <v>1688</v>
      </c>
      <c r="D332" t="s">
        <v>305</v>
      </c>
      <c r="E332" t="s">
        <v>1205</v>
      </c>
      <c r="F332" t="s">
        <v>1689</v>
      </c>
      <c r="G332" t="s">
        <v>1689</v>
      </c>
      <c r="H332" s="48" t="s">
        <v>1744</v>
      </c>
      <c r="I332" t="s">
        <v>546</v>
      </c>
      <c r="J332" t="s">
        <v>903</v>
      </c>
      <c r="K332" s="71" t="s">
        <v>1693</v>
      </c>
      <c r="L332" s="71" t="s">
        <v>1693</v>
      </c>
      <c r="M332" s="71" t="s">
        <v>1693</v>
      </c>
      <c r="N332" s="71" t="s">
        <v>1693</v>
      </c>
      <c r="O332" s="71" t="s">
        <v>1693</v>
      </c>
      <c r="P332" s="71" t="s">
        <v>1693</v>
      </c>
      <c r="Q332" s="31" t="s">
        <v>546</v>
      </c>
      <c r="R332" s="71"/>
      <c r="S332" s="71" t="str">
        <f t="shared" si="10"/>
        <v>Net</v>
      </c>
      <c r="T332" s="71" t="str">
        <f t="shared" si="11"/>
        <v>Net</v>
      </c>
      <c r="U332" s="71" t="str">
        <f>IFERROR(VLOOKUP(Table1[[#This Row],[No_]],'Customer Net Price'!A:F,5,FALSE),"0")</f>
        <v>0</v>
      </c>
      <c r="V332" s="71" t="str">
        <f>IFERROR(VLOOKUP(Table1[[#This Row],[No_]],'Customer Net Price'!A:G,6,FALSE),"0")</f>
        <v>0</v>
      </c>
    </row>
    <row r="333" spans="1:22" x14ac:dyDescent="0.25">
      <c r="A333" s="23" t="s">
        <v>1159</v>
      </c>
      <c r="B333" s="23" t="s">
        <v>1159</v>
      </c>
      <c r="C333" t="s">
        <v>1160</v>
      </c>
      <c r="D333" t="s">
        <v>305</v>
      </c>
      <c r="E333" t="s">
        <v>544</v>
      </c>
      <c r="F333" t="s">
        <v>916</v>
      </c>
      <c r="G333" t="s">
        <v>916</v>
      </c>
      <c r="H333" s="46" t="s">
        <v>1161</v>
      </c>
      <c r="I333" s="17">
        <v>24</v>
      </c>
      <c r="J333" t="s">
        <v>546</v>
      </c>
      <c r="K333" s="2">
        <v>39.9</v>
      </c>
      <c r="L333" s="2">
        <v>299.89999999999998</v>
      </c>
      <c r="M333" s="2">
        <v>48.9</v>
      </c>
      <c r="N333" s="2">
        <f ca="1">Table1[[#This Row],[2026 (EUR)]]*(1-INDIRECT(Table1[[#This Row],[Discount Name]]))</f>
        <v>39.9</v>
      </c>
      <c r="O333" s="2">
        <f ca="1">Table1[[#This Row],[2026 (DKK)]]*(1-INDIRECT(Table1[[#This Row],[Discount Name]]))</f>
        <v>299.89999999999998</v>
      </c>
      <c r="P333" s="2" cm="1">
        <f t="array" aca="1" ref="P333" ca="1">Table1[[#This Row],[2026 (USD)]]*(1-INDIRECT(Table1[[#This Row],[Discount Name]]))</f>
        <v>48.9</v>
      </c>
      <c r="Q333" s="31">
        <f ca="1">INDIRECT(Table1[[#This Row],[Discount Name]])</f>
        <v>0</v>
      </c>
      <c r="S333" s="2">
        <f t="shared" ca="1" si="10"/>
        <v>39.9</v>
      </c>
      <c r="T333" s="2">
        <f t="shared" ca="1" si="11"/>
        <v>299.89999999999998</v>
      </c>
      <c r="U333" s="71" t="str">
        <f>IFERROR(VLOOKUP(Table1[[#This Row],[No_]],'Customer Net Price'!A:F,5,FALSE),"0")</f>
        <v>0</v>
      </c>
      <c r="V333" s="71" t="str">
        <f>IFERROR(VLOOKUP(Table1[[#This Row],[No_]],'Customer Net Price'!A:G,6,FALSE),"0")</f>
        <v>0</v>
      </c>
    </row>
    <row r="334" spans="1:22" x14ac:dyDescent="0.25">
      <c r="A334" s="23" t="s">
        <v>1229</v>
      </c>
      <c r="B334" s="23" t="s">
        <v>1229</v>
      </c>
      <c r="C334" t="s">
        <v>1262</v>
      </c>
      <c r="D334" t="s">
        <v>310</v>
      </c>
      <c r="E334" t="s">
        <v>546</v>
      </c>
      <c r="F334" t="s">
        <v>918</v>
      </c>
      <c r="G334" t="s">
        <v>923</v>
      </c>
      <c r="H334" s="42" t="s">
        <v>1266</v>
      </c>
      <c r="I334" t="s">
        <v>546</v>
      </c>
      <c r="J334" t="s">
        <v>546</v>
      </c>
      <c r="K334" s="2">
        <v>54.9</v>
      </c>
      <c r="L334" s="2">
        <v>409.9</v>
      </c>
      <c r="M334" s="2">
        <v>59.9</v>
      </c>
      <c r="N334" s="2">
        <f ca="1">Table1[[#This Row],[2026 (EUR)]]*(1-INDIRECT(Table1[[#This Row],[Discount Name]]))</f>
        <v>54.9</v>
      </c>
      <c r="O334" s="2">
        <f ca="1">Table1[[#This Row],[2026 (DKK)]]*(1-INDIRECT(Table1[[#This Row],[Discount Name]]))</f>
        <v>409.9</v>
      </c>
      <c r="P334" s="2" cm="1">
        <f t="array" aca="1" ref="P334" ca="1">Table1[[#This Row],[2026 (USD)]]*(1-INDIRECT(Table1[[#This Row],[Discount Name]]))</f>
        <v>59.9</v>
      </c>
      <c r="Q334" s="31">
        <f ca="1">INDIRECT(Table1[[#This Row],[Discount Name]])</f>
        <v>0</v>
      </c>
      <c r="S334" s="2">
        <f t="shared" ca="1" si="10"/>
        <v>54.9</v>
      </c>
      <c r="T334" s="2">
        <f t="shared" ca="1" si="11"/>
        <v>409.9</v>
      </c>
      <c r="U334" s="71" t="str">
        <f>IFERROR(VLOOKUP(Table1[[#This Row],[No_]],'Customer Net Price'!A:F,5,FALSE),"0")</f>
        <v>0</v>
      </c>
      <c r="V334" s="71" t="str">
        <f>IFERROR(VLOOKUP(Table1[[#This Row],[No_]],'Customer Net Price'!A:G,6,FALSE),"0")</f>
        <v>0</v>
      </c>
    </row>
    <row r="335" spans="1:22" x14ac:dyDescent="0.25">
      <c r="A335" s="23" t="s">
        <v>1339</v>
      </c>
      <c r="B335" s="23" t="s">
        <v>1339</v>
      </c>
      <c r="C335" t="s">
        <v>1340</v>
      </c>
      <c r="D335" t="s">
        <v>310</v>
      </c>
      <c r="E335" t="s">
        <v>546</v>
      </c>
      <c r="F335" t="s">
        <v>918</v>
      </c>
      <c r="G335" t="s">
        <v>923</v>
      </c>
      <c r="H335" s="42" t="s">
        <v>1341</v>
      </c>
      <c r="I335" t="s">
        <v>546</v>
      </c>
      <c r="J335" t="s">
        <v>546</v>
      </c>
      <c r="K335" s="2">
        <v>5.9</v>
      </c>
      <c r="L335" s="2">
        <v>44.9</v>
      </c>
      <c r="M335" s="2">
        <v>6.9</v>
      </c>
      <c r="N335" s="2">
        <f ca="1">Table1[[#This Row],[2026 (EUR)]]*(1-INDIRECT(Table1[[#This Row],[Discount Name]]))</f>
        <v>5.9</v>
      </c>
      <c r="O335" s="2">
        <f ca="1">Table1[[#This Row],[2026 (DKK)]]*(1-INDIRECT(Table1[[#This Row],[Discount Name]]))</f>
        <v>44.9</v>
      </c>
      <c r="P335" s="2" cm="1">
        <f t="array" aca="1" ref="P335" ca="1">Table1[[#This Row],[2026 (USD)]]*(1-INDIRECT(Table1[[#This Row],[Discount Name]]))</f>
        <v>6.9</v>
      </c>
      <c r="Q335" s="31">
        <f ca="1">INDIRECT(Table1[[#This Row],[Discount Name]])</f>
        <v>0</v>
      </c>
      <c r="R335" s="111"/>
      <c r="S335" s="77">
        <f t="shared" ca="1" si="10"/>
        <v>5.9</v>
      </c>
      <c r="T335" s="77">
        <f t="shared" ca="1" si="11"/>
        <v>44.9</v>
      </c>
      <c r="U335" s="78" t="str">
        <f>IFERROR(VLOOKUP(Table1[[#This Row],[No_]],'Customer Net Price'!A:F,5,FALSE),"0")</f>
        <v>0</v>
      </c>
      <c r="V335" s="78" t="str">
        <f>IFERROR(VLOOKUP(Table1[[#This Row],[No_]],'Customer Net Price'!A:G,6,FALSE),"0")</f>
        <v>0</v>
      </c>
    </row>
    <row r="336" spans="1:22" x14ac:dyDescent="0.25">
      <c r="A336" s="23" t="s">
        <v>1294</v>
      </c>
      <c r="B336" s="23" t="s">
        <v>1294</v>
      </c>
      <c r="C336" t="s">
        <v>1295</v>
      </c>
      <c r="D336" t="s">
        <v>1778</v>
      </c>
      <c r="E336" t="s">
        <v>546</v>
      </c>
      <c r="F336" t="s">
        <v>918</v>
      </c>
      <c r="G336" t="s">
        <v>923</v>
      </c>
      <c r="H336" s="48" t="s">
        <v>1296</v>
      </c>
      <c r="I336" t="s">
        <v>546</v>
      </c>
      <c r="J336" t="s">
        <v>546</v>
      </c>
      <c r="K336" s="2">
        <v>5.9</v>
      </c>
      <c r="L336" s="2">
        <v>44.9</v>
      </c>
      <c r="M336" s="2">
        <v>6.9</v>
      </c>
      <c r="N336" s="2">
        <f ca="1">Table1[[#This Row],[2026 (EUR)]]*(1-INDIRECT(Table1[[#This Row],[Discount Name]]))</f>
        <v>5.9</v>
      </c>
      <c r="O336" s="2">
        <f ca="1">Table1[[#This Row],[2026 (DKK)]]*(1-INDIRECT(Table1[[#This Row],[Discount Name]]))</f>
        <v>44.9</v>
      </c>
      <c r="P336" s="2" cm="1">
        <f t="array" aca="1" ref="P336" ca="1">Table1[[#This Row],[2026 (USD)]]*(1-INDIRECT(Table1[[#This Row],[Discount Name]]))</f>
        <v>6.9</v>
      </c>
      <c r="Q336" s="31">
        <f ca="1">INDIRECT(Table1[[#This Row],[Discount Name]])</f>
        <v>0</v>
      </c>
      <c r="R336" s="111"/>
      <c r="S336" s="2">
        <f t="shared" ca="1" si="10"/>
        <v>5.9</v>
      </c>
      <c r="T336" s="2">
        <f t="shared" ca="1" si="11"/>
        <v>44.9</v>
      </c>
      <c r="U336" s="71" t="str">
        <f>IFERROR(VLOOKUP(Table1[[#This Row],[No_]],'Customer Net Price'!A:F,5,FALSE),"0")</f>
        <v>0</v>
      </c>
      <c r="V336" s="71" t="str">
        <f>IFERROR(VLOOKUP(Table1[[#This Row],[No_]],'Customer Net Price'!A:G,6,FALSE),"0")</f>
        <v>0</v>
      </c>
    </row>
    <row r="337" spans="1:22" x14ac:dyDescent="0.25">
      <c r="A337" s="23" t="s">
        <v>1716</v>
      </c>
      <c r="B337" s="23" t="s">
        <v>1716</v>
      </c>
      <c r="C337" t="s">
        <v>1722</v>
      </c>
      <c r="D337" t="s">
        <v>1778</v>
      </c>
      <c r="E337" t="s">
        <v>546</v>
      </c>
      <c r="F337" t="s">
        <v>918</v>
      </c>
      <c r="G337" t="s">
        <v>923</v>
      </c>
      <c r="H337" s="79" t="s">
        <v>1728</v>
      </c>
      <c r="I337" t="s">
        <v>546</v>
      </c>
      <c r="J337" t="s">
        <v>546</v>
      </c>
      <c r="K337" s="2">
        <v>14.9</v>
      </c>
      <c r="L337" s="2">
        <v>109.9</v>
      </c>
      <c r="M337" s="2">
        <v>16.899999999999999</v>
      </c>
      <c r="N337" s="2">
        <f ca="1">Table1[[#This Row],[2026 (EUR)]]*(1-INDIRECT(Table1[[#This Row],[Discount Name]]))</f>
        <v>14.9</v>
      </c>
      <c r="O337" s="2">
        <f ca="1">Table1[[#This Row],[2026 (DKK)]]*(1-INDIRECT(Table1[[#This Row],[Discount Name]]))</f>
        <v>109.9</v>
      </c>
      <c r="P337" s="2" cm="1">
        <f t="array" aca="1" ref="P337" ca="1">Table1[[#This Row],[2026 (USD)]]*(1-INDIRECT(Table1[[#This Row],[Discount Name]]))</f>
        <v>16.899999999999999</v>
      </c>
      <c r="Q337" s="32">
        <f ca="1">INDIRECT(Table1[[#This Row],[Discount Name]])</f>
        <v>0</v>
      </c>
      <c r="R337" s="111"/>
      <c r="S337" s="2">
        <f t="shared" ca="1" si="10"/>
        <v>14.9</v>
      </c>
      <c r="T337" s="2">
        <f t="shared" ca="1" si="11"/>
        <v>109.9</v>
      </c>
      <c r="U337" s="71" t="str">
        <f>IFERROR(VLOOKUP(Table1[[#This Row],[No_]],'Customer Net Price'!A:F,5,FALSE),"0")</f>
        <v>0</v>
      </c>
      <c r="V337" s="71" t="str">
        <f>IFERROR(VLOOKUP(Table1[[#This Row],[No_]],'Customer Net Price'!A:G,6,FALSE),"0")</f>
        <v>0</v>
      </c>
    </row>
    <row r="338" spans="1:22" x14ac:dyDescent="0.25">
      <c r="A338" s="23" t="s">
        <v>1156</v>
      </c>
      <c r="B338" s="23" t="s">
        <v>1156</v>
      </c>
      <c r="C338" t="s">
        <v>1157</v>
      </c>
      <c r="D338" t="s">
        <v>310</v>
      </c>
      <c r="E338" t="s">
        <v>546</v>
      </c>
      <c r="F338" t="s">
        <v>918</v>
      </c>
      <c r="G338" t="s">
        <v>923</v>
      </c>
      <c r="H338" s="46" t="s">
        <v>1158</v>
      </c>
      <c r="I338" t="s">
        <v>546</v>
      </c>
      <c r="J338" t="s">
        <v>546</v>
      </c>
      <c r="K338" s="2">
        <v>49.9</v>
      </c>
      <c r="L338" s="2">
        <v>369.9</v>
      </c>
      <c r="M338" s="2">
        <v>107.9</v>
      </c>
      <c r="N338" s="2">
        <f ca="1">Table1[[#This Row],[2026 (EUR)]]*(1-INDIRECT(Table1[[#This Row],[Discount Name]]))</f>
        <v>49.9</v>
      </c>
      <c r="O338" s="2">
        <f ca="1">Table1[[#This Row],[2026 (DKK)]]*(1-INDIRECT(Table1[[#This Row],[Discount Name]]))</f>
        <v>369.9</v>
      </c>
      <c r="P338" s="2" cm="1">
        <f t="array" aca="1" ref="P338" ca="1">Table1[[#This Row],[2026 (USD)]]*(1-INDIRECT(Table1[[#This Row],[Discount Name]]))</f>
        <v>107.9</v>
      </c>
      <c r="Q338" s="31">
        <f ca="1">INDIRECT(Table1[[#This Row],[Discount Name]])</f>
        <v>0</v>
      </c>
      <c r="R338" s="111"/>
      <c r="S338" s="2">
        <f t="shared" ca="1" si="10"/>
        <v>49.9</v>
      </c>
      <c r="T338" s="2">
        <f t="shared" ca="1" si="11"/>
        <v>369.9</v>
      </c>
      <c r="U338" s="71" t="str">
        <f>IFERROR(VLOOKUP(Table1[[#This Row],[No_]],'Customer Net Price'!A:F,5,FALSE),"0")</f>
        <v>0</v>
      </c>
      <c r="V338" s="71" t="str">
        <f>IFERROR(VLOOKUP(Table1[[#This Row],[No_]],'Customer Net Price'!A:G,6,FALSE),"0")</f>
        <v>0</v>
      </c>
    </row>
    <row r="339" spans="1:22" x14ac:dyDescent="0.25">
      <c r="A339" s="23" t="s">
        <v>1175</v>
      </c>
      <c r="B339" s="23" t="s">
        <v>1175</v>
      </c>
      <c r="C339" t="s">
        <v>1176</v>
      </c>
      <c r="D339" t="s">
        <v>791</v>
      </c>
      <c r="F339" t="s">
        <v>921</v>
      </c>
      <c r="G339" t="s">
        <v>921</v>
      </c>
      <c r="H339" s="43" t="s">
        <v>1177</v>
      </c>
      <c r="I339" t="s">
        <v>546</v>
      </c>
      <c r="J339" t="s">
        <v>546</v>
      </c>
      <c r="K339" s="2">
        <v>64.900000000000006</v>
      </c>
      <c r="L339" s="2">
        <v>482.9</v>
      </c>
      <c r="M339" s="2">
        <v>65.900000000000006</v>
      </c>
      <c r="N339" s="2">
        <f ca="1">Table1[[#This Row],[2026 (EUR)]]*(1-INDIRECT(Table1[[#This Row],[Discount Name]]))</f>
        <v>64.900000000000006</v>
      </c>
      <c r="O339" s="2">
        <f ca="1">Table1[[#This Row],[2026 (DKK)]]*(1-INDIRECT(Table1[[#This Row],[Discount Name]]))</f>
        <v>482.9</v>
      </c>
      <c r="P339" s="2" cm="1">
        <f t="array" aca="1" ref="P339" ca="1">Table1[[#This Row],[2026 (USD)]]*(1-INDIRECT(Table1[[#This Row],[Discount Name]]))</f>
        <v>65.900000000000006</v>
      </c>
      <c r="Q339" s="31">
        <f ca="1">INDIRECT(Table1[[#This Row],[Discount Name]])</f>
        <v>0</v>
      </c>
      <c r="R339" s="111"/>
      <c r="S339" s="2">
        <f t="shared" ca="1" si="10"/>
        <v>64.900000000000006</v>
      </c>
      <c r="T339" s="2">
        <f t="shared" ca="1" si="11"/>
        <v>482.9</v>
      </c>
      <c r="U339" s="71" t="str">
        <f>IFERROR(VLOOKUP(Table1[[#This Row],[No_]],'Customer Net Price'!A:F,5,FALSE),"0")</f>
        <v>0</v>
      </c>
      <c r="V339" s="71" t="str">
        <f>IFERROR(VLOOKUP(Table1[[#This Row],[No_]],'Customer Net Price'!A:G,6,FALSE),"0")</f>
        <v>0</v>
      </c>
    </row>
    <row r="340" spans="1:22" x14ac:dyDescent="0.25">
      <c r="A340" s="23" t="s">
        <v>1717</v>
      </c>
      <c r="B340" s="23" t="s">
        <v>1717</v>
      </c>
      <c r="C340" t="s">
        <v>1723</v>
      </c>
      <c r="D340" t="s">
        <v>1778</v>
      </c>
      <c r="E340" t="s">
        <v>546</v>
      </c>
      <c r="F340" t="s">
        <v>918</v>
      </c>
      <c r="G340" t="s">
        <v>923</v>
      </c>
      <c r="H340" s="79" t="s">
        <v>1729</v>
      </c>
      <c r="I340" t="s">
        <v>546</v>
      </c>
      <c r="J340" t="s">
        <v>546</v>
      </c>
      <c r="K340" s="2">
        <v>12.9</v>
      </c>
      <c r="L340" s="2">
        <v>94.9</v>
      </c>
      <c r="M340" s="2">
        <v>14.9</v>
      </c>
      <c r="N340" s="2">
        <f ca="1">Table1[[#This Row],[2026 (EUR)]]*(1-INDIRECT(Table1[[#This Row],[Discount Name]]))</f>
        <v>12.9</v>
      </c>
      <c r="O340" s="2">
        <f ca="1">Table1[[#This Row],[2026 (DKK)]]*(1-INDIRECT(Table1[[#This Row],[Discount Name]]))</f>
        <v>94.9</v>
      </c>
      <c r="P340" s="2" cm="1">
        <f t="array" aca="1" ref="P340" ca="1">Table1[[#This Row],[2026 (USD)]]*(1-INDIRECT(Table1[[#This Row],[Discount Name]]))</f>
        <v>14.9</v>
      </c>
      <c r="Q340" s="32">
        <f ca="1">INDIRECT(Table1[[#This Row],[Discount Name]])</f>
        <v>0</v>
      </c>
      <c r="R340" s="111"/>
      <c r="S340" s="2">
        <f t="shared" ca="1" si="10"/>
        <v>12.9</v>
      </c>
      <c r="T340" s="2">
        <f t="shared" ca="1" si="11"/>
        <v>94.9</v>
      </c>
      <c r="U340" s="71" t="str">
        <f>IFERROR(VLOOKUP(Table1[[#This Row],[No_]],'Customer Net Price'!A:F,5,FALSE),"0")</f>
        <v>0</v>
      </c>
      <c r="V340" s="71" t="str">
        <f>IFERROR(VLOOKUP(Table1[[#This Row],[No_]],'Customer Net Price'!A:G,6,FALSE),"0")</f>
        <v>0</v>
      </c>
    </row>
    <row r="341" spans="1:22" x14ac:dyDescent="0.25">
      <c r="A341" s="23" t="s">
        <v>1218</v>
      </c>
      <c r="B341" s="23" t="s">
        <v>1218</v>
      </c>
      <c r="C341" s="1" t="s">
        <v>1226</v>
      </c>
      <c r="D341" t="s">
        <v>1011</v>
      </c>
      <c r="F341" t="s">
        <v>918</v>
      </c>
      <c r="G341" t="s">
        <v>923</v>
      </c>
      <c r="H341" s="44" t="s">
        <v>1221</v>
      </c>
      <c r="I341" t="s">
        <v>546</v>
      </c>
      <c r="J341" t="s">
        <v>546</v>
      </c>
      <c r="K341" s="2">
        <v>24.9</v>
      </c>
      <c r="L341" s="2">
        <v>184.9</v>
      </c>
      <c r="M341" s="2">
        <v>26.9</v>
      </c>
      <c r="N341" s="2">
        <f ca="1">Table1[[#This Row],[2026 (EUR)]]*(1-INDIRECT(Table1[[#This Row],[Discount Name]]))</f>
        <v>24.9</v>
      </c>
      <c r="O341" s="2">
        <f ca="1">Table1[[#This Row],[2026 (DKK)]]*(1-INDIRECT(Table1[[#This Row],[Discount Name]]))</f>
        <v>184.9</v>
      </c>
      <c r="P341" s="2" cm="1">
        <f t="array" aca="1" ref="P341" ca="1">Table1[[#This Row],[2026 (USD)]]*(1-INDIRECT(Table1[[#This Row],[Discount Name]]))</f>
        <v>26.9</v>
      </c>
      <c r="Q341" s="31">
        <f ca="1">INDIRECT(Table1[[#This Row],[Discount Name]])</f>
        <v>0</v>
      </c>
      <c r="R341" s="111"/>
      <c r="S341" s="2">
        <f t="shared" ca="1" si="10"/>
        <v>24.9</v>
      </c>
      <c r="T341" s="2">
        <f t="shared" ca="1" si="11"/>
        <v>184.9</v>
      </c>
      <c r="U341" s="71" t="str">
        <f>IFERROR(VLOOKUP(Table1[[#This Row],[No_]],'Customer Net Price'!A:F,5,FALSE),"0")</f>
        <v>0</v>
      </c>
      <c r="V341" s="71" t="str">
        <f>IFERROR(VLOOKUP(Table1[[#This Row],[No_]],'Customer Net Price'!A:G,6,FALSE),"0")</f>
        <v>0</v>
      </c>
    </row>
    <row r="342" spans="1:22" x14ac:dyDescent="0.25">
      <c r="A342" s="23" t="s">
        <v>1219</v>
      </c>
      <c r="B342" s="23" t="s">
        <v>1219</v>
      </c>
      <c r="C342" s="1" t="s">
        <v>1220</v>
      </c>
      <c r="D342" t="s">
        <v>1011</v>
      </c>
      <c r="F342" t="s">
        <v>918</v>
      </c>
      <c r="G342" t="s">
        <v>923</v>
      </c>
      <c r="H342" s="44" t="s">
        <v>1222</v>
      </c>
      <c r="I342" t="s">
        <v>546</v>
      </c>
      <c r="J342" t="s">
        <v>546</v>
      </c>
      <c r="K342" s="2">
        <v>24.9</v>
      </c>
      <c r="L342" s="2">
        <v>184.9</v>
      </c>
      <c r="M342" s="2">
        <v>26.9</v>
      </c>
      <c r="N342" s="2">
        <f ca="1">Table1[[#This Row],[2026 (EUR)]]*(1-INDIRECT(Table1[[#This Row],[Discount Name]]))</f>
        <v>24.9</v>
      </c>
      <c r="O342" s="2">
        <f ca="1">Table1[[#This Row],[2026 (DKK)]]*(1-INDIRECT(Table1[[#This Row],[Discount Name]]))</f>
        <v>184.9</v>
      </c>
      <c r="P342" s="2" cm="1">
        <f t="array" aca="1" ref="P342" ca="1">Table1[[#This Row],[2026 (USD)]]*(1-INDIRECT(Table1[[#This Row],[Discount Name]]))</f>
        <v>26.9</v>
      </c>
      <c r="Q342" s="31">
        <f ca="1">INDIRECT(Table1[[#This Row],[Discount Name]])</f>
        <v>0</v>
      </c>
      <c r="R342" s="111"/>
      <c r="S342" s="2">
        <f t="shared" ca="1" si="10"/>
        <v>24.9</v>
      </c>
      <c r="T342" s="2">
        <f t="shared" ca="1" si="11"/>
        <v>184.9</v>
      </c>
      <c r="U342" s="71" t="str">
        <f>IFERROR(VLOOKUP(Table1[[#This Row],[No_]],'Customer Net Price'!A:F,5,FALSE),"0")</f>
        <v>0</v>
      </c>
      <c r="V342" s="71" t="str">
        <f>IFERROR(VLOOKUP(Table1[[#This Row],[No_]],'Customer Net Price'!A:G,6,FALSE),"0")</f>
        <v>0</v>
      </c>
    </row>
    <row r="343" spans="1:22" x14ac:dyDescent="0.25">
      <c r="A343" s="23" t="s">
        <v>1162</v>
      </c>
      <c r="B343" s="23" t="s">
        <v>1162</v>
      </c>
      <c r="C343" t="s">
        <v>1163</v>
      </c>
      <c r="D343" t="s">
        <v>310</v>
      </c>
      <c r="E343" t="s">
        <v>546</v>
      </c>
      <c r="F343" t="s">
        <v>918</v>
      </c>
      <c r="G343" t="s">
        <v>923</v>
      </c>
      <c r="H343" s="46" t="s">
        <v>1164</v>
      </c>
      <c r="I343" s="17">
        <v>100</v>
      </c>
      <c r="J343" t="s">
        <v>546</v>
      </c>
      <c r="K343" s="2">
        <v>8.9</v>
      </c>
      <c r="L343" s="2">
        <v>59.9</v>
      </c>
      <c r="M343" s="2">
        <v>9.3000000000000007</v>
      </c>
      <c r="N343" s="2">
        <f ca="1">Table1[[#This Row],[2026 (EUR)]]*(1-INDIRECT(Table1[[#This Row],[Discount Name]]))</f>
        <v>8.9</v>
      </c>
      <c r="O343" s="2">
        <f ca="1">Table1[[#This Row],[2026 (DKK)]]*(1-INDIRECT(Table1[[#This Row],[Discount Name]]))</f>
        <v>59.9</v>
      </c>
      <c r="P343" s="2" cm="1">
        <f t="array" aca="1" ref="P343" ca="1">Table1[[#This Row],[2026 (USD)]]*(1-INDIRECT(Table1[[#This Row],[Discount Name]]))</f>
        <v>9.3000000000000007</v>
      </c>
      <c r="Q343" s="31">
        <f ca="1">INDIRECT(Table1[[#This Row],[Discount Name]])</f>
        <v>0</v>
      </c>
      <c r="R343" s="111"/>
      <c r="S343" s="2">
        <f t="shared" ca="1" si="10"/>
        <v>8.9</v>
      </c>
      <c r="T343" s="2">
        <f t="shared" ca="1" si="11"/>
        <v>59.9</v>
      </c>
      <c r="U343" s="71" t="str">
        <f>IFERROR(VLOOKUP(Table1[[#This Row],[No_]],'Customer Net Price'!A:F,5,FALSE),"0")</f>
        <v>0</v>
      </c>
      <c r="V343" s="71" t="str">
        <f>IFERROR(VLOOKUP(Table1[[#This Row],[No_]],'Customer Net Price'!A:G,6,FALSE),"0")</f>
        <v>0</v>
      </c>
    </row>
    <row r="344" spans="1:22" x14ac:dyDescent="0.25">
      <c r="A344" s="23" t="s">
        <v>1348</v>
      </c>
      <c r="B344" s="23" t="s">
        <v>1348</v>
      </c>
      <c r="C344" t="s">
        <v>1355</v>
      </c>
      <c r="D344" t="s">
        <v>1778</v>
      </c>
      <c r="E344" t="s">
        <v>546</v>
      </c>
      <c r="F344" t="s">
        <v>918</v>
      </c>
      <c r="G344" t="s">
        <v>923</v>
      </c>
      <c r="H344" s="48" t="s">
        <v>1360</v>
      </c>
      <c r="I344" t="s">
        <v>546</v>
      </c>
      <c r="J344" t="s">
        <v>546</v>
      </c>
      <c r="K344" s="2">
        <v>14.9</v>
      </c>
      <c r="L344" s="2">
        <v>109.9</v>
      </c>
      <c r="M344" s="2">
        <v>16.899999999999999</v>
      </c>
      <c r="N344" s="2">
        <f ca="1">Table1[[#This Row],[2026 (EUR)]]*(1-INDIRECT(Table1[[#This Row],[Discount Name]]))</f>
        <v>14.9</v>
      </c>
      <c r="O344" s="2">
        <f ca="1">Table1[[#This Row],[2026 (DKK)]]*(1-INDIRECT(Table1[[#This Row],[Discount Name]]))</f>
        <v>109.9</v>
      </c>
      <c r="P344" s="2" cm="1">
        <f t="array" aca="1" ref="P344" ca="1">Table1[[#This Row],[2026 (USD)]]*(1-INDIRECT(Table1[[#This Row],[Discount Name]]))</f>
        <v>16.899999999999999</v>
      </c>
      <c r="Q344" s="31">
        <f ca="1">INDIRECT(Table1[[#This Row],[Discount Name]])</f>
        <v>0</v>
      </c>
      <c r="R344" s="111"/>
      <c r="S344" s="77">
        <f t="shared" ca="1" si="10"/>
        <v>14.9</v>
      </c>
      <c r="T344" s="77">
        <f t="shared" ca="1" si="11"/>
        <v>109.9</v>
      </c>
      <c r="U344" s="78" t="str">
        <f>IFERROR(VLOOKUP(Table1[[#This Row],[No_]],'Customer Net Price'!A:F,5,FALSE),"0")</f>
        <v>0</v>
      </c>
      <c r="V344" s="78" t="str">
        <f>IFERROR(VLOOKUP(Table1[[#This Row],[No_]],'Customer Net Price'!A:G,6,FALSE),"0")</f>
        <v>0</v>
      </c>
    </row>
    <row r="345" spans="1:22" x14ac:dyDescent="0.25">
      <c r="A345" s="23" t="s">
        <v>1171</v>
      </c>
      <c r="B345" s="23" t="s">
        <v>1171</v>
      </c>
      <c r="C345" t="s">
        <v>1169</v>
      </c>
      <c r="D345" t="s">
        <v>310</v>
      </c>
      <c r="E345" t="s">
        <v>546</v>
      </c>
      <c r="F345" t="s">
        <v>918</v>
      </c>
      <c r="G345" t="s">
        <v>923</v>
      </c>
      <c r="H345" s="42" t="s">
        <v>1170</v>
      </c>
      <c r="I345" t="s">
        <v>546</v>
      </c>
      <c r="J345" t="s">
        <v>546</v>
      </c>
      <c r="K345" s="2">
        <v>2.9</v>
      </c>
      <c r="L345" s="2">
        <v>21.5</v>
      </c>
      <c r="M345" s="2">
        <v>3</v>
      </c>
      <c r="N345" s="2">
        <f ca="1">Table1[[#This Row],[2026 (EUR)]]*(1-INDIRECT(Table1[[#This Row],[Discount Name]]))</f>
        <v>2.9</v>
      </c>
      <c r="O345" s="2">
        <f ca="1">Table1[[#This Row],[2026 (DKK)]]*(1-INDIRECT(Table1[[#This Row],[Discount Name]]))</f>
        <v>21.5</v>
      </c>
      <c r="P345" s="2" cm="1">
        <f t="array" aca="1" ref="P345" ca="1">Table1[[#This Row],[2026 (USD)]]*(1-INDIRECT(Table1[[#This Row],[Discount Name]]))</f>
        <v>3</v>
      </c>
      <c r="Q345" s="31">
        <f ca="1">INDIRECT(Table1[[#This Row],[Discount Name]])</f>
        <v>0</v>
      </c>
      <c r="R345" s="111"/>
      <c r="S345" s="2">
        <f t="shared" ca="1" si="10"/>
        <v>2.9</v>
      </c>
      <c r="T345" s="2">
        <f t="shared" ca="1" si="11"/>
        <v>21.5</v>
      </c>
      <c r="U345" s="71" t="str">
        <f>IFERROR(VLOOKUP(Table1[[#This Row],[No_]],'Customer Net Price'!A:F,5,FALSE),"0")</f>
        <v>0</v>
      </c>
      <c r="V345" s="71" t="str">
        <f>IFERROR(VLOOKUP(Table1[[#This Row],[No_]],'Customer Net Price'!A:G,6,FALSE),"0")</f>
        <v>0</v>
      </c>
    </row>
    <row r="346" spans="1:22" x14ac:dyDescent="0.25">
      <c r="A346" t="s">
        <v>1240</v>
      </c>
      <c r="B346" s="23" t="s">
        <v>1240</v>
      </c>
      <c r="C346" t="s">
        <v>1262</v>
      </c>
      <c r="D346" t="s">
        <v>310</v>
      </c>
      <c r="E346" t="s">
        <v>546</v>
      </c>
      <c r="F346" t="s">
        <v>918</v>
      </c>
      <c r="G346" t="s">
        <v>923</v>
      </c>
      <c r="H346" s="42" t="s">
        <v>1267</v>
      </c>
      <c r="I346" t="s">
        <v>546</v>
      </c>
      <c r="J346" t="s">
        <v>546</v>
      </c>
      <c r="K346" s="2">
        <v>39.9</v>
      </c>
      <c r="L346" s="2">
        <v>296.89999999999998</v>
      </c>
      <c r="M346" s="2">
        <v>43.9</v>
      </c>
      <c r="N346" s="2">
        <f ca="1">Table1[[#This Row],[2026 (EUR)]]*(1-INDIRECT(Table1[[#This Row],[Discount Name]]))</f>
        <v>39.9</v>
      </c>
      <c r="O346" s="2">
        <f ca="1">Table1[[#This Row],[2026 (DKK)]]*(1-INDIRECT(Table1[[#This Row],[Discount Name]]))</f>
        <v>296.89999999999998</v>
      </c>
      <c r="P346" s="2" cm="1">
        <f t="array" aca="1" ref="P346" ca="1">Table1[[#This Row],[2026 (USD)]]*(1-INDIRECT(Table1[[#This Row],[Discount Name]]))</f>
        <v>43.9</v>
      </c>
      <c r="Q346" s="31">
        <f ca="1">INDIRECT(Table1[[#This Row],[Discount Name]])</f>
        <v>0</v>
      </c>
      <c r="S346" s="2">
        <f t="shared" ca="1" si="10"/>
        <v>39.9</v>
      </c>
      <c r="T346" s="2">
        <f t="shared" ca="1" si="11"/>
        <v>296.89999999999998</v>
      </c>
      <c r="U346" s="71" t="str">
        <f>IFERROR(VLOOKUP(Table1[[#This Row],[No_]],'Customer Net Price'!A:F,5,FALSE),"0")</f>
        <v>0</v>
      </c>
      <c r="V346" s="71" t="str">
        <f>IFERROR(VLOOKUP(Table1[[#This Row],[No_]],'Customer Net Price'!A:G,6,FALSE),"0")</f>
        <v>0</v>
      </c>
    </row>
    <row r="347" spans="1:22" x14ac:dyDescent="0.25">
      <c r="A347" s="23" t="s">
        <v>1188</v>
      </c>
      <c r="B347" s="23" t="s">
        <v>1188</v>
      </c>
      <c r="C347" t="s">
        <v>1189</v>
      </c>
      <c r="D347" t="s">
        <v>305</v>
      </c>
      <c r="E347" t="s">
        <v>199</v>
      </c>
      <c r="F347" t="s">
        <v>916</v>
      </c>
      <c r="G347" t="s">
        <v>916</v>
      </c>
      <c r="H347" s="100" t="s">
        <v>1190</v>
      </c>
      <c r="I347" t="s">
        <v>546</v>
      </c>
      <c r="J347" t="s">
        <v>1388</v>
      </c>
      <c r="K347" s="2">
        <v>29.9</v>
      </c>
      <c r="L347" s="2">
        <v>224.9</v>
      </c>
      <c r="M347" s="2">
        <v>36.9</v>
      </c>
      <c r="N347" s="2">
        <f ca="1">Table1[[#This Row],[2026 (EUR)]]*(1-INDIRECT(Table1[[#This Row],[Discount Name]]))</f>
        <v>29.9</v>
      </c>
      <c r="O347" s="2">
        <f ca="1">Table1[[#This Row],[2026 (DKK)]]*(1-INDIRECT(Table1[[#This Row],[Discount Name]]))</f>
        <v>224.9</v>
      </c>
      <c r="P347" s="2" cm="1">
        <f t="array" aca="1" ref="P347" ca="1">Table1[[#This Row],[2026 (USD)]]*(1-INDIRECT(Table1[[#This Row],[Discount Name]]))</f>
        <v>36.9</v>
      </c>
      <c r="Q347" s="31">
        <f ca="1">INDIRECT(Table1[[#This Row],[Discount Name]])</f>
        <v>0</v>
      </c>
      <c r="S347" s="2">
        <f t="shared" ca="1" si="10"/>
        <v>29.9</v>
      </c>
      <c r="T347" s="2">
        <f t="shared" ca="1" si="11"/>
        <v>224.9</v>
      </c>
      <c r="U347" s="71" t="str">
        <f>IFERROR(VLOOKUP(Table1[[#This Row],[No_]],'Customer Net Price'!A:F,5,FALSE),"0")</f>
        <v>0</v>
      </c>
      <c r="V347" s="71" t="str">
        <f>IFERROR(VLOOKUP(Table1[[#This Row],[No_]],'Customer Net Price'!A:G,6,FALSE),"0")</f>
        <v>0</v>
      </c>
    </row>
    <row r="348" spans="1:22" x14ac:dyDescent="0.25">
      <c r="A348" s="23" t="s">
        <v>1718</v>
      </c>
      <c r="B348" s="23" t="s">
        <v>1718</v>
      </c>
      <c r="C348" t="s">
        <v>1724</v>
      </c>
      <c r="D348" t="s">
        <v>1778</v>
      </c>
      <c r="E348" t="s">
        <v>546</v>
      </c>
      <c r="F348" t="s">
        <v>918</v>
      </c>
      <c r="G348" t="s">
        <v>923</v>
      </c>
      <c r="H348" s="79" t="s">
        <v>1730</v>
      </c>
      <c r="I348" t="s">
        <v>546</v>
      </c>
      <c r="J348" t="s">
        <v>546</v>
      </c>
      <c r="K348" s="2">
        <v>9.9</v>
      </c>
      <c r="L348" s="2">
        <v>74.900000000000006</v>
      </c>
      <c r="M348" s="2">
        <v>11.9</v>
      </c>
      <c r="N348" s="2">
        <f ca="1">Table1[[#This Row],[2026 (EUR)]]*(1-INDIRECT(Table1[[#This Row],[Discount Name]]))</f>
        <v>9.9</v>
      </c>
      <c r="O348" s="2">
        <f ca="1">Table1[[#This Row],[2026 (DKK)]]*(1-INDIRECT(Table1[[#This Row],[Discount Name]]))</f>
        <v>74.900000000000006</v>
      </c>
      <c r="P348" s="2" cm="1">
        <f t="array" aca="1" ref="P348" ca="1">Table1[[#This Row],[2026 (USD)]]*(1-INDIRECT(Table1[[#This Row],[Discount Name]]))</f>
        <v>11.9</v>
      </c>
      <c r="Q348" s="32">
        <f ca="1">INDIRECT(Table1[[#This Row],[Discount Name]])</f>
        <v>0</v>
      </c>
      <c r="S348" s="2">
        <f t="shared" ca="1" si="10"/>
        <v>9.9</v>
      </c>
      <c r="T348" s="2">
        <f t="shared" ca="1" si="11"/>
        <v>74.900000000000006</v>
      </c>
      <c r="U348" s="71" t="str">
        <f>IFERROR(VLOOKUP(Table1[[#This Row],[No_]],'Customer Net Price'!A:F,5,FALSE),"0")</f>
        <v>0</v>
      </c>
      <c r="V348" s="71" t="str">
        <f>IFERROR(VLOOKUP(Table1[[#This Row],[No_]],'Customer Net Price'!A:G,6,FALSE),"0")</f>
        <v>0</v>
      </c>
    </row>
    <row r="349" spans="1:22" x14ac:dyDescent="0.25">
      <c r="A349" s="23" t="s">
        <v>1349</v>
      </c>
      <c r="B349" s="23" t="s">
        <v>1349</v>
      </c>
      <c r="C349" t="s">
        <v>1356</v>
      </c>
      <c r="D349" t="s">
        <v>1778</v>
      </c>
      <c r="E349" t="s">
        <v>546</v>
      </c>
      <c r="F349" t="s">
        <v>918</v>
      </c>
      <c r="G349" t="s">
        <v>923</v>
      </c>
      <c r="H349" s="101" t="s">
        <v>1362</v>
      </c>
      <c r="I349" t="s">
        <v>546</v>
      </c>
      <c r="J349" t="s">
        <v>546</v>
      </c>
      <c r="K349" s="2">
        <v>11.9</v>
      </c>
      <c r="L349" s="2">
        <v>89.9</v>
      </c>
      <c r="M349" s="2">
        <v>13.9</v>
      </c>
      <c r="N349" s="2">
        <f ca="1">Table1[[#This Row],[2026 (EUR)]]*(1-INDIRECT(Table1[[#This Row],[Discount Name]]))</f>
        <v>11.9</v>
      </c>
      <c r="O349" s="2">
        <f ca="1">Table1[[#This Row],[2026 (DKK)]]*(1-INDIRECT(Table1[[#This Row],[Discount Name]]))</f>
        <v>89.9</v>
      </c>
      <c r="P349" s="2" cm="1">
        <f t="array" aca="1" ref="P349" ca="1">Table1[[#This Row],[2026 (USD)]]*(1-INDIRECT(Table1[[#This Row],[Discount Name]]))</f>
        <v>13.9</v>
      </c>
      <c r="Q349" s="31">
        <f ca="1">INDIRECT(Table1[[#This Row],[Discount Name]])</f>
        <v>0</v>
      </c>
      <c r="S349" s="77">
        <f t="shared" ca="1" si="10"/>
        <v>11.9</v>
      </c>
      <c r="T349" s="77">
        <f t="shared" ca="1" si="11"/>
        <v>89.9</v>
      </c>
      <c r="U349" s="78" t="str">
        <f>IFERROR(VLOOKUP(Table1[[#This Row],[No_]],'Customer Net Price'!A:F,5,FALSE),"0")</f>
        <v>0</v>
      </c>
      <c r="V349" s="78" t="str">
        <f>IFERROR(VLOOKUP(Table1[[#This Row],[No_]],'Customer Net Price'!A:G,6,FALSE),"0")</f>
        <v>0</v>
      </c>
    </row>
    <row r="350" spans="1:22" x14ac:dyDescent="0.25">
      <c r="A350" s="96" t="s">
        <v>1479</v>
      </c>
      <c r="B350" s="96" t="s">
        <v>1479</v>
      </c>
      <c r="C350" t="s">
        <v>1584</v>
      </c>
      <c r="D350" t="s">
        <v>1778</v>
      </c>
      <c r="E350" t="s">
        <v>546</v>
      </c>
      <c r="F350" t="s">
        <v>918</v>
      </c>
      <c r="G350" t="s">
        <v>923</v>
      </c>
      <c r="H350" s="102" t="s">
        <v>1583</v>
      </c>
      <c r="I350" t="s">
        <v>546</v>
      </c>
      <c r="J350" t="s">
        <v>546</v>
      </c>
      <c r="K350" s="2">
        <v>27.9</v>
      </c>
      <c r="L350" s="2">
        <v>208</v>
      </c>
      <c r="M350" s="2">
        <v>30.700000000000003</v>
      </c>
      <c r="N350" s="2">
        <f ca="1">Table1[[#This Row],[2026 (EUR)]]*(1-INDIRECT(Table1[[#This Row],[Discount Name]]))</f>
        <v>27.9</v>
      </c>
      <c r="O350" s="2">
        <f ca="1">Table1[[#This Row],[2026 (DKK)]]*(1-INDIRECT(Table1[[#This Row],[Discount Name]]))</f>
        <v>208</v>
      </c>
      <c r="P350" s="2" cm="1">
        <f t="array" aca="1" ref="P350" ca="1">Table1[[#This Row],[2026 (USD)]]*(1-INDIRECT(Table1[[#This Row],[Discount Name]]))</f>
        <v>30.700000000000003</v>
      </c>
      <c r="Q350" s="31">
        <f ca="1">INDIRECT(Table1[[#This Row],[Discount Name]])</f>
        <v>0</v>
      </c>
      <c r="S350" s="2">
        <f t="shared" ca="1" si="10"/>
        <v>27.9</v>
      </c>
      <c r="T350" s="2">
        <f t="shared" ca="1" si="11"/>
        <v>208</v>
      </c>
      <c r="U350" s="71" t="str">
        <f>IFERROR(VLOOKUP(Table1[[#This Row],[No_]],'Customer Net Price'!A:F,5,FALSE),"0")</f>
        <v>0</v>
      </c>
      <c r="V350" s="71" t="str">
        <f>IFERROR(VLOOKUP(Table1[[#This Row],[No_]],'Customer Net Price'!A:G,6,FALSE),"0")</f>
        <v>0</v>
      </c>
    </row>
    <row r="351" spans="1:22" x14ac:dyDescent="0.25">
      <c r="A351" s="97" t="s">
        <v>1483</v>
      </c>
      <c r="B351" s="97" t="s">
        <v>1483</v>
      </c>
      <c r="C351" t="s">
        <v>1590</v>
      </c>
      <c r="D351" t="s">
        <v>1778</v>
      </c>
      <c r="E351" t="s">
        <v>546</v>
      </c>
      <c r="F351" t="s">
        <v>918</v>
      </c>
      <c r="G351" t="s">
        <v>923</v>
      </c>
      <c r="H351" s="102" t="s">
        <v>1589</v>
      </c>
      <c r="I351" t="s">
        <v>546</v>
      </c>
      <c r="J351" t="s">
        <v>546</v>
      </c>
      <c r="K351" s="2">
        <v>33.9</v>
      </c>
      <c r="L351" s="2">
        <v>252.5</v>
      </c>
      <c r="M351" s="2">
        <v>37.300000000000004</v>
      </c>
      <c r="N351" s="2">
        <f ca="1">Table1[[#This Row],[2026 (EUR)]]*(1-INDIRECT(Table1[[#This Row],[Discount Name]]))</f>
        <v>33.9</v>
      </c>
      <c r="O351" s="2">
        <f ca="1">Table1[[#This Row],[2026 (DKK)]]*(1-INDIRECT(Table1[[#This Row],[Discount Name]]))</f>
        <v>252.5</v>
      </c>
      <c r="P351" s="2" cm="1">
        <f t="array" aca="1" ref="P351" ca="1">Table1[[#This Row],[2026 (USD)]]*(1-INDIRECT(Table1[[#This Row],[Discount Name]]))</f>
        <v>37.300000000000004</v>
      </c>
      <c r="Q351" s="31">
        <f ca="1">INDIRECT(Table1[[#This Row],[Discount Name]])</f>
        <v>0</v>
      </c>
      <c r="S351" s="2">
        <f t="shared" ca="1" si="10"/>
        <v>33.9</v>
      </c>
      <c r="T351" s="2">
        <f t="shared" ca="1" si="11"/>
        <v>252.5</v>
      </c>
      <c r="U351" s="71" t="str">
        <f>IFERROR(VLOOKUP(Table1[[#This Row],[No_]],'Customer Net Price'!A:F,5,FALSE),"0")</f>
        <v>0</v>
      </c>
      <c r="V351" s="71" t="str">
        <f>IFERROR(VLOOKUP(Table1[[#This Row],[No_]],'Customer Net Price'!A:G,6,FALSE),"0")</f>
        <v>0</v>
      </c>
    </row>
    <row r="352" spans="1:22" x14ac:dyDescent="0.25">
      <c r="A352" s="23" t="s">
        <v>1370</v>
      </c>
      <c r="B352" s="23" t="s">
        <v>1370</v>
      </c>
      <c r="C352" t="s">
        <v>1371</v>
      </c>
      <c r="D352" t="s">
        <v>310</v>
      </c>
      <c r="E352" t="s">
        <v>546</v>
      </c>
      <c r="F352" t="s">
        <v>918</v>
      </c>
      <c r="G352" t="s">
        <v>923</v>
      </c>
      <c r="H352" s="102" t="s">
        <v>1389</v>
      </c>
      <c r="I352">
        <v>1</v>
      </c>
      <c r="J352" t="s">
        <v>546</v>
      </c>
      <c r="K352" s="2">
        <v>19.899999999999999</v>
      </c>
      <c r="L352" s="2">
        <v>149.9</v>
      </c>
      <c r="M352" s="2">
        <v>19.899999999999999</v>
      </c>
      <c r="N352" s="2">
        <f ca="1">Table1[[#This Row],[2026 (EUR)]]*(1-INDIRECT(Table1[[#This Row],[Discount Name]]))</f>
        <v>19.899999999999999</v>
      </c>
      <c r="O352" s="2">
        <f ca="1">Table1[[#This Row],[2026 (DKK)]]*(1-INDIRECT(Table1[[#This Row],[Discount Name]]))</f>
        <v>149.9</v>
      </c>
      <c r="P352" s="2" cm="1">
        <f t="array" aca="1" ref="P352" ca="1">Table1[[#This Row],[2026 (USD)]]*(1-INDIRECT(Table1[[#This Row],[Discount Name]]))</f>
        <v>19.899999999999999</v>
      </c>
      <c r="Q352" s="31">
        <f ca="1">INDIRECT(Table1[[#This Row],[Discount Name]])</f>
        <v>0</v>
      </c>
      <c r="S352" s="77">
        <f t="shared" ca="1" si="10"/>
        <v>19.899999999999999</v>
      </c>
      <c r="T352" s="77">
        <f t="shared" ca="1" si="11"/>
        <v>149.9</v>
      </c>
      <c r="U352" s="78" t="str">
        <f>IFERROR(VLOOKUP(Table1[[#This Row],[No_]],'Customer Net Price'!A:F,5,FALSE),"0")</f>
        <v>0</v>
      </c>
      <c r="V352" s="78" t="str">
        <f>IFERROR(VLOOKUP(Table1[[#This Row],[No_]],'Customer Net Price'!A:G,6,FALSE),"0")</f>
        <v>0</v>
      </c>
    </row>
    <row r="353" spans="1:22" x14ac:dyDescent="0.25">
      <c r="A353" s="23" t="s">
        <v>1701</v>
      </c>
      <c r="B353" s="23" t="s">
        <v>1673</v>
      </c>
      <c r="C353" t="s">
        <v>1372</v>
      </c>
      <c r="D353" t="s">
        <v>310</v>
      </c>
      <c r="E353" t="s">
        <v>546</v>
      </c>
      <c r="F353" t="s">
        <v>918</v>
      </c>
      <c r="G353" t="s">
        <v>923</v>
      </c>
      <c r="H353" s="101" t="s">
        <v>1390</v>
      </c>
      <c r="I353">
        <v>1</v>
      </c>
      <c r="J353" t="s">
        <v>546</v>
      </c>
      <c r="K353" s="2">
        <v>24.9</v>
      </c>
      <c r="L353" s="2">
        <v>184.9</v>
      </c>
      <c r="M353" s="2">
        <v>24.9</v>
      </c>
      <c r="N353" s="2">
        <f ca="1">Table1[[#This Row],[2026 (EUR)]]*(1-INDIRECT(Table1[[#This Row],[Discount Name]]))</f>
        <v>24.9</v>
      </c>
      <c r="O353" s="2">
        <f ca="1">Table1[[#This Row],[2026 (DKK)]]*(1-INDIRECT(Table1[[#This Row],[Discount Name]]))</f>
        <v>184.9</v>
      </c>
      <c r="P353" s="2" cm="1">
        <f t="array" aca="1" ref="P353" ca="1">Table1[[#This Row],[2026 (USD)]]*(1-INDIRECT(Table1[[#This Row],[Discount Name]]))</f>
        <v>24.9</v>
      </c>
      <c r="Q353" s="31">
        <f ca="1">INDIRECT(Table1[[#This Row],[Discount Name]])</f>
        <v>0</v>
      </c>
      <c r="S353" s="77">
        <f t="shared" ca="1" si="10"/>
        <v>24.9</v>
      </c>
      <c r="T353" s="77">
        <f t="shared" ca="1" si="11"/>
        <v>184.9</v>
      </c>
      <c r="U353" s="78" t="str">
        <f>IFERROR(VLOOKUP(Table1[[#This Row],[No_]],'Customer Net Price'!A:F,5,FALSE),"0")</f>
        <v>0</v>
      </c>
      <c r="V353" s="78" t="str">
        <f>IFERROR(VLOOKUP(Table1[[#This Row],[No_]],'Customer Net Price'!A:G,6,FALSE),"0")</f>
        <v>0</v>
      </c>
    </row>
    <row r="354" spans="1:22" x14ac:dyDescent="0.25">
      <c r="A354" s="23" t="s">
        <v>1657</v>
      </c>
      <c r="B354" s="23" t="s">
        <v>1657</v>
      </c>
      <c r="C354" t="s">
        <v>1674</v>
      </c>
      <c r="D354" t="s">
        <v>1778</v>
      </c>
      <c r="E354" t="s">
        <v>546</v>
      </c>
      <c r="F354" t="s">
        <v>918</v>
      </c>
      <c r="G354" t="s">
        <v>923</v>
      </c>
      <c r="H354" s="48" t="s">
        <v>1662</v>
      </c>
      <c r="I354" t="s">
        <v>546</v>
      </c>
      <c r="J354" t="s">
        <v>1671</v>
      </c>
      <c r="K354" s="2">
        <v>3.9</v>
      </c>
      <c r="L354" s="2">
        <v>28.9</v>
      </c>
      <c r="M354" s="2">
        <v>4.2</v>
      </c>
      <c r="N354" s="2">
        <f ca="1">Table1[[#This Row],[2026 (EUR)]]*(1-INDIRECT(Table1[[#This Row],[Discount Name]]))</f>
        <v>3.9</v>
      </c>
      <c r="O354" s="2">
        <f ca="1">Table1[[#This Row],[2026 (DKK)]]*(1-INDIRECT(Table1[[#This Row],[Discount Name]]))</f>
        <v>28.9</v>
      </c>
      <c r="P354" s="2" cm="1">
        <f t="array" aca="1" ref="P354" ca="1">Table1[[#This Row],[2026 (USD)]]*(1-INDIRECT(Table1[[#This Row],[Discount Name]]))</f>
        <v>4.2</v>
      </c>
      <c r="Q354" s="31">
        <f ca="1">INDIRECT(Table1[[#This Row],[Discount Name]])</f>
        <v>0</v>
      </c>
      <c r="S354" s="2">
        <f t="shared" ca="1" si="10"/>
        <v>3.9</v>
      </c>
      <c r="T354" s="2">
        <f t="shared" ca="1" si="11"/>
        <v>28.9</v>
      </c>
      <c r="U354" s="71" t="str">
        <f>IFERROR(VLOOKUP(Table1[[#This Row],[No_]],'Customer Net Price'!A:F,5,FALSE),"0")</f>
        <v>0</v>
      </c>
      <c r="V354" s="71" t="str">
        <f>IFERROR(VLOOKUP(Table1[[#This Row],[No_]],'Customer Net Price'!A:G,6,FALSE),"0")</f>
        <v>0</v>
      </c>
    </row>
    <row r="355" spans="1:22" x14ac:dyDescent="0.25">
      <c r="A355" s="23" t="s">
        <v>1658</v>
      </c>
      <c r="B355" s="23" t="s">
        <v>1658</v>
      </c>
      <c r="C355" t="s">
        <v>1675</v>
      </c>
      <c r="D355" t="s">
        <v>1778</v>
      </c>
      <c r="E355" t="s">
        <v>546</v>
      </c>
      <c r="F355" t="s">
        <v>918</v>
      </c>
      <c r="G355" t="s">
        <v>1672</v>
      </c>
      <c r="H355" s="48" t="s">
        <v>1663</v>
      </c>
      <c r="I355" t="s">
        <v>546</v>
      </c>
      <c r="J355" t="s">
        <v>1671</v>
      </c>
      <c r="K355" s="2">
        <v>1.9</v>
      </c>
      <c r="L355" s="2">
        <v>17.899999999999999</v>
      </c>
      <c r="M355" s="2">
        <v>2.2000000000000002</v>
      </c>
      <c r="N355" s="2">
        <f ca="1">Table1[[#This Row],[2026 (EUR)]]*(1-INDIRECT(Table1[[#This Row],[Discount Name]]))</f>
        <v>1.9</v>
      </c>
      <c r="O355" s="2">
        <f ca="1">Table1[[#This Row],[2026 (DKK)]]*(1-INDIRECT(Table1[[#This Row],[Discount Name]]))</f>
        <v>17.899999999999999</v>
      </c>
      <c r="P355" s="2" cm="1">
        <f t="array" aca="1" ref="P355" ca="1">Table1[[#This Row],[2026 (USD)]]*(1-INDIRECT(Table1[[#This Row],[Discount Name]]))</f>
        <v>2.2000000000000002</v>
      </c>
      <c r="Q355" s="31">
        <f ca="1">INDIRECT(Table1[[#This Row],[Discount Name]])</f>
        <v>0</v>
      </c>
      <c r="S355" s="2">
        <f t="shared" ca="1" si="10"/>
        <v>1.9</v>
      </c>
      <c r="T355" s="2">
        <f t="shared" ca="1" si="11"/>
        <v>17.899999999999999</v>
      </c>
      <c r="U355" s="71" t="str">
        <f>IFERROR(VLOOKUP(Table1[[#This Row],[No_]],'Customer Net Price'!A:F,5,FALSE),"0")</f>
        <v>0</v>
      </c>
      <c r="V355" s="71" t="str">
        <f>IFERROR(VLOOKUP(Table1[[#This Row],[No_]],'Customer Net Price'!A:G,6,FALSE),"0")</f>
        <v>0</v>
      </c>
    </row>
    <row r="356" spans="1:22" x14ac:dyDescent="0.25">
      <c r="A356" s="23" t="s">
        <v>1670</v>
      </c>
      <c r="B356" s="23" t="s">
        <v>1429</v>
      </c>
      <c r="C356" t="s">
        <v>1664</v>
      </c>
      <c r="D356" t="s">
        <v>310</v>
      </c>
      <c r="E356" t="s">
        <v>546</v>
      </c>
      <c r="F356" t="s">
        <v>918</v>
      </c>
      <c r="G356" t="s">
        <v>1672</v>
      </c>
      <c r="H356" s="103" t="s">
        <v>1676</v>
      </c>
      <c r="I356" t="s">
        <v>546</v>
      </c>
      <c r="J356" t="s">
        <v>546</v>
      </c>
      <c r="K356" s="2">
        <v>13.9</v>
      </c>
      <c r="L356" s="2">
        <v>104.9</v>
      </c>
      <c r="M356" s="2">
        <v>15.9</v>
      </c>
      <c r="N356" s="2">
        <f ca="1">Table1[[#This Row],[2026 (EUR)]]*(1-INDIRECT(Table1[[#This Row],[Discount Name]]))</f>
        <v>13.9</v>
      </c>
      <c r="O356" s="2">
        <f ca="1">Table1[[#This Row],[2026 (DKK)]]*(1-INDIRECT(Table1[[#This Row],[Discount Name]]))</f>
        <v>104.9</v>
      </c>
      <c r="P356" s="2" cm="1">
        <f t="array" aca="1" ref="P356" ca="1">Table1[[#This Row],[2026 (USD)]]*(1-INDIRECT(Table1[[#This Row],[Discount Name]]))</f>
        <v>15.9</v>
      </c>
      <c r="Q356" s="31">
        <f ca="1">INDIRECT(Table1[[#This Row],[Discount Name]])</f>
        <v>0</v>
      </c>
      <c r="S356" s="2">
        <f t="shared" ca="1" si="10"/>
        <v>13.9</v>
      </c>
      <c r="T356" s="2">
        <f t="shared" ca="1" si="11"/>
        <v>104.9</v>
      </c>
      <c r="U356" s="71" t="str">
        <f>IFERROR(VLOOKUP(Table1[[#This Row],[No_]],'Customer Net Price'!A:F,5,FALSE),"0")</f>
        <v>0</v>
      </c>
      <c r="V356" s="71" t="str">
        <f>IFERROR(VLOOKUP(Table1[[#This Row],[No_]],'Customer Net Price'!A:G,6,FALSE),"0")</f>
        <v>0</v>
      </c>
    </row>
    <row r="357" spans="1:22" x14ac:dyDescent="0.25">
      <c r="A357" s="23" t="s">
        <v>1659</v>
      </c>
      <c r="B357" s="23" t="s">
        <v>1659</v>
      </c>
      <c r="C357" t="s">
        <v>1661</v>
      </c>
      <c r="D357" t="s">
        <v>310</v>
      </c>
      <c r="E357" t="s">
        <v>546</v>
      </c>
      <c r="F357" t="s">
        <v>918</v>
      </c>
      <c r="G357" t="s">
        <v>923</v>
      </c>
      <c r="H357" s="100" t="s">
        <v>1660</v>
      </c>
      <c r="I357" t="s">
        <v>546</v>
      </c>
      <c r="J357" t="s">
        <v>546</v>
      </c>
      <c r="K357" s="2">
        <v>19.899999999999999</v>
      </c>
      <c r="L357" s="2">
        <v>149.9</v>
      </c>
      <c r="M357" s="2">
        <v>22.9</v>
      </c>
      <c r="N357" s="2">
        <f ca="1">Table1[[#This Row],[2026 (EUR)]]*(1-INDIRECT(Table1[[#This Row],[Discount Name]]))</f>
        <v>19.899999999999999</v>
      </c>
      <c r="O357" s="2">
        <f ca="1">Table1[[#This Row],[2026 (DKK)]]*(1-INDIRECT(Table1[[#This Row],[Discount Name]]))</f>
        <v>149.9</v>
      </c>
      <c r="P357" s="2" cm="1">
        <f t="array" aca="1" ref="P357" ca="1">Table1[[#This Row],[2026 (USD)]]*(1-INDIRECT(Table1[[#This Row],[Discount Name]]))</f>
        <v>22.9</v>
      </c>
      <c r="Q357" s="31">
        <f ca="1">INDIRECT(Table1[[#This Row],[Discount Name]])</f>
        <v>0</v>
      </c>
      <c r="S357" s="77">
        <f t="shared" ca="1" si="10"/>
        <v>19.899999999999999</v>
      </c>
      <c r="T357" s="77">
        <f t="shared" ca="1" si="11"/>
        <v>149.9</v>
      </c>
      <c r="U357" s="78" t="str">
        <f>IFERROR(VLOOKUP(Table1[[#This Row],[No_]],'Customer Net Price'!A:F,5,FALSE),"0")</f>
        <v>0</v>
      </c>
      <c r="V357" s="78" t="str">
        <f>IFERROR(VLOOKUP(Table1[[#This Row],[No_]],'Customer Net Price'!A:G,6,FALSE),"0")</f>
        <v>0</v>
      </c>
    </row>
    <row r="358" spans="1:22" x14ac:dyDescent="0.25">
      <c r="A358" s="23" t="s">
        <v>1680</v>
      </c>
      <c r="B358" s="23" t="s">
        <v>1680</v>
      </c>
      <c r="C358" t="s">
        <v>1682</v>
      </c>
      <c r="D358" t="s">
        <v>1778</v>
      </c>
      <c r="E358" t="s">
        <v>546</v>
      </c>
      <c r="F358" t="s">
        <v>918</v>
      </c>
      <c r="G358" t="s">
        <v>923</v>
      </c>
      <c r="H358" s="48" t="s">
        <v>1681</v>
      </c>
      <c r="I358" t="s">
        <v>546</v>
      </c>
      <c r="J358" t="s">
        <v>546</v>
      </c>
      <c r="K358" s="2">
        <v>39.9</v>
      </c>
      <c r="L358" s="2">
        <v>299.89999999999998</v>
      </c>
      <c r="M358" s="2">
        <v>44.9</v>
      </c>
      <c r="N358" s="2">
        <f ca="1">Table1[[#This Row],[2026 (EUR)]]*(1-INDIRECT(Table1[[#This Row],[Discount Name]]))</f>
        <v>39.9</v>
      </c>
      <c r="O358" s="2">
        <f ca="1">Table1[[#This Row],[2026 (DKK)]]*(1-INDIRECT(Table1[[#This Row],[Discount Name]]))</f>
        <v>299.89999999999998</v>
      </c>
      <c r="P358" s="2" cm="1">
        <f t="array" aca="1" ref="P358" ca="1">Table1[[#This Row],[2026 (USD)]]*(1-INDIRECT(Table1[[#This Row],[Discount Name]]))</f>
        <v>44.9</v>
      </c>
      <c r="Q358" s="31">
        <f ca="1">INDIRECT(Table1[[#This Row],[Discount Name]])</f>
        <v>0</v>
      </c>
      <c r="S358" s="2">
        <f t="shared" ca="1" si="10"/>
        <v>39.9</v>
      </c>
      <c r="T358" s="2">
        <f t="shared" ca="1" si="11"/>
        <v>299.89999999999998</v>
      </c>
      <c r="U358" s="71" t="str">
        <f>IFERROR(VLOOKUP(Table1[[#This Row],[No_]],'Customer Net Price'!A:F,5,FALSE),"0")</f>
        <v>0</v>
      </c>
      <c r="V358" s="71" t="str">
        <f>IFERROR(VLOOKUP(Table1[[#This Row],[No_]],'Customer Net Price'!A:G,6,FALSE),"0")</f>
        <v>0</v>
      </c>
    </row>
    <row r="359" spans="1:22" x14ac:dyDescent="0.25">
      <c r="A359" s="23" t="s">
        <v>1665</v>
      </c>
      <c r="B359" s="23" t="s">
        <v>1665</v>
      </c>
      <c r="C359" t="s">
        <v>1666</v>
      </c>
      <c r="D359" t="s">
        <v>310</v>
      </c>
      <c r="E359" t="s">
        <v>546</v>
      </c>
      <c r="F359" t="s">
        <v>918</v>
      </c>
      <c r="G359" t="s">
        <v>923</v>
      </c>
      <c r="H359" s="48" t="s">
        <v>1667</v>
      </c>
      <c r="I359" t="s">
        <v>546</v>
      </c>
      <c r="J359" t="s">
        <v>546</v>
      </c>
      <c r="K359" s="2">
        <v>34.9</v>
      </c>
      <c r="L359" s="2">
        <v>259.89999999999998</v>
      </c>
      <c r="M359" s="2">
        <v>38.9</v>
      </c>
      <c r="N359" s="2">
        <f ca="1">Table1[[#This Row],[2026 (EUR)]]*(1-INDIRECT(Table1[[#This Row],[Discount Name]]))</f>
        <v>34.9</v>
      </c>
      <c r="O359" s="2">
        <f ca="1">Table1[[#This Row],[2026 (DKK)]]*(1-INDIRECT(Table1[[#This Row],[Discount Name]]))</f>
        <v>259.89999999999998</v>
      </c>
      <c r="P359" s="2" cm="1">
        <f t="array" aca="1" ref="P359" ca="1">Table1[[#This Row],[2026 (USD)]]*(1-INDIRECT(Table1[[#This Row],[Discount Name]]))</f>
        <v>38.9</v>
      </c>
      <c r="Q359" s="31">
        <f ca="1">INDIRECT(Table1[[#This Row],[Discount Name]])</f>
        <v>0</v>
      </c>
      <c r="S359" s="2">
        <f t="shared" ca="1" si="10"/>
        <v>34.9</v>
      </c>
      <c r="T359" s="2">
        <f t="shared" ca="1" si="11"/>
        <v>259.89999999999998</v>
      </c>
      <c r="U359" s="71" t="str">
        <f>IFERROR(VLOOKUP(Table1[[#This Row],[No_]],'Customer Net Price'!A:F,5,FALSE),"0")</f>
        <v>0</v>
      </c>
      <c r="V359" s="71" t="str">
        <f>IFERROR(VLOOKUP(Table1[[#This Row],[No_]],'Customer Net Price'!A:G,6,FALSE),"0")</f>
        <v>0</v>
      </c>
    </row>
    <row r="360" spans="1:22" x14ac:dyDescent="0.25">
      <c r="A360" s="23" t="s">
        <v>1668</v>
      </c>
      <c r="B360" s="23" t="s">
        <v>1668</v>
      </c>
      <c r="C360" t="s">
        <v>1669</v>
      </c>
      <c r="D360" t="s">
        <v>1778</v>
      </c>
      <c r="E360" t="s">
        <v>546</v>
      </c>
      <c r="F360" t="s">
        <v>918</v>
      </c>
      <c r="G360" t="s">
        <v>923</v>
      </c>
      <c r="H360" s="48" t="s">
        <v>1700</v>
      </c>
      <c r="I360" t="s">
        <v>546</v>
      </c>
      <c r="J360" t="s">
        <v>546</v>
      </c>
      <c r="K360" s="2">
        <v>9.9</v>
      </c>
      <c r="L360" s="2">
        <v>74.900000000000006</v>
      </c>
      <c r="M360" s="2">
        <v>11.9</v>
      </c>
      <c r="N360" s="2">
        <f ca="1">Table1[[#This Row],[2026 (EUR)]]*(1-INDIRECT(Table1[[#This Row],[Discount Name]]))</f>
        <v>9.9</v>
      </c>
      <c r="O360" s="2">
        <f ca="1">Table1[[#This Row],[2026 (DKK)]]*(1-INDIRECT(Table1[[#This Row],[Discount Name]]))</f>
        <v>74.900000000000006</v>
      </c>
      <c r="P360" s="2" cm="1">
        <f t="array" aca="1" ref="P360" ca="1">Table1[[#This Row],[2026 (USD)]]*(1-INDIRECT(Table1[[#This Row],[Discount Name]]))</f>
        <v>11.9</v>
      </c>
      <c r="Q360" s="31">
        <f ca="1">INDIRECT(Table1[[#This Row],[Discount Name]])</f>
        <v>0</v>
      </c>
      <c r="S360" s="2">
        <f t="shared" ca="1" si="10"/>
        <v>9.9</v>
      </c>
      <c r="T360" s="2">
        <f t="shared" ca="1" si="11"/>
        <v>74.900000000000006</v>
      </c>
      <c r="U360" s="71" t="str">
        <f>IFERROR(VLOOKUP(Table1[[#This Row],[No_]],'Customer Net Price'!A:F,5,FALSE),"0")</f>
        <v>0</v>
      </c>
      <c r="V360" s="71" t="str">
        <f>IFERROR(VLOOKUP(Table1[[#This Row],[No_]],'Customer Net Price'!A:G,6,FALSE),"0")</f>
        <v>0</v>
      </c>
    </row>
    <row r="361" spans="1:22" x14ac:dyDescent="0.25">
      <c r="A361" s="23" t="s">
        <v>1705</v>
      </c>
      <c r="B361" s="23" t="s">
        <v>1705</v>
      </c>
      <c r="C361" t="s">
        <v>1706</v>
      </c>
      <c r="D361" t="s">
        <v>1778</v>
      </c>
      <c r="E361" t="s">
        <v>546</v>
      </c>
      <c r="F361" t="s">
        <v>918</v>
      </c>
      <c r="G361" t="s">
        <v>923</v>
      </c>
      <c r="H361" s="48" t="s">
        <v>1707</v>
      </c>
      <c r="I361" t="s">
        <v>546</v>
      </c>
      <c r="J361" t="s">
        <v>546</v>
      </c>
      <c r="K361" s="2">
        <v>5.9</v>
      </c>
      <c r="L361" s="2">
        <v>44.9</v>
      </c>
      <c r="M361" s="2">
        <v>6.9</v>
      </c>
      <c r="N361" s="2">
        <f ca="1">Table1[[#This Row],[2026 (EUR)]]*(1-INDIRECT(Table1[[#This Row],[Discount Name]]))</f>
        <v>5.9</v>
      </c>
      <c r="O361" s="2">
        <f ca="1">Table1[[#This Row],[2026 (DKK)]]*(1-INDIRECT(Table1[[#This Row],[Discount Name]]))</f>
        <v>44.9</v>
      </c>
      <c r="P361" s="2" cm="1">
        <f t="array" aca="1" ref="P361" ca="1">Table1[[#This Row],[2026 (USD)]]*(1-INDIRECT(Table1[[#This Row],[Discount Name]]))</f>
        <v>6.9</v>
      </c>
      <c r="Q361" s="31">
        <f ca="1">INDIRECT(Table1[[#This Row],[Discount Name]])</f>
        <v>0</v>
      </c>
      <c r="S361" s="2">
        <f t="shared" ca="1" si="10"/>
        <v>5.9</v>
      </c>
      <c r="T361" s="2">
        <f t="shared" ca="1" si="11"/>
        <v>44.9</v>
      </c>
      <c r="U361" s="71" t="str">
        <f>IFERROR(VLOOKUP(Table1[[#This Row],[No_]],'Customer Net Price'!A:F,5,FALSE),"0")</f>
        <v>0</v>
      </c>
      <c r="V361" s="71" t="str">
        <f>IFERROR(VLOOKUP(Table1[[#This Row],[No_]],'Customer Net Price'!A:G,6,FALSE),"0")</f>
        <v>0</v>
      </c>
    </row>
    <row r="362" spans="1:22" x14ac:dyDescent="0.25">
      <c r="A362" s="23" t="s">
        <v>1719</v>
      </c>
      <c r="B362" s="23" t="s">
        <v>1719</v>
      </c>
      <c r="C362" t="s">
        <v>1725</v>
      </c>
      <c r="D362" t="s">
        <v>1778</v>
      </c>
      <c r="E362" t="s">
        <v>546</v>
      </c>
      <c r="F362" t="s">
        <v>918</v>
      </c>
      <c r="G362" t="s">
        <v>923</v>
      </c>
      <c r="H362" s="79" t="s">
        <v>1731</v>
      </c>
      <c r="I362" t="s">
        <v>546</v>
      </c>
      <c r="J362" t="s">
        <v>546</v>
      </c>
      <c r="K362" s="2">
        <v>9.9</v>
      </c>
      <c r="L362" s="2">
        <v>74.900000000000006</v>
      </c>
      <c r="M362" s="2">
        <v>11.9</v>
      </c>
      <c r="N362" s="2">
        <f ca="1">Table1[[#This Row],[2026 (EUR)]]*(1-INDIRECT(Table1[[#This Row],[Discount Name]]))</f>
        <v>9.9</v>
      </c>
      <c r="O362" s="2">
        <f ca="1">Table1[[#This Row],[2026 (DKK)]]*(1-INDIRECT(Table1[[#This Row],[Discount Name]]))</f>
        <v>74.900000000000006</v>
      </c>
      <c r="P362" s="2" cm="1">
        <f t="array" aca="1" ref="P362" ca="1">Table1[[#This Row],[2026 (USD)]]*(1-INDIRECT(Table1[[#This Row],[Discount Name]]))</f>
        <v>11.9</v>
      </c>
      <c r="Q362" s="32">
        <f ca="1">INDIRECT(Table1[[#This Row],[Discount Name]])</f>
        <v>0</v>
      </c>
      <c r="S362" s="2">
        <f t="shared" ca="1" si="10"/>
        <v>9.9</v>
      </c>
      <c r="T362" s="2">
        <f t="shared" ca="1" si="11"/>
        <v>74.900000000000006</v>
      </c>
      <c r="U362" s="71" t="str">
        <f>IFERROR(VLOOKUP(Table1[[#This Row],[No_]],'Customer Net Price'!A:F,5,FALSE),"0")</f>
        <v>0</v>
      </c>
      <c r="V362" s="71" t="str">
        <f>IFERROR(VLOOKUP(Table1[[#This Row],[No_]],'Customer Net Price'!A:G,6,FALSE),"0")</f>
        <v>0</v>
      </c>
    </row>
    <row r="363" spans="1:22" x14ac:dyDescent="0.25">
      <c r="A363" s="23" t="s">
        <v>1720</v>
      </c>
      <c r="B363" s="23" t="s">
        <v>1720</v>
      </c>
      <c r="C363" t="s">
        <v>1726</v>
      </c>
      <c r="D363" t="s">
        <v>1778</v>
      </c>
      <c r="E363" t="s">
        <v>546</v>
      </c>
      <c r="F363" t="s">
        <v>918</v>
      </c>
      <c r="G363" t="s">
        <v>923</v>
      </c>
      <c r="H363" s="79" t="s">
        <v>1732</v>
      </c>
      <c r="I363" t="s">
        <v>546</v>
      </c>
      <c r="J363" t="s">
        <v>546</v>
      </c>
      <c r="K363" s="2">
        <v>9.9</v>
      </c>
      <c r="L363" s="2">
        <v>74.900000000000006</v>
      </c>
      <c r="M363" s="2">
        <v>11.9</v>
      </c>
      <c r="N363" s="2">
        <f ca="1">Table1[[#This Row],[2026 (EUR)]]*(1-INDIRECT(Table1[[#This Row],[Discount Name]]))</f>
        <v>9.9</v>
      </c>
      <c r="O363" s="2">
        <f ca="1">Table1[[#This Row],[2026 (DKK)]]*(1-INDIRECT(Table1[[#This Row],[Discount Name]]))</f>
        <v>74.900000000000006</v>
      </c>
      <c r="P363" s="2" cm="1">
        <f t="array" aca="1" ref="P363" ca="1">Table1[[#This Row],[2026 (USD)]]*(1-INDIRECT(Table1[[#This Row],[Discount Name]]))</f>
        <v>11.9</v>
      </c>
      <c r="Q363" s="32">
        <f ca="1">INDIRECT(Table1[[#This Row],[Discount Name]])</f>
        <v>0</v>
      </c>
      <c r="S363" s="2">
        <f t="shared" ca="1" si="10"/>
        <v>9.9</v>
      </c>
      <c r="T363" s="2">
        <f t="shared" ca="1" si="11"/>
        <v>74.900000000000006</v>
      </c>
      <c r="U363" s="71" t="str">
        <f>IFERROR(VLOOKUP(Table1[[#This Row],[No_]],'Customer Net Price'!A:F,5,FALSE),"0")</f>
        <v>0</v>
      </c>
      <c r="V363" s="71" t="str">
        <f>IFERROR(VLOOKUP(Table1[[#This Row],[No_]],'Customer Net Price'!A:G,6,FALSE),"0")</f>
        <v>0</v>
      </c>
    </row>
    <row r="364" spans="1:22" x14ac:dyDescent="0.25">
      <c r="A364" s="23" t="s">
        <v>1708</v>
      </c>
      <c r="B364" s="23" t="s">
        <v>1708</v>
      </c>
      <c r="C364" t="s">
        <v>1709</v>
      </c>
      <c r="D364" t="s">
        <v>1778</v>
      </c>
      <c r="E364" t="s">
        <v>546</v>
      </c>
      <c r="F364" t="s">
        <v>918</v>
      </c>
      <c r="G364" t="s">
        <v>923</v>
      </c>
      <c r="H364" s="48" t="s">
        <v>1710</v>
      </c>
      <c r="I364" t="s">
        <v>546</v>
      </c>
      <c r="J364" t="s">
        <v>546</v>
      </c>
      <c r="K364" s="2">
        <v>34.9</v>
      </c>
      <c r="L364" s="2">
        <v>259.89999999999998</v>
      </c>
      <c r="M364" s="2">
        <v>39.9</v>
      </c>
      <c r="N364" s="2">
        <f ca="1">Table1[[#This Row],[2026 (EUR)]]*(1-INDIRECT(Table1[[#This Row],[Discount Name]]))</f>
        <v>34.9</v>
      </c>
      <c r="O364" s="2">
        <f ca="1">Table1[[#This Row],[2026 (DKK)]]*(1-INDIRECT(Table1[[#This Row],[Discount Name]]))</f>
        <v>259.89999999999998</v>
      </c>
      <c r="P364" s="2" cm="1">
        <f t="array" aca="1" ref="P364" ca="1">Table1[[#This Row],[2026 (USD)]]*(1-INDIRECT(Table1[[#This Row],[Discount Name]]))</f>
        <v>39.9</v>
      </c>
      <c r="Q364" s="31">
        <f ca="1">INDIRECT(Table1[[#This Row],[Discount Name]])</f>
        <v>0</v>
      </c>
      <c r="S364" s="2">
        <f t="shared" ca="1" si="10"/>
        <v>34.9</v>
      </c>
      <c r="T364" s="2">
        <f t="shared" ca="1" si="11"/>
        <v>259.89999999999998</v>
      </c>
      <c r="U364" s="71" t="str">
        <f>IFERROR(VLOOKUP(Table1[[#This Row],[No_]],'Customer Net Price'!A:F,5,FALSE),"0")</f>
        <v>0</v>
      </c>
      <c r="V364" s="71" t="str">
        <f>IFERROR(VLOOKUP(Table1[[#This Row],[No_]],'Customer Net Price'!A:G,6,FALSE),"0")</f>
        <v>0</v>
      </c>
    </row>
    <row r="365" spans="1:22" x14ac:dyDescent="0.25">
      <c r="A365" s="23" t="s">
        <v>1711</v>
      </c>
      <c r="B365" s="23" t="s">
        <v>1711</v>
      </c>
      <c r="C365" t="s">
        <v>1714</v>
      </c>
      <c r="D365" t="s">
        <v>1778</v>
      </c>
      <c r="E365" t="s">
        <v>546</v>
      </c>
      <c r="F365" t="s">
        <v>918</v>
      </c>
      <c r="G365" t="s">
        <v>923</v>
      </c>
      <c r="H365" s="79" t="s">
        <v>1713</v>
      </c>
      <c r="I365" t="s">
        <v>546</v>
      </c>
      <c r="J365" t="s">
        <v>546</v>
      </c>
      <c r="K365" s="2">
        <v>29.9</v>
      </c>
      <c r="L365" s="2">
        <v>224.9</v>
      </c>
      <c r="M365" s="2">
        <v>34.9</v>
      </c>
      <c r="N365" s="2">
        <f ca="1">Table1[[#This Row],[2026 (EUR)]]*(1-INDIRECT(Table1[[#This Row],[Discount Name]]))</f>
        <v>29.9</v>
      </c>
      <c r="O365" s="2">
        <f ca="1">Table1[[#This Row],[2026 (DKK)]]*(1-INDIRECT(Table1[[#This Row],[Discount Name]]))</f>
        <v>224.9</v>
      </c>
      <c r="P365" s="2" cm="1">
        <f t="array" aca="1" ref="P365" ca="1">Table1[[#This Row],[2026 (USD)]]*(1-INDIRECT(Table1[[#This Row],[Discount Name]]))</f>
        <v>34.9</v>
      </c>
      <c r="Q365" s="32">
        <f ca="1">INDIRECT(Table1[[#This Row],[Discount Name]])</f>
        <v>0</v>
      </c>
      <c r="S365" s="2">
        <f t="shared" ca="1" si="10"/>
        <v>29.9</v>
      </c>
      <c r="T365" s="2">
        <f t="shared" ca="1" si="11"/>
        <v>224.9</v>
      </c>
      <c r="U365" s="71" t="str">
        <f>IFERROR(VLOOKUP(Table1[[#This Row],[No_]],'Customer Net Price'!A:F,5,FALSE),"0")</f>
        <v>0</v>
      </c>
      <c r="V365" s="71" t="str">
        <f>IFERROR(VLOOKUP(Table1[[#This Row],[No_]],'Customer Net Price'!A:G,6,FALSE),"0")</f>
        <v>0</v>
      </c>
    </row>
    <row r="366" spans="1:22" x14ac:dyDescent="0.25">
      <c r="A366" s="23" t="s">
        <v>49</v>
      </c>
      <c r="B366" s="23" t="s">
        <v>49</v>
      </c>
      <c r="C366" t="s">
        <v>211</v>
      </c>
      <c r="D366" t="s">
        <v>310</v>
      </c>
      <c r="E366" t="s">
        <v>546</v>
      </c>
      <c r="F366" t="s">
        <v>918</v>
      </c>
      <c r="G366" t="s">
        <v>923</v>
      </c>
      <c r="H366" s="102" t="s">
        <v>405</v>
      </c>
      <c r="I366">
        <v>24</v>
      </c>
      <c r="J366" t="s">
        <v>546</v>
      </c>
      <c r="K366" s="2">
        <v>79.900000000000006</v>
      </c>
      <c r="L366" s="2">
        <v>594.9</v>
      </c>
      <c r="M366" s="2">
        <v>86.9</v>
      </c>
      <c r="N366" s="2">
        <f ca="1">Table1[[#This Row],[2026 (EUR)]]*(1-INDIRECT(Table1[[#This Row],[Discount Name]]))</f>
        <v>79.900000000000006</v>
      </c>
      <c r="O366" s="2">
        <f ca="1">Table1[[#This Row],[2026 (DKK)]]*(1-INDIRECT(Table1[[#This Row],[Discount Name]]))</f>
        <v>594.9</v>
      </c>
      <c r="P366" s="2" cm="1">
        <f t="array" aca="1" ref="P366" ca="1">Table1[[#This Row],[2026 (USD)]]*(1-INDIRECT(Table1[[#This Row],[Discount Name]]))</f>
        <v>86.9</v>
      </c>
      <c r="Q366" s="31">
        <f ca="1">INDIRECT(Table1[[#This Row],[Discount Name]])</f>
        <v>0</v>
      </c>
      <c r="S366" s="2">
        <f t="shared" ca="1" si="10"/>
        <v>79.900000000000006</v>
      </c>
      <c r="T366" s="2">
        <f t="shared" ca="1" si="11"/>
        <v>594.9</v>
      </c>
      <c r="U366" s="71" t="str">
        <f>IFERROR(VLOOKUP(Table1[[#This Row],[No_]],'Customer Net Price'!A:F,5,FALSE),"0")</f>
        <v>0</v>
      </c>
      <c r="V366" s="71" t="str">
        <f>IFERROR(VLOOKUP(Table1[[#This Row],[No_]],'Customer Net Price'!A:G,6,FALSE),"0")</f>
        <v>0</v>
      </c>
    </row>
    <row r="367" spans="1:22" x14ac:dyDescent="0.25">
      <c r="A367" s="23" t="s">
        <v>152</v>
      </c>
      <c r="B367" s="23" t="s">
        <v>152</v>
      </c>
      <c r="C367" t="s">
        <v>212</v>
      </c>
      <c r="D367" t="s">
        <v>310</v>
      </c>
      <c r="E367" t="s">
        <v>546</v>
      </c>
      <c r="F367" t="s">
        <v>918</v>
      </c>
      <c r="G367" t="s">
        <v>923</v>
      </c>
      <c r="H367" s="102" t="s">
        <v>406</v>
      </c>
      <c r="I367">
        <v>1</v>
      </c>
      <c r="J367" t="s">
        <v>572</v>
      </c>
      <c r="K367" s="2">
        <v>42.9</v>
      </c>
      <c r="L367" s="2">
        <v>319.89999999999998</v>
      </c>
      <c r="M367" s="2">
        <v>47.9</v>
      </c>
      <c r="N367" s="2">
        <f ca="1">Table1[[#This Row],[2026 (EUR)]]*(1-INDIRECT(Table1[[#This Row],[Discount Name]]))</f>
        <v>42.9</v>
      </c>
      <c r="O367" s="2">
        <f ca="1">Table1[[#This Row],[2026 (DKK)]]*(1-INDIRECT(Table1[[#This Row],[Discount Name]]))</f>
        <v>319.89999999999998</v>
      </c>
      <c r="P367" s="2" cm="1">
        <f t="array" aca="1" ref="P367" ca="1">Table1[[#This Row],[2026 (USD)]]*(1-INDIRECT(Table1[[#This Row],[Discount Name]]))</f>
        <v>47.9</v>
      </c>
      <c r="Q367" s="31">
        <f ca="1">INDIRECT(Table1[[#This Row],[Discount Name]])</f>
        <v>0</v>
      </c>
      <c r="S367" s="2">
        <f t="shared" ca="1" si="10"/>
        <v>42.9</v>
      </c>
      <c r="T367" s="2">
        <f t="shared" ca="1" si="11"/>
        <v>319.89999999999998</v>
      </c>
      <c r="U367" s="71" t="str">
        <f>IFERROR(VLOOKUP(Table1[[#This Row],[No_]],'Customer Net Price'!A:F,5,FALSE),"0")</f>
        <v>0</v>
      </c>
      <c r="V367" s="71" t="str">
        <f>IFERROR(VLOOKUP(Table1[[#This Row],[No_]],'Customer Net Price'!A:G,6,FALSE),"0")</f>
        <v>0</v>
      </c>
    </row>
    <row r="368" spans="1:22" x14ac:dyDescent="0.25">
      <c r="A368" s="23" t="s">
        <v>145</v>
      </c>
      <c r="B368" s="23" t="s">
        <v>152</v>
      </c>
      <c r="C368" t="s">
        <v>212</v>
      </c>
      <c r="D368" t="s">
        <v>310</v>
      </c>
      <c r="E368" t="s">
        <v>546</v>
      </c>
      <c r="F368" t="s">
        <v>918</v>
      </c>
      <c r="G368" t="s">
        <v>923</v>
      </c>
      <c r="H368" s="102" t="s">
        <v>407</v>
      </c>
      <c r="I368">
        <v>1</v>
      </c>
      <c r="J368" t="s">
        <v>571</v>
      </c>
      <c r="K368" s="2">
        <v>42.9</v>
      </c>
      <c r="L368" s="2">
        <v>319.89999999999998</v>
      </c>
      <c r="M368" s="2">
        <v>47.9</v>
      </c>
      <c r="N368" s="2">
        <f ca="1">Table1[[#This Row],[2026 (EUR)]]*(1-INDIRECT(Table1[[#This Row],[Discount Name]]))</f>
        <v>42.9</v>
      </c>
      <c r="O368" s="2">
        <f ca="1">Table1[[#This Row],[2026 (DKK)]]*(1-INDIRECT(Table1[[#This Row],[Discount Name]]))</f>
        <v>319.89999999999998</v>
      </c>
      <c r="P368" s="2" cm="1">
        <f t="array" aca="1" ref="P368" ca="1">Table1[[#This Row],[2026 (USD)]]*(1-INDIRECT(Table1[[#This Row],[Discount Name]]))</f>
        <v>47.9</v>
      </c>
      <c r="Q368" s="31">
        <f ca="1">INDIRECT(Table1[[#This Row],[Discount Name]])</f>
        <v>0</v>
      </c>
      <c r="S368" s="2">
        <f t="shared" ca="1" si="10"/>
        <v>42.9</v>
      </c>
      <c r="T368" s="2">
        <f t="shared" ca="1" si="11"/>
        <v>319.89999999999998</v>
      </c>
      <c r="U368" s="71" t="str">
        <f>IFERROR(VLOOKUP(Table1[[#This Row],[No_]],'Customer Net Price'!A:F,5,FALSE),"0")</f>
        <v>0</v>
      </c>
      <c r="V368" s="71" t="str">
        <f>IFERROR(VLOOKUP(Table1[[#This Row],[No_]],'Customer Net Price'!A:G,6,FALSE),"0")</f>
        <v>0</v>
      </c>
    </row>
    <row r="369" spans="1:22" x14ac:dyDescent="0.25">
      <c r="A369" s="23" t="s">
        <v>151</v>
      </c>
      <c r="B369" s="23" t="s">
        <v>152</v>
      </c>
      <c r="C369" t="s">
        <v>212</v>
      </c>
      <c r="D369" t="s">
        <v>310</v>
      </c>
      <c r="E369" t="s">
        <v>546</v>
      </c>
      <c r="F369" t="s">
        <v>918</v>
      </c>
      <c r="G369" t="s">
        <v>923</v>
      </c>
      <c r="H369" s="1" t="s">
        <v>408</v>
      </c>
      <c r="I369">
        <v>1</v>
      </c>
      <c r="J369" t="s">
        <v>570</v>
      </c>
      <c r="K369" s="2">
        <v>42.9</v>
      </c>
      <c r="L369" s="2">
        <v>319.89999999999998</v>
      </c>
      <c r="M369" s="2">
        <v>47.9</v>
      </c>
      <c r="N369" s="2">
        <f ca="1">Table1[[#This Row],[2026 (EUR)]]*(1-INDIRECT(Table1[[#This Row],[Discount Name]]))</f>
        <v>42.9</v>
      </c>
      <c r="O369" s="2">
        <f ca="1">Table1[[#This Row],[2026 (DKK)]]*(1-INDIRECT(Table1[[#This Row],[Discount Name]]))</f>
        <v>319.89999999999998</v>
      </c>
      <c r="P369" s="2" cm="1">
        <f t="array" aca="1" ref="P369" ca="1">Table1[[#This Row],[2026 (USD)]]*(1-INDIRECT(Table1[[#This Row],[Discount Name]]))</f>
        <v>47.9</v>
      </c>
      <c r="Q369" s="31">
        <f ca="1">INDIRECT(Table1[[#This Row],[Discount Name]])</f>
        <v>0</v>
      </c>
      <c r="S369" s="2">
        <f t="shared" ca="1" si="10"/>
        <v>42.9</v>
      </c>
      <c r="T369" s="2">
        <f t="shared" ca="1" si="11"/>
        <v>319.89999999999998</v>
      </c>
      <c r="U369" s="71" t="str">
        <f>IFERROR(VLOOKUP(Table1[[#This Row],[No_]],'Customer Net Price'!A:F,5,FALSE),"0")</f>
        <v>0</v>
      </c>
      <c r="V369" s="71" t="str">
        <f>IFERROR(VLOOKUP(Table1[[#This Row],[No_]],'Customer Net Price'!A:G,6,FALSE),"0")</f>
        <v>0</v>
      </c>
    </row>
    <row r="370" spans="1:22" x14ac:dyDescent="0.25">
      <c r="A370" s="23" t="s">
        <v>82</v>
      </c>
      <c r="B370" s="23" t="s">
        <v>152</v>
      </c>
      <c r="C370" t="s">
        <v>212</v>
      </c>
      <c r="D370" t="s">
        <v>310</v>
      </c>
      <c r="E370" t="s">
        <v>546</v>
      </c>
      <c r="F370" t="s">
        <v>918</v>
      </c>
      <c r="G370" t="s">
        <v>923</v>
      </c>
      <c r="H370" s="1" t="s">
        <v>409</v>
      </c>
      <c r="I370">
        <v>1</v>
      </c>
      <c r="J370" t="s">
        <v>562</v>
      </c>
      <c r="K370" s="2">
        <v>42.9</v>
      </c>
      <c r="L370" s="2">
        <v>319.89999999999998</v>
      </c>
      <c r="M370" s="2">
        <v>48.9</v>
      </c>
      <c r="N370" s="2">
        <f ca="1">Table1[[#This Row],[2026 (EUR)]]*(1-INDIRECT(Table1[[#This Row],[Discount Name]]))</f>
        <v>42.9</v>
      </c>
      <c r="O370" s="2">
        <f ca="1">Table1[[#This Row],[2026 (DKK)]]*(1-INDIRECT(Table1[[#This Row],[Discount Name]]))</f>
        <v>319.89999999999998</v>
      </c>
      <c r="P370" s="2" cm="1">
        <f t="array" aca="1" ref="P370" ca="1">Table1[[#This Row],[2026 (USD)]]*(1-INDIRECT(Table1[[#This Row],[Discount Name]]))</f>
        <v>48.9</v>
      </c>
      <c r="Q370" s="31">
        <f ca="1">INDIRECT(Table1[[#This Row],[Discount Name]])</f>
        <v>0</v>
      </c>
      <c r="S370" s="2">
        <f t="shared" ca="1" si="10"/>
        <v>42.9</v>
      </c>
      <c r="T370" s="2">
        <f t="shared" ca="1" si="11"/>
        <v>319.89999999999998</v>
      </c>
      <c r="U370" s="71" t="str">
        <f>IFERROR(VLOOKUP(Table1[[#This Row],[No_]],'Customer Net Price'!A:F,5,FALSE),"0")</f>
        <v>0</v>
      </c>
      <c r="V370" s="71" t="str">
        <f>IFERROR(VLOOKUP(Table1[[#This Row],[No_]],'Customer Net Price'!A:G,6,FALSE),"0")</f>
        <v>0</v>
      </c>
    </row>
    <row r="371" spans="1:22" x14ac:dyDescent="0.25">
      <c r="A371" s="23" t="s">
        <v>126</v>
      </c>
      <c r="B371" s="23" t="s">
        <v>126</v>
      </c>
      <c r="C371" t="s">
        <v>213</v>
      </c>
      <c r="D371" t="s">
        <v>310</v>
      </c>
      <c r="E371" t="s">
        <v>546</v>
      </c>
      <c r="F371" t="s">
        <v>918</v>
      </c>
      <c r="G371" t="s">
        <v>923</v>
      </c>
      <c r="H371" s="1" t="s">
        <v>410</v>
      </c>
      <c r="I371">
        <v>1</v>
      </c>
      <c r="J371" t="s">
        <v>572</v>
      </c>
      <c r="K371" s="2">
        <v>59.9</v>
      </c>
      <c r="L371" s="2">
        <v>444.9</v>
      </c>
      <c r="M371" s="2">
        <v>59.9</v>
      </c>
      <c r="N371" s="2">
        <f ca="1">Table1[[#This Row],[2026 (EUR)]]*(1-INDIRECT(Table1[[#This Row],[Discount Name]]))</f>
        <v>59.9</v>
      </c>
      <c r="O371" s="2">
        <f ca="1">Table1[[#This Row],[2026 (DKK)]]*(1-INDIRECT(Table1[[#This Row],[Discount Name]]))</f>
        <v>444.9</v>
      </c>
      <c r="P371" s="2" cm="1">
        <f t="array" aca="1" ref="P371" ca="1">Table1[[#This Row],[2026 (USD)]]*(1-INDIRECT(Table1[[#This Row],[Discount Name]]))</f>
        <v>59.9</v>
      </c>
      <c r="Q371" s="31">
        <f ca="1">INDIRECT(Table1[[#This Row],[Discount Name]])</f>
        <v>0</v>
      </c>
      <c r="S371" s="2">
        <f t="shared" ca="1" si="10"/>
        <v>59.9</v>
      </c>
      <c r="T371" s="2">
        <f t="shared" ca="1" si="11"/>
        <v>444.9</v>
      </c>
      <c r="U371" s="71" t="str">
        <f>IFERROR(VLOOKUP(Table1[[#This Row],[No_]],'Customer Net Price'!A:F,5,FALSE),"0")</f>
        <v>0</v>
      </c>
      <c r="V371" s="71" t="str">
        <f>IFERROR(VLOOKUP(Table1[[#This Row],[No_]],'Customer Net Price'!A:G,6,FALSE),"0")</f>
        <v>0</v>
      </c>
    </row>
    <row r="372" spans="1:22" x14ac:dyDescent="0.25">
      <c r="A372" s="23" t="s">
        <v>127</v>
      </c>
      <c r="B372" s="23" t="s">
        <v>126</v>
      </c>
      <c r="C372" t="s">
        <v>213</v>
      </c>
      <c r="D372" t="s">
        <v>310</v>
      </c>
      <c r="E372" t="s">
        <v>546</v>
      </c>
      <c r="F372" t="s">
        <v>918</v>
      </c>
      <c r="G372" t="s">
        <v>923</v>
      </c>
      <c r="H372" s="1" t="s">
        <v>411</v>
      </c>
      <c r="I372">
        <v>1</v>
      </c>
      <c r="J372" t="s">
        <v>571</v>
      </c>
      <c r="K372" s="2">
        <v>53.9</v>
      </c>
      <c r="L372" s="2">
        <v>444.9</v>
      </c>
      <c r="M372" s="2">
        <v>59.9</v>
      </c>
      <c r="N372" s="2">
        <f ca="1">Table1[[#This Row],[2026 (EUR)]]*(1-INDIRECT(Table1[[#This Row],[Discount Name]]))</f>
        <v>53.9</v>
      </c>
      <c r="O372" s="2">
        <f ca="1">Table1[[#This Row],[2026 (DKK)]]*(1-INDIRECT(Table1[[#This Row],[Discount Name]]))</f>
        <v>444.9</v>
      </c>
      <c r="P372" s="2" cm="1">
        <f t="array" aca="1" ref="P372" ca="1">Table1[[#This Row],[2026 (USD)]]*(1-INDIRECT(Table1[[#This Row],[Discount Name]]))</f>
        <v>59.9</v>
      </c>
      <c r="Q372" s="31">
        <f ca="1">INDIRECT(Table1[[#This Row],[Discount Name]])</f>
        <v>0</v>
      </c>
      <c r="S372" s="2">
        <f t="shared" ca="1" si="10"/>
        <v>53.9</v>
      </c>
      <c r="T372" s="2">
        <f t="shared" ca="1" si="11"/>
        <v>444.9</v>
      </c>
      <c r="U372" s="71" t="str">
        <f>IFERROR(VLOOKUP(Table1[[#This Row],[No_]],'Customer Net Price'!A:F,5,FALSE),"0")</f>
        <v>0</v>
      </c>
      <c r="V372" s="71" t="str">
        <f>IFERROR(VLOOKUP(Table1[[#This Row],[No_]],'Customer Net Price'!A:G,6,FALSE),"0")</f>
        <v>0</v>
      </c>
    </row>
    <row r="373" spans="1:22" x14ac:dyDescent="0.25">
      <c r="A373" s="23" t="s">
        <v>128</v>
      </c>
      <c r="B373" s="23" t="s">
        <v>126</v>
      </c>
      <c r="C373" t="s">
        <v>213</v>
      </c>
      <c r="D373" t="s">
        <v>310</v>
      </c>
      <c r="E373" t="s">
        <v>546</v>
      </c>
      <c r="F373" t="s">
        <v>918</v>
      </c>
      <c r="G373" t="s">
        <v>923</v>
      </c>
      <c r="H373" s="1" t="s">
        <v>412</v>
      </c>
      <c r="I373">
        <v>1</v>
      </c>
      <c r="J373" t="s">
        <v>570</v>
      </c>
      <c r="K373" s="2">
        <v>53.9</v>
      </c>
      <c r="L373" s="2">
        <v>444.9</v>
      </c>
      <c r="M373" s="2">
        <v>59.9</v>
      </c>
      <c r="N373" s="2">
        <f ca="1">Table1[[#This Row],[2026 (EUR)]]*(1-INDIRECT(Table1[[#This Row],[Discount Name]]))</f>
        <v>53.9</v>
      </c>
      <c r="O373" s="2">
        <f ca="1">Table1[[#This Row],[2026 (DKK)]]*(1-INDIRECT(Table1[[#This Row],[Discount Name]]))</f>
        <v>444.9</v>
      </c>
      <c r="P373" s="2" cm="1">
        <f t="array" aca="1" ref="P373" ca="1">Table1[[#This Row],[2026 (USD)]]*(1-INDIRECT(Table1[[#This Row],[Discount Name]]))</f>
        <v>59.9</v>
      </c>
      <c r="Q373" s="31">
        <f ca="1">INDIRECT(Table1[[#This Row],[Discount Name]])</f>
        <v>0</v>
      </c>
      <c r="S373" s="2">
        <f t="shared" ca="1" si="10"/>
        <v>53.9</v>
      </c>
      <c r="T373" s="2">
        <f t="shared" ca="1" si="11"/>
        <v>444.9</v>
      </c>
      <c r="U373" s="71" t="str">
        <f>IFERROR(VLOOKUP(Table1[[#This Row],[No_]],'Customer Net Price'!A:F,5,FALSE),"0")</f>
        <v>0</v>
      </c>
      <c r="V373" s="71" t="str">
        <f>IFERROR(VLOOKUP(Table1[[#This Row],[No_]],'Customer Net Price'!A:G,6,FALSE),"0")</f>
        <v>0</v>
      </c>
    </row>
    <row r="374" spans="1:22" x14ac:dyDescent="0.25">
      <c r="A374" s="23" t="s">
        <v>806</v>
      </c>
      <c r="B374" s="23" t="s">
        <v>126</v>
      </c>
      <c r="C374" t="s">
        <v>213</v>
      </c>
      <c r="D374" t="s">
        <v>310</v>
      </c>
      <c r="E374" t="s">
        <v>546</v>
      </c>
      <c r="F374" t="s">
        <v>918</v>
      </c>
      <c r="G374" t="s">
        <v>923</v>
      </c>
      <c r="H374" s="46" t="s">
        <v>834</v>
      </c>
      <c r="I374" t="s">
        <v>546</v>
      </c>
      <c r="J374" t="s">
        <v>562</v>
      </c>
      <c r="K374" s="2">
        <v>53.9</v>
      </c>
      <c r="L374" s="2">
        <v>444.9</v>
      </c>
      <c r="M374" s="2">
        <v>59.9</v>
      </c>
      <c r="N374" s="2">
        <f ca="1">Table1[[#This Row],[2026 (EUR)]]*(1-INDIRECT(Table1[[#This Row],[Discount Name]]))</f>
        <v>53.9</v>
      </c>
      <c r="O374" s="2">
        <f ca="1">Table1[[#This Row],[2026 (DKK)]]*(1-INDIRECT(Table1[[#This Row],[Discount Name]]))</f>
        <v>444.9</v>
      </c>
      <c r="P374" s="2" cm="1">
        <f t="array" aca="1" ref="P374" ca="1">Table1[[#This Row],[2026 (USD)]]*(1-INDIRECT(Table1[[#This Row],[Discount Name]]))</f>
        <v>59.9</v>
      </c>
      <c r="Q374" s="31">
        <f ca="1">INDIRECT(Table1[[#This Row],[Discount Name]])</f>
        <v>0</v>
      </c>
      <c r="S374" s="2">
        <f t="shared" ca="1" si="10"/>
        <v>53.9</v>
      </c>
      <c r="T374" s="2">
        <f t="shared" ca="1" si="11"/>
        <v>444.9</v>
      </c>
      <c r="U374" s="71" t="str">
        <f>IFERROR(VLOOKUP(Table1[[#This Row],[No_]],'Customer Net Price'!A:F,5,FALSE),"0")</f>
        <v>0</v>
      </c>
      <c r="V374" s="71" t="str">
        <f>IFERROR(VLOOKUP(Table1[[#This Row],[No_]],'Customer Net Price'!A:G,6,FALSE),"0")</f>
        <v>0</v>
      </c>
    </row>
    <row r="375" spans="1:22" x14ac:dyDescent="0.25">
      <c r="A375" s="23" t="s">
        <v>153</v>
      </c>
      <c r="B375" s="23" t="s">
        <v>153</v>
      </c>
      <c r="C375" t="s">
        <v>214</v>
      </c>
      <c r="D375" t="s">
        <v>310</v>
      </c>
      <c r="E375" t="s">
        <v>546</v>
      </c>
      <c r="F375" t="s">
        <v>918</v>
      </c>
      <c r="G375" t="s">
        <v>923</v>
      </c>
      <c r="H375" s="1" t="s">
        <v>413</v>
      </c>
      <c r="I375">
        <v>1</v>
      </c>
      <c r="J375" t="s">
        <v>572</v>
      </c>
      <c r="K375" s="2">
        <v>79.900000000000006</v>
      </c>
      <c r="L375" s="2">
        <v>594.9</v>
      </c>
      <c r="M375" s="2">
        <v>84.9</v>
      </c>
      <c r="N375" s="2">
        <f ca="1">Table1[[#This Row],[2026 (EUR)]]*(1-INDIRECT(Table1[[#This Row],[Discount Name]]))</f>
        <v>79.900000000000006</v>
      </c>
      <c r="O375" s="2">
        <f ca="1">Table1[[#This Row],[2026 (DKK)]]*(1-INDIRECT(Table1[[#This Row],[Discount Name]]))</f>
        <v>594.9</v>
      </c>
      <c r="P375" s="2" cm="1">
        <f t="array" aca="1" ref="P375" ca="1">Table1[[#This Row],[2026 (USD)]]*(1-INDIRECT(Table1[[#This Row],[Discount Name]]))</f>
        <v>84.9</v>
      </c>
      <c r="Q375" s="31">
        <f ca="1">INDIRECT(Table1[[#This Row],[Discount Name]])</f>
        <v>0</v>
      </c>
      <c r="S375" s="2">
        <f t="shared" ca="1" si="10"/>
        <v>79.900000000000006</v>
      </c>
      <c r="T375" s="2">
        <f t="shared" ca="1" si="11"/>
        <v>594.9</v>
      </c>
      <c r="U375" s="71" t="str">
        <f>IFERROR(VLOOKUP(Table1[[#This Row],[No_]],'Customer Net Price'!A:F,5,FALSE),"0")</f>
        <v>0</v>
      </c>
      <c r="V375" s="71" t="str">
        <f>IFERROR(VLOOKUP(Table1[[#This Row],[No_]],'Customer Net Price'!A:G,6,FALSE),"0")</f>
        <v>0</v>
      </c>
    </row>
    <row r="376" spans="1:22" x14ac:dyDescent="0.25">
      <c r="A376" s="23" t="s">
        <v>146</v>
      </c>
      <c r="B376" s="23" t="s">
        <v>153</v>
      </c>
      <c r="C376" t="s">
        <v>214</v>
      </c>
      <c r="D376" t="s">
        <v>310</v>
      </c>
      <c r="E376" t="s">
        <v>546</v>
      </c>
      <c r="F376" t="s">
        <v>918</v>
      </c>
      <c r="G376" t="s">
        <v>923</v>
      </c>
      <c r="H376" s="1" t="s">
        <v>414</v>
      </c>
      <c r="I376">
        <v>1</v>
      </c>
      <c r="J376" t="s">
        <v>571</v>
      </c>
      <c r="K376" s="2">
        <v>74.900000000000006</v>
      </c>
      <c r="L376" s="2">
        <v>594.9</v>
      </c>
      <c r="M376" s="2">
        <v>84.9</v>
      </c>
      <c r="N376" s="2">
        <f ca="1">Table1[[#This Row],[2026 (EUR)]]*(1-INDIRECT(Table1[[#This Row],[Discount Name]]))</f>
        <v>74.900000000000006</v>
      </c>
      <c r="O376" s="2">
        <f ca="1">Table1[[#This Row],[2026 (DKK)]]*(1-INDIRECT(Table1[[#This Row],[Discount Name]]))</f>
        <v>594.9</v>
      </c>
      <c r="P376" s="2" cm="1">
        <f t="array" aca="1" ref="P376" ca="1">Table1[[#This Row],[2026 (USD)]]*(1-INDIRECT(Table1[[#This Row],[Discount Name]]))</f>
        <v>84.9</v>
      </c>
      <c r="Q376" s="31">
        <f ca="1">INDIRECT(Table1[[#This Row],[Discount Name]])</f>
        <v>0</v>
      </c>
      <c r="S376" s="2">
        <f t="shared" ca="1" si="10"/>
        <v>74.900000000000006</v>
      </c>
      <c r="T376" s="2">
        <f t="shared" ca="1" si="11"/>
        <v>594.9</v>
      </c>
      <c r="U376" s="71" t="str">
        <f>IFERROR(VLOOKUP(Table1[[#This Row],[No_]],'Customer Net Price'!A:F,5,FALSE),"0")</f>
        <v>0</v>
      </c>
      <c r="V376" s="71" t="str">
        <f>IFERROR(VLOOKUP(Table1[[#This Row],[No_]],'Customer Net Price'!A:G,6,FALSE),"0")</f>
        <v>0</v>
      </c>
    </row>
    <row r="377" spans="1:22" x14ac:dyDescent="0.25">
      <c r="A377" s="23" t="s">
        <v>129</v>
      </c>
      <c r="B377" s="23" t="s">
        <v>153</v>
      </c>
      <c r="C377" t="s">
        <v>214</v>
      </c>
      <c r="D377" t="s">
        <v>310</v>
      </c>
      <c r="E377" t="s">
        <v>546</v>
      </c>
      <c r="F377" t="s">
        <v>918</v>
      </c>
      <c r="G377" t="s">
        <v>923</v>
      </c>
      <c r="H377" s="1" t="s">
        <v>415</v>
      </c>
      <c r="I377">
        <v>1</v>
      </c>
      <c r="J377" t="s">
        <v>570</v>
      </c>
      <c r="K377" s="2">
        <v>74.900000000000006</v>
      </c>
      <c r="L377" s="2">
        <v>594.9</v>
      </c>
      <c r="M377" s="2">
        <v>84.9</v>
      </c>
      <c r="N377" s="2">
        <f ca="1">Table1[[#This Row],[2026 (EUR)]]*(1-INDIRECT(Table1[[#This Row],[Discount Name]]))</f>
        <v>74.900000000000006</v>
      </c>
      <c r="O377" s="2">
        <f ca="1">Table1[[#This Row],[2026 (DKK)]]*(1-INDIRECT(Table1[[#This Row],[Discount Name]]))</f>
        <v>594.9</v>
      </c>
      <c r="P377" s="2" cm="1">
        <f t="array" aca="1" ref="P377" ca="1">Table1[[#This Row],[2026 (USD)]]*(1-INDIRECT(Table1[[#This Row],[Discount Name]]))</f>
        <v>84.9</v>
      </c>
      <c r="Q377" s="31">
        <f ca="1">INDIRECT(Table1[[#This Row],[Discount Name]])</f>
        <v>0</v>
      </c>
      <c r="S377" s="2">
        <f t="shared" ca="1" si="10"/>
        <v>74.900000000000006</v>
      </c>
      <c r="T377" s="2">
        <f t="shared" ca="1" si="11"/>
        <v>594.9</v>
      </c>
      <c r="U377" s="71" t="str">
        <f>IFERROR(VLOOKUP(Table1[[#This Row],[No_]],'Customer Net Price'!A:F,5,FALSE),"0")</f>
        <v>0</v>
      </c>
      <c r="V377" s="71" t="str">
        <f>IFERROR(VLOOKUP(Table1[[#This Row],[No_]],'Customer Net Price'!A:G,6,FALSE),"0")</f>
        <v>0</v>
      </c>
    </row>
    <row r="378" spans="1:22" x14ac:dyDescent="0.25">
      <c r="A378" s="23" t="s">
        <v>83</v>
      </c>
      <c r="B378" s="23" t="s">
        <v>153</v>
      </c>
      <c r="C378" t="s">
        <v>214</v>
      </c>
      <c r="D378" t="s">
        <v>310</v>
      </c>
      <c r="E378" t="s">
        <v>546</v>
      </c>
      <c r="F378" t="s">
        <v>918</v>
      </c>
      <c r="G378" t="s">
        <v>923</v>
      </c>
      <c r="H378" s="1" t="s">
        <v>416</v>
      </c>
      <c r="I378">
        <v>1</v>
      </c>
      <c r="J378" t="s">
        <v>562</v>
      </c>
      <c r="K378" s="2">
        <v>74.900000000000006</v>
      </c>
      <c r="L378" s="2">
        <v>594.9</v>
      </c>
      <c r="M378" s="2">
        <v>86.9</v>
      </c>
      <c r="N378" s="2">
        <f ca="1">Table1[[#This Row],[2026 (EUR)]]*(1-INDIRECT(Table1[[#This Row],[Discount Name]]))</f>
        <v>74.900000000000006</v>
      </c>
      <c r="O378" s="2">
        <f ca="1">Table1[[#This Row],[2026 (DKK)]]*(1-INDIRECT(Table1[[#This Row],[Discount Name]]))</f>
        <v>594.9</v>
      </c>
      <c r="P378" s="2" cm="1">
        <f t="array" aca="1" ref="P378" ca="1">Table1[[#This Row],[2026 (USD)]]*(1-INDIRECT(Table1[[#This Row],[Discount Name]]))</f>
        <v>86.9</v>
      </c>
      <c r="Q378" s="31">
        <f ca="1">INDIRECT(Table1[[#This Row],[Discount Name]])</f>
        <v>0</v>
      </c>
      <c r="S378" s="2">
        <f t="shared" ca="1" si="10"/>
        <v>74.900000000000006</v>
      </c>
      <c r="T378" s="2">
        <f t="shared" ca="1" si="11"/>
        <v>594.9</v>
      </c>
      <c r="U378" s="71" t="str">
        <f>IFERROR(VLOOKUP(Table1[[#This Row],[No_]],'Customer Net Price'!A:F,5,FALSE),"0")</f>
        <v>0</v>
      </c>
      <c r="V378" s="71" t="str">
        <f>IFERROR(VLOOKUP(Table1[[#This Row],[No_]],'Customer Net Price'!A:G,6,FALSE),"0")</f>
        <v>0</v>
      </c>
    </row>
    <row r="379" spans="1:22" x14ac:dyDescent="0.25">
      <c r="A379" s="23" t="s">
        <v>986</v>
      </c>
      <c r="B379" s="23" t="s">
        <v>986</v>
      </c>
      <c r="C379" t="s">
        <v>1016</v>
      </c>
      <c r="D379" t="s">
        <v>1011</v>
      </c>
      <c r="E379" t="s">
        <v>482</v>
      </c>
      <c r="F379" t="s">
        <v>919</v>
      </c>
      <c r="G379" t="s">
        <v>919</v>
      </c>
      <c r="H379" s="1" t="s">
        <v>1017</v>
      </c>
      <c r="I379">
        <v>6</v>
      </c>
      <c r="J379" t="s">
        <v>546</v>
      </c>
      <c r="K379" s="2">
        <v>99.9</v>
      </c>
      <c r="L379" s="2">
        <v>743.9</v>
      </c>
      <c r="M379" s="2">
        <v>108.9</v>
      </c>
      <c r="N379" s="2">
        <f ca="1">Table1[[#This Row],[2026 (EUR)]]*(1-INDIRECT(Table1[[#This Row],[Discount Name]]))</f>
        <v>99.9</v>
      </c>
      <c r="O379" s="2">
        <f ca="1">Table1[[#This Row],[2026 (DKK)]]*(1-INDIRECT(Table1[[#This Row],[Discount Name]]))</f>
        <v>743.9</v>
      </c>
      <c r="P379" s="2" cm="1">
        <f t="array" aca="1" ref="P379" ca="1">Table1[[#This Row],[2026 (USD)]]*(1-INDIRECT(Table1[[#This Row],[Discount Name]]))</f>
        <v>108.9</v>
      </c>
      <c r="Q379" s="31">
        <f ca="1">INDIRECT(Table1[[#This Row],[Discount Name]])</f>
        <v>0</v>
      </c>
      <c r="S379" s="2">
        <f t="shared" ca="1" si="10"/>
        <v>99.9</v>
      </c>
      <c r="T379" s="2">
        <f t="shared" ca="1" si="11"/>
        <v>743.9</v>
      </c>
      <c r="U379" s="71" t="str">
        <f>IFERROR(VLOOKUP(Table1[[#This Row],[No_]],'Customer Net Price'!A:F,5,FALSE),"0")</f>
        <v>0</v>
      </c>
      <c r="V379" s="71" t="str">
        <f>IFERROR(VLOOKUP(Table1[[#This Row],[No_]],'Customer Net Price'!A:G,6,FALSE),"0")</f>
        <v>0</v>
      </c>
    </row>
    <row r="380" spans="1:22" x14ac:dyDescent="0.25">
      <c r="A380" s="23" t="s">
        <v>987</v>
      </c>
      <c r="B380" s="23" t="s">
        <v>987</v>
      </c>
      <c r="C380" t="s">
        <v>1018</v>
      </c>
      <c r="D380" t="s">
        <v>1011</v>
      </c>
      <c r="E380" t="s">
        <v>482</v>
      </c>
      <c r="F380" t="s">
        <v>919</v>
      </c>
      <c r="G380" t="s">
        <v>919</v>
      </c>
      <c r="H380" s="1" t="s">
        <v>1019</v>
      </c>
      <c r="I380">
        <v>4</v>
      </c>
      <c r="J380" t="s">
        <v>546</v>
      </c>
      <c r="K380" s="2">
        <v>189.9</v>
      </c>
      <c r="L380" s="2">
        <v>1409.9</v>
      </c>
      <c r="M380" s="2">
        <v>205.9</v>
      </c>
      <c r="N380" s="2">
        <f ca="1">Table1[[#This Row],[2026 (EUR)]]*(1-INDIRECT(Table1[[#This Row],[Discount Name]]))</f>
        <v>189.9</v>
      </c>
      <c r="O380" s="2">
        <f ca="1">Table1[[#This Row],[2026 (DKK)]]*(1-INDIRECT(Table1[[#This Row],[Discount Name]]))</f>
        <v>1409.9</v>
      </c>
      <c r="P380" s="2" cm="1">
        <f t="array" aca="1" ref="P380" ca="1">Table1[[#This Row],[2026 (USD)]]*(1-INDIRECT(Table1[[#This Row],[Discount Name]]))</f>
        <v>205.9</v>
      </c>
      <c r="Q380" s="31">
        <f ca="1">INDIRECT(Table1[[#This Row],[Discount Name]])</f>
        <v>0</v>
      </c>
      <c r="S380" s="2">
        <f t="shared" ca="1" si="10"/>
        <v>189.9</v>
      </c>
      <c r="T380" s="2">
        <f t="shared" ca="1" si="11"/>
        <v>1409.9</v>
      </c>
      <c r="U380" s="71" t="str">
        <f>IFERROR(VLOOKUP(Table1[[#This Row],[No_]],'Customer Net Price'!A:F,5,FALSE),"0")</f>
        <v>0</v>
      </c>
      <c r="V380" s="71" t="str">
        <f>IFERROR(VLOOKUP(Table1[[#This Row],[No_]],'Customer Net Price'!A:G,6,FALSE),"0")</f>
        <v>0</v>
      </c>
    </row>
    <row r="381" spans="1:22" x14ac:dyDescent="0.25">
      <c r="A381" s="23" t="s">
        <v>988</v>
      </c>
      <c r="B381" s="23" t="s">
        <v>988</v>
      </c>
      <c r="C381" t="s">
        <v>1020</v>
      </c>
      <c r="D381" t="s">
        <v>1011</v>
      </c>
      <c r="E381" t="s">
        <v>482</v>
      </c>
      <c r="F381" t="s">
        <v>919</v>
      </c>
      <c r="G381" t="s">
        <v>919</v>
      </c>
      <c r="H381" s="1" t="s">
        <v>1021</v>
      </c>
      <c r="I381">
        <v>3</v>
      </c>
      <c r="J381" t="s">
        <v>546</v>
      </c>
      <c r="K381" s="2">
        <v>299.89999999999998</v>
      </c>
      <c r="L381" s="2">
        <v>2231.9</v>
      </c>
      <c r="M381" s="2">
        <v>325.89999999999998</v>
      </c>
      <c r="N381" s="2">
        <f ca="1">Table1[[#This Row],[2026 (EUR)]]*(1-INDIRECT(Table1[[#This Row],[Discount Name]]))</f>
        <v>299.89999999999998</v>
      </c>
      <c r="O381" s="2">
        <f ca="1">Table1[[#This Row],[2026 (DKK)]]*(1-INDIRECT(Table1[[#This Row],[Discount Name]]))</f>
        <v>2231.9</v>
      </c>
      <c r="P381" s="2" cm="1">
        <f t="array" aca="1" ref="P381" ca="1">Table1[[#This Row],[2026 (USD)]]*(1-INDIRECT(Table1[[#This Row],[Discount Name]]))</f>
        <v>325.89999999999998</v>
      </c>
      <c r="Q381" s="31">
        <f ca="1">INDIRECT(Table1[[#This Row],[Discount Name]])</f>
        <v>0</v>
      </c>
      <c r="S381" s="2">
        <f t="shared" ca="1" si="10"/>
        <v>299.89999999999998</v>
      </c>
      <c r="T381" s="2">
        <f t="shared" ca="1" si="11"/>
        <v>2231.9</v>
      </c>
      <c r="U381" s="71" t="str">
        <f>IFERROR(VLOOKUP(Table1[[#This Row],[No_]],'Customer Net Price'!A:F,5,FALSE),"0")</f>
        <v>0</v>
      </c>
      <c r="V381" s="71" t="str">
        <f>IFERROR(VLOOKUP(Table1[[#This Row],[No_]],'Customer Net Price'!A:G,6,FALSE),"0")</f>
        <v>0</v>
      </c>
    </row>
    <row r="382" spans="1:22" x14ac:dyDescent="0.25">
      <c r="A382" s="23" t="s">
        <v>990</v>
      </c>
      <c r="B382" s="23" t="s">
        <v>990</v>
      </c>
      <c r="C382" t="s">
        <v>1024</v>
      </c>
      <c r="D382" t="s">
        <v>1011</v>
      </c>
      <c r="E382" t="s">
        <v>899</v>
      </c>
      <c r="F382" t="s">
        <v>919</v>
      </c>
      <c r="G382" t="s">
        <v>919</v>
      </c>
      <c r="H382" s="1" t="s">
        <v>1025</v>
      </c>
      <c r="I382">
        <v>3</v>
      </c>
      <c r="J382" t="s">
        <v>546</v>
      </c>
      <c r="K382" s="2">
        <v>304.89999999999998</v>
      </c>
      <c r="L382" s="2">
        <v>2268</v>
      </c>
      <c r="M382" s="2">
        <v>338.9</v>
      </c>
      <c r="N382" s="2">
        <f ca="1">Table1[[#This Row],[2026 (EUR)]]*(1-INDIRECT(Table1[[#This Row],[Discount Name]]))</f>
        <v>304.89999999999998</v>
      </c>
      <c r="O382" s="2">
        <f ca="1">Table1[[#This Row],[2026 (DKK)]]*(1-INDIRECT(Table1[[#This Row],[Discount Name]]))</f>
        <v>2268</v>
      </c>
      <c r="P382" s="2" cm="1">
        <f t="array" aca="1" ref="P382" ca="1">Table1[[#This Row],[2026 (USD)]]*(1-INDIRECT(Table1[[#This Row],[Discount Name]]))</f>
        <v>338.9</v>
      </c>
      <c r="Q382" s="31">
        <f ca="1">INDIRECT(Table1[[#This Row],[Discount Name]])</f>
        <v>0</v>
      </c>
      <c r="S382" s="2">
        <f t="shared" ca="1" si="10"/>
        <v>304.89999999999998</v>
      </c>
      <c r="T382" s="2">
        <f t="shared" ca="1" si="11"/>
        <v>2268</v>
      </c>
      <c r="U382" s="71" t="str">
        <f>IFERROR(VLOOKUP(Table1[[#This Row],[No_]],'Customer Net Price'!A:F,5,FALSE),"0")</f>
        <v>0</v>
      </c>
      <c r="V382" s="71" t="str">
        <f>IFERROR(VLOOKUP(Table1[[#This Row],[No_]],'Customer Net Price'!A:G,6,FALSE),"0")</f>
        <v>0</v>
      </c>
    </row>
    <row r="383" spans="1:22" x14ac:dyDescent="0.25">
      <c r="A383" s="23" t="s">
        <v>991</v>
      </c>
      <c r="B383" s="23" t="s">
        <v>991</v>
      </c>
      <c r="C383" t="s">
        <v>1026</v>
      </c>
      <c r="D383" t="s">
        <v>1011</v>
      </c>
      <c r="E383" t="s">
        <v>1013</v>
      </c>
      <c r="F383" t="s">
        <v>919</v>
      </c>
      <c r="G383" t="s">
        <v>919</v>
      </c>
      <c r="H383" s="1" t="s">
        <v>1027</v>
      </c>
      <c r="I383">
        <v>4</v>
      </c>
      <c r="J383" t="s">
        <v>546</v>
      </c>
      <c r="K383" s="2">
        <v>134.9</v>
      </c>
      <c r="L383" s="2">
        <v>999.9</v>
      </c>
      <c r="M383" s="2">
        <v>145.9</v>
      </c>
      <c r="N383" s="2">
        <f ca="1">Table1[[#This Row],[2026 (EUR)]]*(1-INDIRECT(Table1[[#This Row],[Discount Name]]))</f>
        <v>134.9</v>
      </c>
      <c r="O383" s="2">
        <f ca="1">Table1[[#This Row],[2026 (DKK)]]*(1-INDIRECT(Table1[[#This Row],[Discount Name]]))</f>
        <v>999.9</v>
      </c>
      <c r="P383" s="2" cm="1">
        <f t="array" aca="1" ref="P383" ca="1">Table1[[#This Row],[2026 (USD)]]*(1-INDIRECT(Table1[[#This Row],[Discount Name]]))</f>
        <v>145.9</v>
      </c>
      <c r="Q383" s="31">
        <f ca="1">INDIRECT(Table1[[#This Row],[Discount Name]])</f>
        <v>0</v>
      </c>
      <c r="S383" s="2">
        <f t="shared" ca="1" si="10"/>
        <v>134.9</v>
      </c>
      <c r="T383" s="2">
        <f t="shared" ca="1" si="11"/>
        <v>999.9</v>
      </c>
      <c r="U383" s="71" t="str">
        <f>IFERROR(VLOOKUP(Table1[[#This Row],[No_]],'Customer Net Price'!A:F,5,FALSE),"0")</f>
        <v>0</v>
      </c>
      <c r="V383" s="71" t="str">
        <f>IFERROR(VLOOKUP(Table1[[#This Row],[No_]],'Customer Net Price'!A:G,6,FALSE),"0")</f>
        <v>0</v>
      </c>
    </row>
    <row r="384" spans="1:22" x14ac:dyDescent="0.25">
      <c r="A384" s="23" t="s">
        <v>992</v>
      </c>
      <c r="B384" s="23" t="s">
        <v>992</v>
      </c>
      <c r="C384" t="s">
        <v>1028</v>
      </c>
      <c r="D384" t="s">
        <v>1011</v>
      </c>
      <c r="E384" t="s">
        <v>1013</v>
      </c>
      <c r="F384" t="s">
        <v>919</v>
      </c>
      <c r="G384" t="s">
        <v>919</v>
      </c>
      <c r="H384" s="1" t="s">
        <v>1029</v>
      </c>
      <c r="I384">
        <v>12</v>
      </c>
      <c r="J384" t="s">
        <v>546</v>
      </c>
      <c r="K384" s="2">
        <v>84.9</v>
      </c>
      <c r="L384" s="2">
        <v>629.9</v>
      </c>
      <c r="M384" s="2">
        <v>91.9</v>
      </c>
      <c r="N384" s="2">
        <f ca="1">Table1[[#This Row],[2026 (EUR)]]*(1-INDIRECT(Table1[[#This Row],[Discount Name]]))</f>
        <v>84.9</v>
      </c>
      <c r="O384" s="2">
        <f ca="1">Table1[[#This Row],[2026 (DKK)]]*(1-INDIRECT(Table1[[#This Row],[Discount Name]]))</f>
        <v>629.9</v>
      </c>
      <c r="P384" s="2" cm="1">
        <f t="array" aca="1" ref="P384" ca="1">Table1[[#This Row],[2026 (USD)]]*(1-INDIRECT(Table1[[#This Row],[Discount Name]]))</f>
        <v>91.9</v>
      </c>
      <c r="Q384" s="31">
        <f ca="1">INDIRECT(Table1[[#This Row],[Discount Name]])</f>
        <v>0</v>
      </c>
      <c r="S384" s="2">
        <f t="shared" ref="S384:S447" ca="1" si="12">IF(MAX(U384:U384)=0,+N384,MAX(U384:U384))</f>
        <v>84.9</v>
      </c>
      <c r="T384" s="2">
        <f t="shared" ref="T384:T447" ca="1" si="13">IF(MAX(V384:V384)=0,+O384,MAX(V384:V384))</f>
        <v>629.9</v>
      </c>
      <c r="U384" s="71" t="str">
        <f>IFERROR(VLOOKUP(Table1[[#This Row],[No_]],'Customer Net Price'!A:F,5,FALSE),"0")</f>
        <v>0</v>
      </c>
      <c r="V384" s="71" t="str">
        <f>IFERROR(VLOOKUP(Table1[[#This Row],[No_]],'Customer Net Price'!A:G,6,FALSE),"0")</f>
        <v>0</v>
      </c>
    </row>
    <row r="385" spans="1:22" x14ac:dyDescent="0.25">
      <c r="A385" s="23" t="s">
        <v>1694</v>
      </c>
      <c r="B385" s="23" t="s">
        <v>1694</v>
      </c>
      <c r="C385" t="s">
        <v>1695</v>
      </c>
      <c r="D385" t="s">
        <v>1011</v>
      </c>
      <c r="E385" t="s">
        <v>1014</v>
      </c>
      <c r="F385" t="s">
        <v>919</v>
      </c>
      <c r="G385" t="s">
        <v>919</v>
      </c>
      <c r="H385" s="48" t="s">
        <v>1696</v>
      </c>
      <c r="I385" t="s">
        <v>546</v>
      </c>
      <c r="J385" t="s">
        <v>546</v>
      </c>
      <c r="K385" s="71">
        <v>269.89999999999998</v>
      </c>
      <c r="L385" s="71">
        <v>1999.9</v>
      </c>
      <c r="M385" s="71">
        <v>289.89999999999998</v>
      </c>
      <c r="N385" s="71">
        <f ca="1">Table1[[#This Row],[2026 (EUR)]]*(1-INDIRECT(Table1[[#This Row],[Discount Name]]))</f>
        <v>269.89999999999998</v>
      </c>
      <c r="O385" s="71">
        <f ca="1">Table1[[#This Row],[2026 (DKK)]]*(1-INDIRECT(Table1[[#This Row],[Discount Name]]))</f>
        <v>1999.9</v>
      </c>
      <c r="P385" s="71" cm="1">
        <f t="array" aca="1" ref="P385" ca="1">Table1[[#This Row],[2026 (USD)]]*(1-INDIRECT(Table1[[#This Row],[Discount Name]]))</f>
        <v>289.89999999999998</v>
      </c>
      <c r="Q385" s="31">
        <f ca="1">INDIRECT(Table1[[#This Row],[Discount Name]])</f>
        <v>0</v>
      </c>
      <c r="S385" s="2">
        <f t="shared" ca="1" si="12"/>
        <v>269.89999999999998</v>
      </c>
      <c r="T385" s="2">
        <f t="shared" ca="1" si="13"/>
        <v>1999.9</v>
      </c>
      <c r="U385" s="71" t="str">
        <f>IFERROR(VLOOKUP(Table1[[#This Row],[No_]],'Customer Net Price'!A:F,5,FALSE),"0")</f>
        <v>0</v>
      </c>
      <c r="V385" s="71" t="str">
        <f>IFERROR(VLOOKUP(Table1[[#This Row],[No_]],'Customer Net Price'!A:G,6,FALSE),"0")</f>
        <v>0</v>
      </c>
    </row>
    <row r="386" spans="1:22" x14ac:dyDescent="0.25">
      <c r="A386" s="23" t="s">
        <v>989</v>
      </c>
      <c r="B386" s="23" t="s">
        <v>989</v>
      </c>
      <c r="C386" t="s">
        <v>1022</v>
      </c>
      <c r="D386" t="s">
        <v>1011</v>
      </c>
      <c r="E386" t="s">
        <v>899</v>
      </c>
      <c r="F386" t="s">
        <v>919</v>
      </c>
      <c r="G386" t="s">
        <v>919</v>
      </c>
      <c r="H386" s="1" t="s">
        <v>1023</v>
      </c>
      <c r="I386">
        <v>4</v>
      </c>
      <c r="J386" t="s">
        <v>546</v>
      </c>
      <c r="K386" s="2">
        <v>179.9</v>
      </c>
      <c r="L386" s="2">
        <v>1339.9</v>
      </c>
      <c r="M386" s="2">
        <v>199.9</v>
      </c>
      <c r="N386" s="2">
        <f ca="1">Table1[[#This Row],[2026 (EUR)]]*(1-INDIRECT(Table1[[#This Row],[Discount Name]]))</f>
        <v>179.9</v>
      </c>
      <c r="O386" s="2">
        <f ca="1">Table1[[#This Row],[2026 (DKK)]]*(1-INDIRECT(Table1[[#This Row],[Discount Name]]))</f>
        <v>1339.9</v>
      </c>
      <c r="P386" s="2" cm="1">
        <f t="array" aca="1" ref="P386" ca="1">Table1[[#This Row],[2026 (USD)]]*(1-INDIRECT(Table1[[#This Row],[Discount Name]]))</f>
        <v>199.9</v>
      </c>
      <c r="Q386" s="31">
        <f ca="1">INDIRECT(Table1[[#This Row],[Discount Name]])</f>
        <v>0</v>
      </c>
      <c r="S386" s="2">
        <f t="shared" ca="1" si="12"/>
        <v>179.9</v>
      </c>
      <c r="T386" s="2">
        <f t="shared" ca="1" si="13"/>
        <v>1339.9</v>
      </c>
      <c r="U386" s="71" t="str">
        <f>IFERROR(VLOOKUP(Table1[[#This Row],[No_]],'Customer Net Price'!A:F,5,FALSE),"0")</f>
        <v>0</v>
      </c>
      <c r="V386" s="71" t="str">
        <f>IFERROR(VLOOKUP(Table1[[#This Row],[No_]],'Customer Net Price'!A:G,6,FALSE),"0")</f>
        <v>0</v>
      </c>
    </row>
    <row r="387" spans="1:22" x14ac:dyDescent="0.25">
      <c r="A387" s="23" t="s">
        <v>1105</v>
      </c>
      <c r="B387" s="23" t="s">
        <v>1105</v>
      </c>
      <c r="C387" t="s">
        <v>1106</v>
      </c>
      <c r="D387" t="s">
        <v>1011</v>
      </c>
      <c r="F387" t="s">
        <v>919</v>
      </c>
      <c r="G387" t="s">
        <v>919</v>
      </c>
      <c r="H387" s="46" t="s">
        <v>1107</v>
      </c>
      <c r="I387" s="17">
        <v>20</v>
      </c>
      <c r="J387" t="s">
        <v>546</v>
      </c>
      <c r="K387" s="2">
        <v>59.9</v>
      </c>
      <c r="L387" s="2">
        <v>449.9</v>
      </c>
      <c r="M387" s="2">
        <v>64.900000000000006</v>
      </c>
      <c r="N387" s="2">
        <f ca="1">Table1[[#This Row],[2026 (EUR)]]*(1-INDIRECT(Table1[[#This Row],[Discount Name]]))</f>
        <v>59.9</v>
      </c>
      <c r="O387" s="2">
        <f ca="1">Table1[[#This Row],[2026 (DKK)]]*(1-INDIRECT(Table1[[#This Row],[Discount Name]]))</f>
        <v>449.9</v>
      </c>
      <c r="P387" s="2" cm="1">
        <f t="array" aca="1" ref="P387" ca="1">Table1[[#This Row],[2026 (USD)]]*(1-INDIRECT(Table1[[#This Row],[Discount Name]]))</f>
        <v>64.900000000000006</v>
      </c>
      <c r="Q387" s="31">
        <f ca="1">INDIRECT(Table1[[#This Row],[Discount Name]])</f>
        <v>0</v>
      </c>
      <c r="S387" s="2">
        <f t="shared" ca="1" si="12"/>
        <v>59.9</v>
      </c>
      <c r="T387" s="2">
        <f t="shared" ca="1" si="13"/>
        <v>449.9</v>
      </c>
      <c r="U387" s="71" t="str">
        <f>IFERROR(VLOOKUP(Table1[[#This Row],[No_]],'Customer Net Price'!A:F,5,FALSE),"0")</f>
        <v>0</v>
      </c>
      <c r="V387" s="71" t="str">
        <f>IFERROR(VLOOKUP(Table1[[#This Row],[No_]],'Customer Net Price'!A:G,6,FALSE),"0")</f>
        <v>0</v>
      </c>
    </row>
    <row r="388" spans="1:22" x14ac:dyDescent="0.25">
      <c r="A388" s="23" t="s">
        <v>1111</v>
      </c>
      <c r="B388" s="23" t="s">
        <v>1111</v>
      </c>
      <c r="C388" t="s">
        <v>1112</v>
      </c>
      <c r="D388" t="s">
        <v>1011</v>
      </c>
      <c r="F388" t="s">
        <v>919</v>
      </c>
      <c r="G388" t="s">
        <v>919</v>
      </c>
      <c r="H388" s="46" t="s">
        <v>1113</v>
      </c>
      <c r="I388" s="17">
        <v>6</v>
      </c>
      <c r="J388" t="s">
        <v>546</v>
      </c>
      <c r="K388" s="2">
        <v>169.9</v>
      </c>
      <c r="L388" s="2">
        <v>1259.9000000000001</v>
      </c>
      <c r="M388" s="2">
        <v>189.9</v>
      </c>
      <c r="N388" s="2">
        <f ca="1">Table1[[#This Row],[2026 (EUR)]]*(1-INDIRECT(Table1[[#This Row],[Discount Name]]))</f>
        <v>169.9</v>
      </c>
      <c r="O388" s="2">
        <f ca="1">Table1[[#This Row],[2026 (DKK)]]*(1-INDIRECT(Table1[[#This Row],[Discount Name]]))</f>
        <v>1259.9000000000001</v>
      </c>
      <c r="P388" s="2" cm="1">
        <f t="array" aca="1" ref="P388" ca="1">Table1[[#This Row],[2026 (USD)]]*(1-INDIRECT(Table1[[#This Row],[Discount Name]]))</f>
        <v>189.9</v>
      </c>
      <c r="Q388" s="31">
        <f ca="1">INDIRECT(Table1[[#This Row],[Discount Name]])</f>
        <v>0</v>
      </c>
      <c r="S388" s="2">
        <f t="shared" ca="1" si="12"/>
        <v>169.9</v>
      </c>
      <c r="T388" s="2">
        <f t="shared" ca="1" si="13"/>
        <v>1259.9000000000001</v>
      </c>
      <c r="U388" s="71" t="str">
        <f>IFERROR(VLOOKUP(Table1[[#This Row],[No_]],'Customer Net Price'!A:F,5,FALSE),"0")</f>
        <v>0</v>
      </c>
      <c r="V388" s="71" t="str">
        <f>IFERROR(VLOOKUP(Table1[[#This Row],[No_]],'Customer Net Price'!A:G,6,FALSE),"0")</f>
        <v>0</v>
      </c>
    </row>
    <row r="389" spans="1:22" x14ac:dyDescent="0.25">
      <c r="A389" s="23" t="s">
        <v>1108</v>
      </c>
      <c r="B389" s="23" t="s">
        <v>1108</v>
      </c>
      <c r="C389" t="s">
        <v>1109</v>
      </c>
      <c r="D389" t="s">
        <v>1011</v>
      </c>
      <c r="F389" t="s">
        <v>919</v>
      </c>
      <c r="G389" t="s">
        <v>919</v>
      </c>
      <c r="H389" s="46" t="s">
        <v>1110</v>
      </c>
      <c r="I389" s="17">
        <v>10</v>
      </c>
      <c r="J389" t="s">
        <v>546</v>
      </c>
      <c r="K389" s="2">
        <v>79.900000000000006</v>
      </c>
      <c r="L389" s="2">
        <v>599.9</v>
      </c>
      <c r="M389" s="2">
        <v>89.9</v>
      </c>
      <c r="N389" s="2">
        <f ca="1">Table1[[#This Row],[2026 (EUR)]]*(1-INDIRECT(Table1[[#This Row],[Discount Name]]))</f>
        <v>79.900000000000006</v>
      </c>
      <c r="O389" s="2">
        <f ca="1">Table1[[#This Row],[2026 (DKK)]]*(1-INDIRECT(Table1[[#This Row],[Discount Name]]))</f>
        <v>599.9</v>
      </c>
      <c r="P389" s="2" cm="1">
        <f t="array" aca="1" ref="P389" ca="1">Table1[[#This Row],[2026 (USD)]]*(1-INDIRECT(Table1[[#This Row],[Discount Name]]))</f>
        <v>89.9</v>
      </c>
      <c r="Q389" s="31">
        <f ca="1">INDIRECT(Table1[[#This Row],[Discount Name]])</f>
        <v>0</v>
      </c>
      <c r="S389" s="2">
        <f t="shared" ca="1" si="12"/>
        <v>79.900000000000006</v>
      </c>
      <c r="T389" s="2">
        <f t="shared" ca="1" si="13"/>
        <v>599.9</v>
      </c>
      <c r="U389" s="71" t="str">
        <f>IFERROR(VLOOKUP(Table1[[#This Row],[No_]],'Customer Net Price'!A:F,5,FALSE),"0")</f>
        <v>0</v>
      </c>
      <c r="V389" s="71" t="str">
        <f>IFERROR(VLOOKUP(Table1[[#This Row],[No_]],'Customer Net Price'!A:G,6,FALSE),"0")</f>
        <v>0</v>
      </c>
    </row>
    <row r="390" spans="1:22" x14ac:dyDescent="0.25">
      <c r="A390" s="23" t="s">
        <v>900</v>
      </c>
      <c r="B390" s="23" t="s">
        <v>900</v>
      </c>
      <c r="C390" t="s">
        <v>904</v>
      </c>
      <c r="D390" t="s">
        <v>310</v>
      </c>
      <c r="E390" t="s">
        <v>546</v>
      </c>
      <c r="F390" t="s">
        <v>919</v>
      </c>
      <c r="G390" t="s">
        <v>919</v>
      </c>
      <c r="H390" s="1" t="s">
        <v>905</v>
      </c>
      <c r="I390">
        <v>12</v>
      </c>
      <c r="J390" t="s">
        <v>546</v>
      </c>
      <c r="K390" s="2">
        <v>119.9</v>
      </c>
      <c r="L390" s="2">
        <v>894.9</v>
      </c>
      <c r="M390" s="2">
        <v>134.9</v>
      </c>
      <c r="N390" s="2">
        <f ca="1">Table1[[#This Row],[2026 (EUR)]]*(1-INDIRECT(Table1[[#This Row],[Discount Name]]))</f>
        <v>119.9</v>
      </c>
      <c r="O390" s="2">
        <f ca="1">Table1[[#This Row],[2026 (DKK)]]*(1-INDIRECT(Table1[[#This Row],[Discount Name]]))</f>
        <v>894.9</v>
      </c>
      <c r="P390" s="2" cm="1">
        <f t="array" aca="1" ref="P390" ca="1">Table1[[#This Row],[2026 (USD)]]*(1-INDIRECT(Table1[[#This Row],[Discount Name]]))</f>
        <v>134.9</v>
      </c>
      <c r="Q390" s="31">
        <f ca="1">INDIRECT(Table1[[#This Row],[Discount Name]])</f>
        <v>0</v>
      </c>
      <c r="S390" s="2">
        <f t="shared" ca="1" si="12"/>
        <v>119.9</v>
      </c>
      <c r="T390" s="2">
        <f t="shared" ca="1" si="13"/>
        <v>894.9</v>
      </c>
      <c r="U390" s="71" t="str">
        <f>IFERROR(VLOOKUP(Table1[[#This Row],[No_]],'Customer Net Price'!A:F,5,FALSE),"0")</f>
        <v>0</v>
      </c>
      <c r="V390" s="71" t="str">
        <f>IFERROR(VLOOKUP(Table1[[#This Row],[No_]],'Customer Net Price'!A:G,6,FALSE),"0")</f>
        <v>0</v>
      </c>
    </row>
    <row r="391" spans="1:22" x14ac:dyDescent="0.25">
      <c r="A391" s="23" t="s">
        <v>901</v>
      </c>
      <c r="B391" s="23" t="s">
        <v>901</v>
      </c>
      <c r="C391" t="s">
        <v>1830</v>
      </c>
      <c r="D391" t="s">
        <v>310</v>
      </c>
      <c r="E391" t="s">
        <v>546</v>
      </c>
      <c r="F391" t="s">
        <v>919</v>
      </c>
      <c r="G391" t="s">
        <v>919</v>
      </c>
      <c r="H391" s="1" t="s">
        <v>906</v>
      </c>
      <c r="I391">
        <v>18</v>
      </c>
      <c r="J391" t="s">
        <v>545</v>
      </c>
      <c r="K391" s="2">
        <v>54.9</v>
      </c>
      <c r="L391" s="2">
        <v>399.9</v>
      </c>
      <c r="M391" s="2">
        <v>58.9</v>
      </c>
      <c r="N391" s="2">
        <f ca="1">Table1[[#This Row],[2026 (EUR)]]*(1-INDIRECT(Table1[[#This Row],[Discount Name]]))</f>
        <v>54.9</v>
      </c>
      <c r="O391" s="2">
        <f ca="1">Table1[[#This Row],[2026 (DKK)]]*(1-INDIRECT(Table1[[#This Row],[Discount Name]]))</f>
        <v>399.9</v>
      </c>
      <c r="P391" s="2" cm="1">
        <f t="array" aca="1" ref="P391" ca="1">Table1[[#This Row],[2026 (USD)]]*(1-INDIRECT(Table1[[#This Row],[Discount Name]]))</f>
        <v>58.9</v>
      </c>
      <c r="Q391" s="31">
        <f ca="1">INDIRECT(Table1[[#This Row],[Discount Name]])</f>
        <v>0</v>
      </c>
      <c r="S391" s="2">
        <f t="shared" ca="1" si="12"/>
        <v>54.9</v>
      </c>
      <c r="T391" s="2">
        <f t="shared" ca="1" si="13"/>
        <v>399.9</v>
      </c>
      <c r="U391" s="71" t="str">
        <f>IFERROR(VLOOKUP(Table1[[#This Row],[No_]],'Customer Net Price'!A:F,5,FALSE),"0")</f>
        <v>0</v>
      </c>
      <c r="V391" s="71" t="str">
        <f>IFERROR(VLOOKUP(Table1[[#This Row],[No_]],'Customer Net Price'!A:G,6,FALSE),"0")</f>
        <v>0</v>
      </c>
    </row>
    <row r="392" spans="1:22" x14ac:dyDescent="0.25">
      <c r="A392" s="23" t="s">
        <v>902</v>
      </c>
      <c r="B392" s="23" t="s">
        <v>901</v>
      </c>
      <c r="C392" t="s">
        <v>1830</v>
      </c>
      <c r="D392" t="s">
        <v>310</v>
      </c>
      <c r="E392" t="s">
        <v>546</v>
      </c>
      <c r="F392" t="s">
        <v>919</v>
      </c>
      <c r="G392" t="s">
        <v>919</v>
      </c>
      <c r="H392" s="1" t="s">
        <v>907</v>
      </c>
      <c r="I392">
        <v>18</v>
      </c>
      <c r="J392" t="s">
        <v>570</v>
      </c>
      <c r="K392" s="2">
        <v>54.9</v>
      </c>
      <c r="L392" s="2">
        <v>399.9</v>
      </c>
      <c r="M392" s="2">
        <v>58.9</v>
      </c>
      <c r="N392" s="2">
        <f ca="1">Table1[[#This Row],[2026 (EUR)]]*(1-INDIRECT(Table1[[#This Row],[Discount Name]]))</f>
        <v>54.9</v>
      </c>
      <c r="O392" s="2">
        <f ca="1">Table1[[#This Row],[2026 (DKK)]]*(1-INDIRECT(Table1[[#This Row],[Discount Name]]))</f>
        <v>399.9</v>
      </c>
      <c r="P392" s="2" cm="1">
        <f t="array" aca="1" ref="P392" ca="1">Table1[[#This Row],[2026 (USD)]]*(1-INDIRECT(Table1[[#This Row],[Discount Name]]))</f>
        <v>58.9</v>
      </c>
      <c r="Q392" s="31">
        <f ca="1">INDIRECT(Table1[[#This Row],[Discount Name]])</f>
        <v>0</v>
      </c>
      <c r="S392" s="2">
        <f t="shared" ca="1" si="12"/>
        <v>54.9</v>
      </c>
      <c r="T392" s="2">
        <f t="shared" ca="1" si="13"/>
        <v>399.9</v>
      </c>
      <c r="U392" s="71" t="str">
        <f>IFERROR(VLOOKUP(Table1[[#This Row],[No_]],'Customer Net Price'!A:F,5,FALSE),"0")</f>
        <v>0</v>
      </c>
      <c r="V392" s="71" t="str">
        <f>IFERROR(VLOOKUP(Table1[[#This Row],[No_]],'Customer Net Price'!A:G,6,FALSE),"0")</f>
        <v>0</v>
      </c>
    </row>
    <row r="393" spans="1:22" x14ac:dyDescent="0.25">
      <c r="A393" s="23" t="s">
        <v>993</v>
      </c>
      <c r="B393" s="23" t="s">
        <v>993</v>
      </c>
      <c r="C393" t="s">
        <v>1030</v>
      </c>
      <c r="D393" t="s">
        <v>1011</v>
      </c>
      <c r="F393" t="s">
        <v>919</v>
      </c>
      <c r="G393" t="s">
        <v>919</v>
      </c>
      <c r="H393" s="1" t="s">
        <v>1031</v>
      </c>
      <c r="I393">
        <v>10</v>
      </c>
      <c r="J393" t="s">
        <v>572</v>
      </c>
      <c r="K393" s="2">
        <v>84.9</v>
      </c>
      <c r="L393" s="2">
        <v>629.9</v>
      </c>
      <c r="M393" s="2">
        <v>94.9</v>
      </c>
      <c r="N393" s="2">
        <f ca="1">Table1[[#This Row],[2026 (EUR)]]*(1-INDIRECT(Table1[[#This Row],[Discount Name]]))</f>
        <v>84.9</v>
      </c>
      <c r="O393" s="2">
        <f ca="1">Table1[[#This Row],[2026 (DKK)]]*(1-INDIRECT(Table1[[#This Row],[Discount Name]]))</f>
        <v>629.9</v>
      </c>
      <c r="P393" s="2" cm="1">
        <f t="array" aca="1" ref="P393" ca="1">Table1[[#This Row],[2026 (USD)]]*(1-INDIRECT(Table1[[#This Row],[Discount Name]]))</f>
        <v>94.9</v>
      </c>
      <c r="Q393" s="31">
        <f ca="1">INDIRECT(Table1[[#This Row],[Discount Name]])</f>
        <v>0</v>
      </c>
      <c r="S393" s="2">
        <f t="shared" ca="1" si="12"/>
        <v>84.9</v>
      </c>
      <c r="T393" s="2">
        <f t="shared" ca="1" si="13"/>
        <v>629.9</v>
      </c>
      <c r="U393" s="71" t="str">
        <f>IFERROR(VLOOKUP(Table1[[#This Row],[No_]],'Customer Net Price'!A:F,5,FALSE),"0")</f>
        <v>0</v>
      </c>
      <c r="V393" s="71" t="str">
        <f>IFERROR(VLOOKUP(Table1[[#This Row],[No_]],'Customer Net Price'!A:G,6,FALSE),"0")</f>
        <v>0</v>
      </c>
    </row>
    <row r="394" spans="1:22" x14ac:dyDescent="0.25">
      <c r="A394" s="23" t="s">
        <v>1179</v>
      </c>
      <c r="B394" s="23" t="s">
        <v>993</v>
      </c>
      <c r="C394" t="s">
        <v>1030</v>
      </c>
      <c r="D394" t="s">
        <v>1011</v>
      </c>
      <c r="F394" t="s">
        <v>919</v>
      </c>
      <c r="G394" t="s">
        <v>919</v>
      </c>
      <c r="H394" s="49" t="s">
        <v>1182</v>
      </c>
      <c r="I394">
        <v>10</v>
      </c>
      <c r="J394" t="s">
        <v>571</v>
      </c>
      <c r="K394" s="2">
        <v>84.9</v>
      </c>
      <c r="L394" s="2">
        <v>629.9</v>
      </c>
      <c r="M394" s="2">
        <v>94.9</v>
      </c>
      <c r="N394" s="2">
        <f ca="1">Table1[[#This Row],[2026 (EUR)]]*(1-INDIRECT(Table1[[#This Row],[Discount Name]]))</f>
        <v>84.9</v>
      </c>
      <c r="O394" s="2">
        <f ca="1">Table1[[#This Row],[2026 (DKK)]]*(1-INDIRECT(Table1[[#This Row],[Discount Name]]))</f>
        <v>629.9</v>
      </c>
      <c r="P394" s="2" cm="1">
        <f t="array" aca="1" ref="P394" ca="1">Table1[[#This Row],[2026 (USD)]]*(1-INDIRECT(Table1[[#This Row],[Discount Name]]))</f>
        <v>94.9</v>
      </c>
      <c r="Q394" s="31">
        <f ca="1">INDIRECT(Table1[[#This Row],[Discount Name]])</f>
        <v>0</v>
      </c>
      <c r="S394" s="2">
        <f t="shared" ca="1" si="12"/>
        <v>84.9</v>
      </c>
      <c r="T394" s="2">
        <f t="shared" ca="1" si="13"/>
        <v>629.9</v>
      </c>
      <c r="U394" s="71" t="str">
        <f>IFERROR(VLOOKUP(Table1[[#This Row],[No_]],'Customer Net Price'!A:F,5,FALSE),"0")</f>
        <v>0</v>
      </c>
      <c r="V394" s="71" t="str">
        <f>IFERROR(VLOOKUP(Table1[[#This Row],[No_]],'Customer Net Price'!A:G,6,FALSE),"0")</f>
        <v>0</v>
      </c>
    </row>
    <row r="395" spans="1:22" x14ac:dyDescent="0.25">
      <c r="A395" s="23" t="s">
        <v>1015</v>
      </c>
      <c r="B395" s="23" t="s">
        <v>993</v>
      </c>
      <c r="C395" t="s">
        <v>1030</v>
      </c>
      <c r="D395" t="s">
        <v>1011</v>
      </c>
      <c r="F395" t="s">
        <v>919</v>
      </c>
      <c r="G395" t="s">
        <v>919</v>
      </c>
      <c r="H395" s="1" t="s">
        <v>1033</v>
      </c>
      <c r="I395">
        <v>10</v>
      </c>
      <c r="J395" t="s">
        <v>903</v>
      </c>
      <c r="K395" s="2">
        <v>84.9</v>
      </c>
      <c r="L395" s="2">
        <v>629.9</v>
      </c>
      <c r="M395" s="2">
        <v>94.9</v>
      </c>
      <c r="N395" s="2">
        <f ca="1">Table1[[#This Row],[2026 (EUR)]]*(1-INDIRECT(Table1[[#This Row],[Discount Name]]))</f>
        <v>84.9</v>
      </c>
      <c r="O395" s="2">
        <f ca="1">Table1[[#This Row],[2026 (DKK)]]*(1-INDIRECT(Table1[[#This Row],[Discount Name]]))</f>
        <v>629.9</v>
      </c>
      <c r="P395" s="2" cm="1">
        <f t="array" aca="1" ref="P395" ca="1">Table1[[#This Row],[2026 (USD)]]*(1-INDIRECT(Table1[[#This Row],[Discount Name]]))</f>
        <v>94.9</v>
      </c>
      <c r="Q395" s="31">
        <f ca="1">INDIRECT(Table1[[#This Row],[Discount Name]])</f>
        <v>0</v>
      </c>
      <c r="S395" s="2">
        <f t="shared" ca="1" si="12"/>
        <v>84.9</v>
      </c>
      <c r="T395" s="2">
        <f t="shared" ca="1" si="13"/>
        <v>629.9</v>
      </c>
      <c r="U395" s="71" t="str">
        <f>IFERROR(VLOOKUP(Table1[[#This Row],[No_]],'Customer Net Price'!A:F,5,FALSE),"0")</f>
        <v>0</v>
      </c>
      <c r="V395" s="71" t="str">
        <f>IFERROR(VLOOKUP(Table1[[#This Row],[No_]],'Customer Net Price'!A:G,6,FALSE),"0")</f>
        <v>0</v>
      </c>
    </row>
    <row r="396" spans="1:22" x14ac:dyDescent="0.25">
      <c r="A396" s="23" t="s">
        <v>1180</v>
      </c>
      <c r="B396" s="23" t="s">
        <v>993</v>
      </c>
      <c r="C396" t="s">
        <v>1030</v>
      </c>
      <c r="D396" t="s">
        <v>1011</v>
      </c>
      <c r="F396" t="s">
        <v>919</v>
      </c>
      <c r="G396" t="s">
        <v>919</v>
      </c>
      <c r="H396" s="64" t="s">
        <v>1183</v>
      </c>
      <c r="I396">
        <v>10</v>
      </c>
      <c r="J396" t="s">
        <v>1184</v>
      </c>
      <c r="K396" s="2">
        <v>84.9</v>
      </c>
      <c r="L396" s="2">
        <v>629.9</v>
      </c>
      <c r="M396" s="2">
        <v>94.9</v>
      </c>
      <c r="N396" s="2">
        <f ca="1">Table1[[#This Row],[2026 (EUR)]]*(1-INDIRECT(Table1[[#This Row],[Discount Name]]))</f>
        <v>84.9</v>
      </c>
      <c r="O396" s="2">
        <f ca="1">Table1[[#This Row],[2026 (DKK)]]*(1-INDIRECT(Table1[[#This Row],[Discount Name]]))</f>
        <v>629.9</v>
      </c>
      <c r="P396" s="2" cm="1">
        <f t="array" aca="1" ref="P396" ca="1">Table1[[#This Row],[2026 (USD)]]*(1-INDIRECT(Table1[[#This Row],[Discount Name]]))</f>
        <v>94.9</v>
      </c>
      <c r="Q396" s="31">
        <f ca="1">INDIRECT(Table1[[#This Row],[Discount Name]])</f>
        <v>0</v>
      </c>
      <c r="S396" s="2">
        <f t="shared" ca="1" si="12"/>
        <v>84.9</v>
      </c>
      <c r="T396" s="2">
        <f t="shared" ca="1" si="13"/>
        <v>629.9</v>
      </c>
      <c r="U396" s="71" t="str">
        <f>IFERROR(VLOOKUP(Table1[[#This Row],[No_]],'Customer Net Price'!A:F,5,FALSE),"0")</f>
        <v>0</v>
      </c>
      <c r="V396" s="71" t="str">
        <f>IFERROR(VLOOKUP(Table1[[#This Row],[No_]],'Customer Net Price'!A:G,6,FALSE),"0")</f>
        <v>0</v>
      </c>
    </row>
    <row r="397" spans="1:22" x14ac:dyDescent="0.25">
      <c r="A397" s="23" t="s">
        <v>994</v>
      </c>
      <c r="B397" s="23" t="s">
        <v>993</v>
      </c>
      <c r="C397" t="s">
        <v>1030</v>
      </c>
      <c r="D397" t="s">
        <v>1011</v>
      </c>
      <c r="F397" t="s">
        <v>919</v>
      </c>
      <c r="G397" t="s">
        <v>919</v>
      </c>
      <c r="H397" t="s">
        <v>1032</v>
      </c>
      <c r="I397">
        <v>10</v>
      </c>
      <c r="J397" t="s">
        <v>570</v>
      </c>
      <c r="K397" s="2">
        <v>84.9</v>
      </c>
      <c r="L397" s="2">
        <v>629.9</v>
      </c>
      <c r="M397" s="2">
        <v>94.9</v>
      </c>
      <c r="N397" s="2">
        <f ca="1">Table1[[#This Row],[2026 (EUR)]]*(1-INDIRECT(Table1[[#This Row],[Discount Name]]))</f>
        <v>84.9</v>
      </c>
      <c r="O397" s="2">
        <f ca="1">Table1[[#This Row],[2026 (DKK)]]*(1-INDIRECT(Table1[[#This Row],[Discount Name]]))</f>
        <v>629.9</v>
      </c>
      <c r="P397" s="2" cm="1">
        <f t="array" aca="1" ref="P397" ca="1">Table1[[#This Row],[2026 (USD)]]*(1-INDIRECT(Table1[[#This Row],[Discount Name]]))</f>
        <v>94.9</v>
      </c>
      <c r="Q397" s="31">
        <f ca="1">INDIRECT(Table1[[#This Row],[Discount Name]])</f>
        <v>0</v>
      </c>
      <c r="S397" s="2">
        <f t="shared" ca="1" si="12"/>
        <v>84.9</v>
      </c>
      <c r="T397" s="2">
        <f t="shared" ca="1" si="13"/>
        <v>629.9</v>
      </c>
      <c r="U397" s="71" t="str">
        <f>IFERROR(VLOOKUP(Table1[[#This Row],[No_]],'Customer Net Price'!A:F,5,FALSE),"0")</f>
        <v>0</v>
      </c>
      <c r="V397" s="71" t="str">
        <f>IFERROR(VLOOKUP(Table1[[#This Row],[No_]],'Customer Net Price'!A:G,6,FALSE),"0")</f>
        <v>0</v>
      </c>
    </row>
    <row r="398" spans="1:22" x14ac:dyDescent="0.25">
      <c r="A398" s="23" t="s">
        <v>1178</v>
      </c>
      <c r="B398" s="23" t="s">
        <v>993</v>
      </c>
      <c r="C398" t="s">
        <v>1030</v>
      </c>
      <c r="D398" t="s">
        <v>1011</v>
      </c>
      <c r="F398" t="s">
        <v>919</v>
      </c>
      <c r="G398" t="s">
        <v>919</v>
      </c>
      <c r="H398" s="64" t="s">
        <v>1181</v>
      </c>
      <c r="I398">
        <v>10</v>
      </c>
      <c r="J398" t="s">
        <v>562</v>
      </c>
      <c r="K398" s="2">
        <v>84.9</v>
      </c>
      <c r="L398" s="2">
        <v>629.9</v>
      </c>
      <c r="M398" s="2">
        <v>94.9</v>
      </c>
      <c r="N398" s="2">
        <f ca="1">Table1[[#This Row],[2026 (EUR)]]*(1-INDIRECT(Table1[[#This Row],[Discount Name]]))</f>
        <v>84.9</v>
      </c>
      <c r="O398" s="2">
        <f ca="1">Table1[[#This Row],[2026 (DKK)]]*(1-INDIRECT(Table1[[#This Row],[Discount Name]]))</f>
        <v>629.9</v>
      </c>
      <c r="P398" s="2" cm="1">
        <f t="array" aca="1" ref="P398" ca="1">Table1[[#This Row],[2026 (USD)]]*(1-INDIRECT(Table1[[#This Row],[Discount Name]]))</f>
        <v>94.9</v>
      </c>
      <c r="Q398" s="31">
        <f ca="1">INDIRECT(Table1[[#This Row],[Discount Name]])</f>
        <v>0</v>
      </c>
      <c r="S398" s="2">
        <f t="shared" ca="1" si="12"/>
        <v>84.9</v>
      </c>
      <c r="T398" s="2">
        <f t="shared" ca="1" si="13"/>
        <v>629.9</v>
      </c>
      <c r="U398" s="71" t="str">
        <f>IFERROR(VLOOKUP(Table1[[#This Row],[No_]],'Customer Net Price'!A:F,5,FALSE),"0")</f>
        <v>0</v>
      </c>
      <c r="V398" s="71" t="str">
        <f>IFERROR(VLOOKUP(Table1[[#This Row],[No_]],'Customer Net Price'!A:G,6,FALSE),"0")</f>
        <v>0</v>
      </c>
    </row>
    <row r="399" spans="1:22" x14ac:dyDescent="0.25">
      <c r="A399" s="23" t="s">
        <v>1289</v>
      </c>
      <c r="B399" s="23" t="s">
        <v>1289</v>
      </c>
      <c r="C399" t="s">
        <v>1290</v>
      </c>
      <c r="D399" t="s">
        <v>310</v>
      </c>
      <c r="E399" t="s">
        <v>546</v>
      </c>
      <c r="F399" t="s">
        <v>919</v>
      </c>
      <c r="G399" t="s">
        <v>919</v>
      </c>
      <c r="H399" s="65" t="s">
        <v>1291</v>
      </c>
      <c r="I399">
        <v>20</v>
      </c>
      <c r="J399" t="s">
        <v>546</v>
      </c>
      <c r="K399" s="2">
        <v>59.9</v>
      </c>
      <c r="L399" s="2">
        <v>445</v>
      </c>
      <c r="M399" s="2">
        <v>69.900000000000006</v>
      </c>
      <c r="N399" s="2">
        <f ca="1">Table1[[#This Row],[2026 (EUR)]]*(1-INDIRECT(Table1[[#This Row],[Discount Name]]))</f>
        <v>59.9</v>
      </c>
      <c r="O399" s="2">
        <f ca="1">Table1[[#This Row],[2026 (DKK)]]*(1-INDIRECT(Table1[[#This Row],[Discount Name]]))</f>
        <v>445</v>
      </c>
      <c r="P399" s="2" cm="1">
        <f t="array" aca="1" ref="P399" ca="1">Table1[[#This Row],[2026 (USD)]]*(1-INDIRECT(Table1[[#This Row],[Discount Name]]))</f>
        <v>69.900000000000006</v>
      </c>
      <c r="Q399" s="31">
        <f ca="1">INDIRECT(Table1[[#This Row],[Discount Name]])</f>
        <v>0</v>
      </c>
      <c r="S399" s="2">
        <f t="shared" ca="1" si="12"/>
        <v>59.9</v>
      </c>
      <c r="T399" s="2">
        <f t="shared" ca="1" si="13"/>
        <v>445</v>
      </c>
      <c r="U399" s="71" t="str">
        <f>IFERROR(VLOOKUP(Table1[[#This Row],[No_]],'Customer Net Price'!A:F,5,FALSE),"0")</f>
        <v>0</v>
      </c>
      <c r="V399" s="71" t="str">
        <f>IFERROR(VLOOKUP(Table1[[#This Row],[No_]],'Customer Net Price'!A:G,6,FALSE),"0")</f>
        <v>0</v>
      </c>
    </row>
    <row r="400" spans="1:22" x14ac:dyDescent="0.25">
      <c r="A400" s="23" t="s">
        <v>995</v>
      </c>
      <c r="B400" s="23" t="s">
        <v>995</v>
      </c>
      <c r="C400" t="s">
        <v>1034</v>
      </c>
      <c r="D400" t="s">
        <v>1011</v>
      </c>
      <c r="E400" t="s">
        <v>1012</v>
      </c>
      <c r="F400" t="s">
        <v>919</v>
      </c>
      <c r="G400" t="s">
        <v>919</v>
      </c>
      <c r="H400" t="s">
        <v>1035</v>
      </c>
      <c r="I400">
        <v>48</v>
      </c>
      <c r="J400" t="s">
        <v>546</v>
      </c>
      <c r="K400" s="2">
        <v>9.9</v>
      </c>
      <c r="L400" s="2">
        <v>74.900000000000006</v>
      </c>
      <c r="M400" s="2">
        <v>11.9</v>
      </c>
      <c r="N400" s="2">
        <f ca="1">Table1[[#This Row],[2026 (EUR)]]*(1-INDIRECT(Table1[[#This Row],[Discount Name]]))</f>
        <v>9.9</v>
      </c>
      <c r="O400" s="2">
        <f ca="1">Table1[[#This Row],[2026 (DKK)]]*(1-INDIRECT(Table1[[#This Row],[Discount Name]]))</f>
        <v>74.900000000000006</v>
      </c>
      <c r="P400" s="2" cm="1">
        <f t="array" aca="1" ref="P400" ca="1">Table1[[#This Row],[2026 (USD)]]*(1-INDIRECT(Table1[[#This Row],[Discount Name]]))</f>
        <v>11.9</v>
      </c>
      <c r="Q400" s="31">
        <f ca="1">INDIRECT(Table1[[#This Row],[Discount Name]])</f>
        <v>0</v>
      </c>
      <c r="S400" s="2">
        <f t="shared" ca="1" si="12"/>
        <v>9.9</v>
      </c>
      <c r="T400" s="2">
        <f t="shared" ca="1" si="13"/>
        <v>74.900000000000006</v>
      </c>
      <c r="U400" s="71" t="str">
        <f>IFERROR(VLOOKUP(Table1[[#This Row],[No_]],'Customer Net Price'!A:F,5,FALSE),"0")</f>
        <v>0</v>
      </c>
      <c r="V400" s="71" t="str">
        <f>IFERROR(VLOOKUP(Table1[[#This Row],[No_]],'Customer Net Price'!A:G,6,FALSE),"0")</f>
        <v>0</v>
      </c>
    </row>
    <row r="401" spans="1:22" x14ac:dyDescent="0.25">
      <c r="A401" s="23" t="s">
        <v>996</v>
      </c>
      <c r="B401" s="23" t="s">
        <v>996</v>
      </c>
      <c r="C401" t="s">
        <v>1036</v>
      </c>
      <c r="D401" t="s">
        <v>1011</v>
      </c>
      <c r="E401" t="s">
        <v>1012</v>
      </c>
      <c r="F401" t="s">
        <v>919</v>
      </c>
      <c r="G401" t="s">
        <v>919</v>
      </c>
      <c r="H401" t="s">
        <v>1037</v>
      </c>
      <c r="I401">
        <v>48</v>
      </c>
      <c r="J401" t="s">
        <v>546</v>
      </c>
      <c r="K401" s="2">
        <v>9.9</v>
      </c>
      <c r="L401" s="2">
        <v>74.900000000000006</v>
      </c>
      <c r="M401" s="2">
        <v>11.9</v>
      </c>
      <c r="N401" s="2">
        <f ca="1">Table1[[#This Row],[2026 (EUR)]]*(1-INDIRECT(Table1[[#This Row],[Discount Name]]))</f>
        <v>9.9</v>
      </c>
      <c r="O401" s="2">
        <f ca="1">Table1[[#This Row],[2026 (DKK)]]*(1-INDIRECT(Table1[[#This Row],[Discount Name]]))</f>
        <v>74.900000000000006</v>
      </c>
      <c r="P401" s="2" cm="1">
        <f t="array" aca="1" ref="P401" ca="1">Table1[[#This Row],[2026 (USD)]]*(1-INDIRECT(Table1[[#This Row],[Discount Name]]))</f>
        <v>11.9</v>
      </c>
      <c r="Q401" s="31">
        <f ca="1">INDIRECT(Table1[[#This Row],[Discount Name]])</f>
        <v>0</v>
      </c>
      <c r="S401" s="2">
        <f t="shared" ca="1" si="12"/>
        <v>9.9</v>
      </c>
      <c r="T401" s="2">
        <f t="shared" ca="1" si="13"/>
        <v>74.900000000000006</v>
      </c>
      <c r="U401" s="71" t="str">
        <f>IFERROR(VLOOKUP(Table1[[#This Row],[No_]],'Customer Net Price'!A:F,5,FALSE),"0")</f>
        <v>0</v>
      </c>
      <c r="V401" s="71" t="str">
        <f>IFERROR(VLOOKUP(Table1[[#This Row],[No_]],'Customer Net Price'!A:G,6,FALSE),"0")</f>
        <v>0</v>
      </c>
    </row>
    <row r="402" spans="1:22" x14ac:dyDescent="0.25">
      <c r="A402" s="23" t="s">
        <v>997</v>
      </c>
      <c r="B402" s="23" t="s">
        <v>997</v>
      </c>
      <c r="C402" t="s">
        <v>1038</v>
      </c>
      <c r="D402" t="s">
        <v>1011</v>
      </c>
      <c r="E402" t="s">
        <v>1012</v>
      </c>
      <c r="F402" t="s">
        <v>919</v>
      </c>
      <c r="G402" t="s">
        <v>919</v>
      </c>
      <c r="H402" t="s">
        <v>1039</v>
      </c>
      <c r="I402">
        <v>48</v>
      </c>
      <c r="J402" t="s">
        <v>546</v>
      </c>
      <c r="K402" s="2">
        <v>9.9</v>
      </c>
      <c r="L402" s="2">
        <v>74.900000000000006</v>
      </c>
      <c r="M402" s="2">
        <v>11.9</v>
      </c>
      <c r="N402" s="2">
        <f ca="1">Table1[[#This Row],[2026 (EUR)]]*(1-INDIRECT(Table1[[#This Row],[Discount Name]]))</f>
        <v>9.9</v>
      </c>
      <c r="O402" s="2">
        <f ca="1">Table1[[#This Row],[2026 (DKK)]]*(1-INDIRECT(Table1[[#This Row],[Discount Name]]))</f>
        <v>74.900000000000006</v>
      </c>
      <c r="P402" s="2" cm="1">
        <f t="array" aca="1" ref="P402" ca="1">Table1[[#This Row],[2026 (USD)]]*(1-INDIRECT(Table1[[#This Row],[Discount Name]]))</f>
        <v>11.9</v>
      </c>
      <c r="Q402" s="31">
        <f ca="1">INDIRECT(Table1[[#This Row],[Discount Name]])</f>
        <v>0</v>
      </c>
      <c r="S402" s="2">
        <f t="shared" ca="1" si="12"/>
        <v>9.9</v>
      </c>
      <c r="T402" s="2">
        <f t="shared" ca="1" si="13"/>
        <v>74.900000000000006</v>
      </c>
      <c r="U402" s="71" t="str">
        <f>IFERROR(VLOOKUP(Table1[[#This Row],[No_]],'Customer Net Price'!A:F,5,FALSE),"0")</f>
        <v>0</v>
      </c>
      <c r="V402" s="71" t="str">
        <f>IFERROR(VLOOKUP(Table1[[#This Row],[No_]],'Customer Net Price'!A:G,6,FALSE),"0")</f>
        <v>0</v>
      </c>
    </row>
    <row r="403" spans="1:22" x14ac:dyDescent="0.25">
      <c r="A403" s="23" t="s">
        <v>998</v>
      </c>
      <c r="B403" s="23" t="s">
        <v>998</v>
      </c>
      <c r="C403" t="s">
        <v>1040</v>
      </c>
      <c r="D403" t="s">
        <v>1011</v>
      </c>
      <c r="E403" t="s">
        <v>1012</v>
      </c>
      <c r="F403" t="s">
        <v>919</v>
      </c>
      <c r="G403" t="s">
        <v>919</v>
      </c>
      <c r="H403" t="s">
        <v>1041</v>
      </c>
      <c r="I403">
        <v>48</v>
      </c>
      <c r="J403" t="s">
        <v>546</v>
      </c>
      <c r="K403" s="2">
        <v>9.9</v>
      </c>
      <c r="L403" s="2">
        <v>74.900000000000006</v>
      </c>
      <c r="M403" s="2">
        <v>11.9</v>
      </c>
      <c r="N403" s="2">
        <f ca="1">Table1[[#This Row],[2026 (EUR)]]*(1-INDIRECT(Table1[[#This Row],[Discount Name]]))</f>
        <v>9.9</v>
      </c>
      <c r="O403" s="2">
        <f ca="1">Table1[[#This Row],[2026 (DKK)]]*(1-INDIRECT(Table1[[#This Row],[Discount Name]]))</f>
        <v>74.900000000000006</v>
      </c>
      <c r="P403" s="2" cm="1">
        <f t="array" aca="1" ref="P403" ca="1">Table1[[#This Row],[2026 (USD)]]*(1-INDIRECT(Table1[[#This Row],[Discount Name]]))</f>
        <v>11.9</v>
      </c>
      <c r="Q403" s="31">
        <f ca="1">INDIRECT(Table1[[#This Row],[Discount Name]])</f>
        <v>0</v>
      </c>
      <c r="S403" s="2">
        <f t="shared" ca="1" si="12"/>
        <v>9.9</v>
      </c>
      <c r="T403" s="2">
        <f t="shared" ca="1" si="13"/>
        <v>74.900000000000006</v>
      </c>
      <c r="U403" s="71" t="str">
        <f>IFERROR(VLOOKUP(Table1[[#This Row],[No_]],'Customer Net Price'!A:F,5,FALSE),"0")</f>
        <v>0</v>
      </c>
      <c r="V403" s="71" t="str">
        <f>IFERROR(VLOOKUP(Table1[[#This Row],[No_]],'Customer Net Price'!A:G,6,FALSE),"0")</f>
        <v>0</v>
      </c>
    </row>
    <row r="404" spans="1:22" x14ac:dyDescent="0.25">
      <c r="A404" s="23" t="s">
        <v>999</v>
      </c>
      <c r="B404" s="23" t="s">
        <v>999</v>
      </c>
      <c r="C404" t="s">
        <v>1042</v>
      </c>
      <c r="D404" t="s">
        <v>1011</v>
      </c>
      <c r="E404" t="s">
        <v>1012</v>
      </c>
      <c r="F404" t="s">
        <v>919</v>
      </c>
      <c r="G404" t="s">
        <v>919</v>
      </c>
      <c r="H404" t="s">
        <v>1043</v>
      </c>
      <c r="I404">
        <v>48</v>
      </c>
      <c r="J404" t="s">
        <v>546</v>
      </c>
      <c r="K404" s="2">
        <v>9.9</v>
      </c>
      <c r="L404" s="2">
        <v>74.900000000000006</v>
      </c>
      <c r="M404" s="2">
        <v>11.9</v>
      </c>
      <c r="N404" s="2">
        <f ca="1">Table1[[#This Row],[2026 (EUR)]]*(1-INDIRECT(Table1[[#This Row],[Discount Name]]))</f>
        <v>9.9</v>
      </c>
      <c r="O404" s="2">
        <f ca="1">Table1[[#This Row],[2026 (DKK)]]*(1-INDIRECT(Table1[[#This Row],[Discount Name]]))</f>
        <v>74.900000000000006</v>
      </c>
      <c r="P404" s="2" cm="1">
        <f t="array" aca="1" ref="P404" ca="1">Table1[[#This Row],[2026 (USD)]]*(1-INDIRECT(Table1[[#This Row],[Discount Name]]))</f>
        <v>11.9</v>
      </c>
      <c r="Q404" s="31">
        <f ca="1">INDIRECT(Table1[[#This Row],[Discount Name]])</f>
        <v>0</v>
      </c>
      <c r="S404" s="2">
        <f t="shared" ca="1" si="12"/>
        <v>9.9</v>
      </c>
      <c r="T404" s="2">
        <f t="shared" ca="1" si="13"/>
        <v>74.900000000000006</v>
      </c>
      <c r="U404" s="71" t="str">
        <f>IFERROR(VLOOKUP(Table1[[#This Row],[No_]],'Customer Net Price'!A:F,5,FALSE),"0")</f>
        <v>0</v>
      </c>
      <c r="V404" s="71" t="str">
        <f>IFERROR(VLOOKUP(Table1[[#This Row],[No_]],'Customer Net Price'!A:G,6,FALSE),"0")</f>
        <v>0</v>
      </c>
    </row>
    <row r="405" spans="1:22" x14ac:dyDescent="0.25">
      <c r="A405" s="23" t="s">
        <v>1000</v>
      </c>
      <c r="B405" s="23" t="s">
        <v>1000</v>
      </c>
      <c r="C405" t="s">
        <v>1044</v>
      </c>
      <c r="D405" t="s">
        <v>1011</v>
      </c>
      <c r="E405" t="s">
        <v>1012</v>
      </c>
      <c r="F405" t="s">
        <v>919</v>
      </c>
      <c r="G405" t="s">
        <v>919</v>
      </c>
      <c r="H405" t="s">
        <v>1045</v>
      </c>
      <c r="I405">
        <v>48</v>
      </c>
      <c r="J405" t="s">
        <v>546</v>
      </c>
      <c r="K405" s="2">
        <v>9.9</v>
      </c>
      <c r="L405" s="2">
        <v>74.900000000000006</v>
      </c>
      <c r="M405" s="2">
        <v>11.9</v>
      </c>
      <c r="N405" s="2">
        <f ca="1">Table1[[#This Row],[2026 (EUR)]]*(1-INDIRECT(Table1[[#This Row],[Discount Name]]))</f>
        <v>9.9</v>
      </c>
      <c r="O405" s="2">
        <f ca="1">Table1[[#This Row],[2026 (DKK)]]*(1-INDIRECT(Table1[[#This Row],[Discount Name]]))</f>
        <v>74.900000000000006</v>
      </c>
      <c r="P405" s="2" cm="1">
        <f t="array" aca="1" ref="P405" ca="1">Table1[[#This Row],[2026 (USD)]]*(1-INDIRECT(Table1[[#This Row],[Discount Name]]))</f>
        <v>11.9</v>
      </c>
      <c r="Q405" s="31">
        <f ca="1">INDIRECT(Table1[[#This Row],[Discount Name]])</f>
        <v>0</v>
      </c>
      <c r="S405" s="2">
        <f t="shared" ca="1" si="12"/>
        <v>9.9</v>
      </c>
      <c r="T405" s="2">
        <f t="shared" ca="1" si="13"/>
        <v>74.900000000000006</v>
      </c>
      <c r="U405" s="71" t="str">
        <f>IFERROR(VLOOKUP(Table1[[#This Row],[No_]],'Customer Net Price'!A:F,5,FALSE),"0")</f>
        <v>0</v>
      </c>
      <c r="V405" s="71" t="str">
        <f>IFERROR(VLOOKUP(Table1[[#This Row],[No_]],'Customer Net Price'!A:G,6,FALSE),"0")</f>
        <v>0</v>
      </c>
    </row>
    <row r="406" spans="1:22" x14ac:dyDescent="0.25">
      <c r="A406" s="23" t="s">
        <v>1001</v>
      </c>
      <c r="B406" s="23" t="s">
        <v>1001</v>
      </c>
      <c r="C406" t="s">
        <v>1046</v>
      </c>
      <c r="D406" t="s">
        <v>1011</v>
      </c>
      <c r="E406" t="s">
        <v>1012</v>
      </c>
      <c r="F406" t="s">
        <v>919</v>
      </c>
      <c r="G406" t="s">
        <v>919</v>
      </c>
      <c r="H406" t="s">
        <v>1047</v>
      </c>
      <c r="I406">
        <v>48</v>
      </c>
      <c r="J406" t="s">
        <v>546</v>
      </c>
      <c r="K406" s="2">
        <v>9.9</v>
      </c>
      <c r="L406" s="2">
        <v>74.900000000000006</v>
      </c>
      <c r="M406" s="2">
        <v>11.9</v>
      </c>
      <c r="N406" s="2">
        <f ca="1">Table1[[#This Row],[2026 (EUR)]]*(1-INDIRECT(Table1[[#This Row],[Discount Name]]))</f>
        <v>9.9</v>
      </c>
      <c r="O406" s="2">
        <f ca="1">Table1[[#This Row],[2026 (DKK)]]*(1-INDIRECT(Table1[[#This Row],[Discount Name]]))</f>
        <v>74.900000000000006</v>
      </c>
      <c r="P406" s="2" cm="1">
        <f t="array" aca="1" ref="P406" ca="1">Table1[[#This Row],[2026 (USD)]]*(1-INDIRECT(Table1[[#This Row],[Discount Name]]))</f>
        <v>11.9</v>
      </c>
      <c r="Q406" s="31">
        <f ca="1">INDIRECT(Table1[[#This Row],[Discount Name]])</f>
        <v>0</v>
      </c>
      <c r="S406" s="2">
        <f t="shared" ca="1" si="12"/>
        <v>9.9</v>
      </c>
      <c r="T406" s="2">
        <f t="shared" ca="1" si="13"/>
        <v>74.900000000000006</v>
      </c>
      <c r="U406" s="71" t="str">
        <f>IFERROR(VLOOKUP(Table1[[#This Row],[No_]],'Customer Net Price'!A:F,5,FALSE),"0")</f>
        <v>0</v>
      </c>
      <c r="V406" s="71" t="str">
        <f>IFERROR(VLOOKUP(Table1[[#This Row],[No_]],'Customer Net Price'!A:G,6,FALSE),"0")</f>
        <v>0</v>
      </c>
    </row>
    <row r="407" spans="1:22" x14ac:dyDescent="0.25">
      <c r="A407" s="23" t="s">
        <v>1002</v>
      </c>
      <c r="B407" s="23" t="s">
        <v>1002</v>
      </c>
      <c r="C407" t="s">
        <v>1048</v>
      </c>
      <c r="D407" t="s">
        <v>1011</v>
      </c>
      <c r="E407" t="s">
        <v>1012</v>
      </c>
      <c r="F407" t="s">
        <v>919</v>
      </c>
      <c r="G407" t="s">
        <v>919</v>
      </c>
      <c r="H407" t="s">
        <v>1049</v>
      </c>
      <c r="I407">
        <v>48</v>
      </c>
      <c r="J407" t="s">
        <v>546</v>
      </c>
      <c r="K407" s="2">
        <v>9.9</v>
      </c>
      <c r="L407" s="2">
        <v>74.900000000000006</v>
      </c>
      <c r="M407" s="2">
        <v>11.9</v>
      </c>
      <c r="N407" s="2">
        <f ca="1">Table1[[#This Row],[2026 (EUR)]]*(1-INDIRECT(Table1[[#This Row],[Discount Name]]))</f>
        <v>9.9</v>
      </c>
      <c r="O407" s="2">
        <f ca="1">Table1[[#This Row],[2026 (DKK)]]*(1-INDIRECT(Table1[[#This Row],[Discount Name]]))</f>
        <v>74.900000000000006</v>
      </c>
      <c r="P407" s="2" cm="1">
        <f t="array" aca="1" ref="P407" ca="1">Table1[[#This Row],[2026 (USD)]]*(1-INDIRECT(Table1[[#This Row],[Discount Name]]))</f>
        <v>11.9</v>
      </c>
      <c r="Q407" s="31">
        <f ca="1">INDIRECT(Table1[[#This Row],[Discount Name]])</f>
        <v>0</v>
      </c>
      <c r="S407" s="2">
        <f t="shared" ca="1" si="12"/>
        <v>9.9</v>
      </c>
      <c r="T407" s="2">
        <f t="shared" ca="1" si="13"/>
        <v>74.900000000000006</v>
      </c>
      <c r="U407" s="71" t="str">
        <f>IFERROR(VLOOKUP(Table1[[#This Row],[No_]],'Customer Net Price'!A:F,5,FALSE),"0")</f>
        <v>0</v>
      </c>
      <c r="V407" s="71" t="str">
        <f>IFERROR(VLOOKUP(Table1[[#This Row],[No_]],'Customer Net Price'!A:G,6,FALSE),"0")</f>
        <v>0</v>
      </c>
    </row>
    <row r="408" spans="1:22" x14ac:dyDescent="0.25">
      <c r="A408" s="23" t="s">
        <v>1003</v>
      </c>
      <c r="B408" s="23" t="s">
        <v>1003</v>
      </c>
      <c r="C408" t="s">
        <v>1050</v>
      </c>
      <c r="D408" t="s">
        <v>1011</v>
      </c>
      <c r="E408" t="s">
        <v>1012</v>
      </c>
      <c r="F408" t="s">
        <v>919</v>
      </c>
      <c r="G408" t="s">
        <v>919</v>
      </c>
      <c r="H408" t="s">
        <v>1051</v>
      </c>
      <c r="I408">
        <v>48</v>
      </c>
      <c r="J408" t="s">
        <v>546</v>
      </c>
      <c r="K408" s="2">
        <v>9.9</v>
      </c>
      <c r="L408" s="2">
        <v>74.900000000000006</v>
      </c>
      <c r="M408" s="2">
        <v>11.9</v>
      </c>
      <c r="N408" s="2">
        <f ca="1">Table1[[#This Row],[2026 (EUR)]]*(1-INDIRECT(Table1[[#This Row],[Discount Name]]))</f>
        <v>9.9</v>
      </c>
      <c r="O408" s="2">
        <f ca="1">Table1[[#This Row],[2026 (DKK)]]*(1-INDIRECT(Table1[[#This Row],[Discount Name]]))</f>
        <v>74.900000000000006</v>
      </c>
      <c r="P408" s="2" cm="1">
        <f t="array" aca="1" ref="P408" ca="1">Table1[[#This Row],[2026 (USD)]]*(1-INDIRECT(Table1[[#This Row],[Discount Name]]))</f>
        <v>11.9</v>
      </c>
      <c r="Q408" s="31">
        <f ca="1">INDIRECT(Table1[[#This Row],[Discount Name]])</f>
        <v>0</v>
      </c>
      <c r="S408" s="2">
        <f t="shared" ca="1" si="12"/>
        <v>9.9</v>
      </c>
      <c r="T408" s="2">
        <f t="shared" ca="1" si="13"/>
        <v>74.900000000000006</v>
      </c>
      <c r="U408" s="71" t="str">
        <f>IFERROR(VLOOKUP(Table1[[#This Row],[No_]],'Customer Net Price'!A:F,5,FALSE),"0")</f>
        <v>0</v>
      </c>
      <c r="V408" s="71" t="str">
        <f>IFERROR(VLOOKUP(Table1[[#This Row],[No_]],'Customer Net Price'!A:G,6,FALSE),"0")</f>
        <v>0</v>
      </c>
    </row>
    <row r="409" spans="1:22" x14ac:dyDescent="0.25">
      <c r="A409" s="23" t="s">
        <v>1004</v>
      </c>
      <c r="B409" s="23" t="s">
        <v>1004</v>
      </c>
      <c r="C409" t="s">
        <v>1052</v>
      </c>
      <c r="D409" t="s">
        <v>1011</v>
      </c>
      <c r="E409" t="s">
        <v>1012</v>
      </c>
      <c r="F409" t="s">
        <v>919</v>
      </c>
      <c r="G409" t="s">
        <v>919</v>
      </c>
      <c r="H409" s="1" t="s">
        <v>1053</v>
      </c>
      <c r="I409">
        <v>48</v>
      </c>
      <c r="J409" t="s">
        <v>546</v>
      </c>
      <c r="K409" s="2">
        <v>9.9</v>
      </c>
      <c r="L409" s="2">
        <v>74.900000000000006</v>
      </c>
      <c r="M409" s="2">
        <v>11.9</v>
      </c>
      <c r="N409" s="2">
        <f ca="1">Table1[[#This Row],[2026 (EUR)]]*(1-INDIRECT(Table1[[#This Row],[Discount Name]]))</f>
        <v>9.9</v>
      </c>
      <c r="O409" s="2">
        <f ca="1">Table1[[#This Row],[2026 (DKK)]]*(1-INDIRECT(Table1[[#This Row],[Discount Name]]))</f>
        <v>74.900000000000006</v>
      </c>
      <c r="P409" s="2" cm="1">
        <f t="array" aca="1" ref="P409" ca="1">Table1[[#This Row],[2026 (USD)]]*(1-INDIRECT(Table1[[#This Row],[Discount Name]]))</f>
        <v>11.9</v>
      </c>
      <c r="Q409" s="31">
        <f ca="1">INDIRECT(Table1[[#This Row],[Discount Name]])</f>
        <v>0</v>
      </c>
      <c r="S409" s="2">
        <f t="shared" ca="1" si="12"/>
        <v>9.9</v>
      </c>
      <c r="T409" s="2">
        <f t="shared" ca="1" si="13"/>
        <v>74.900000000000006</v>
      </c>
      <c r="U409" s="71" t="str">
        <f>IFERROR(VLOOKUP(Table1[[#This Row],[No_]],'Customer Net Price'!A:F,5,FALSE),"0")</f>
        <v>0</v>
      </c>
      <c r="V409" s="71" t="str">
        <f>IFERROR(VLOOKUP(Table1[[#This Row],[No_]],'Customer Net Price'!A:G,6,FALSE),"0")</f>
        <v>0</v>
      </c>
    </row>
    <row r="410" spans="1:22" x14ac:dyDescent="0.25">
      <c r="A410" s="23" t="s">
        <v>1005</v>
      </c>
      <c r="B410" s="23" t="s">
        <v>1005</v>
      </c>
      <c r="C410" t="s">
        <v>1054</v>
      </c>
      <c r="D410" t="s">
        <v>1011</v>
      </c>
      <c r="E410" t="s">
        <v>1012</v>
      </c>
      <c r="F410" t="s">
        <v>919</v>
      </c>
      <c r="G410" t="s">
        <v>919</v>
      </c>
      <c r="H410" s="1" t="s">
        <v>1055</v>
      </c>
      <c r="I410">
        <v>48</v>
      </c>
      <c r="J410" t="s">
        <v>546</v>
      </c>
      <c r="K410" s="2">
        <v>9.9</v>
      </c>
      <c r="L410" s="2">
        <v>74.900000000000006</v>
      </c>
      <c r="M410" s="2">
        <v>11.9</v>
      </c>
      <c r="N410" s="2">
        <f ca="1">Table1[[#This Row],[2026 (EUR)]]*(1-INDIRECT(Table1[[#This Row],[Discount Name]]))</f>
        <v>9.9</v>
      </c>
      <c r="O410" s="2">
        <f ca="1">Table1[[#This Row],[2026 (DKK)]]*(1-INDIRECT(Table1[[#This Row],[Discount Name]]))</f>
        <v>74.900000000000006</v>
      </c>
      <c r="P410" s="2" cm="1">
        <f t="array" aca="1" ref="P410" ca="1">Table1[[#This Row],[2026 (USD)]]*(1-INDIRECT(Table1[[#This Row],[Discount Name]]))</f>
        <v>11.9</v>
      </c>
      <c r="Q410" s="31">
        <f ca="1">INDIRECT(Table1[[#This Row],[Discount Name]])</f>
        <v>0</v>
      </c>
      <c r="S410" s="2">
        <f t="shared" ca="1" si="12"/>
        <v>9.9</v>
      </c>
      <c r="T410" s="2">
        <f t="shared" ca="1" si="13"/>
        <v>74.900000000000006</v>
      </c>
      <c r="U410" s="71" t="str">
        <f>IFERROR(VLOOKUP(Table1[[#This Row],[No_]],'Customer Net Price'!A:F,5,FALSE),"0")</f>
        <v>0</v>
      </c>
      <c r="V410" s="71" t="str">
        <f>IFERROR(VLOOKUP(Table1[[#This Row],[No_]],'Customer Net Price'!A:G,6,FALSE),"0")</f>
        <v>0</v>
      </c>
    </row>
    <row r="411" spans="1:22" x14ac:dyDescent="0.25">
      <c r="A411" s="23" t="s">
        <v>1006</v>
      </c>
      <c r="B411" s="23" t="s">
        <v>1006</v>
      </c>
      <c r="C411" t="s">
        <v>1056</v>
      </c>
      <c r="D411" t="s">
        <v>1011</v>
      </c>
      <c r="E411" t="s">
        <v>1012</v>
      </c>
      <c r="F411" t="s">
        <v>919</v>
      </c>
      <c r="G411" t="s">
        <v>919</v>
      </c>
      <c r="H411" s="1" t="s">
        <v>1057</v>
      </c>
      <c r="I411">
        <v>48</v>
      </c>
      <c r="J411" t="s">
        <v>546</v>
      </c>
      <c r="K411" s="2">
        <v>9.9</v>
      </c>
      <c r="L411" s="2">
        <v>74.900000000000006</v>
      </c>
      <c r="M411" s="2">
        <v>11.9</v>
      </c>
      <c r="N411" s="2">
        <f ca="1">Table1[[#This Row],[2026 (EUR)]]*(1-INDIRECT(Table1[[#This Row],[Discount Name]]))</f>
        <v>9.9</v>
      </c>
      <c r="O411" s="2">
        <f ca="1">Table1[[#This Row],[2026 (DKK)]]*(1-INDIRECT(Table1[[#This Row],[Discount Name]]))</f>
        <v>74.900000000000006</v>
      </c>
      <c r="P411" s="2" cm="1">
        <f t="array" aca="1" ref="P411" ca="1">Table1[[#This Row],[2026 (USD)]]*(1-INDIRECT(Table1[[#This Row],[Discount Name]]))</f>
        <v>11.9</v>
      </c>
      <c r="Q411" s="31">
        <f ca="1">INDIRECT(Table1[[#This Row],[Discount Name]])</f>
        <v>0</v>
      </c>
      <c r="S411" s="2">
        <f t="shared" ca="1" si="12"/>
        <v>9.9</v>
      </c>
      <c r="T411" s="2">
        <f t="shared" ca="1" si="13"/>
        <v>74.900000000000006</v>
      </c>
      <c r="U411" s="71" t="str">
        <f>IFERROR(VLOOKUP(Table1[[#This Row],[No_]],'Customer Net Price'!A:F,5,FALSE),"0")</f>
        <v>0</v>
      </c>
      <c r="V411" s="71" t="str">
        <f>IFERROR(VLOOKUP(Table1[[#This Row],[No_]],'Customer Net Price'!A:G,6,FALSE),"0")</f>
        <v>0</v>
      </c>
    </row>
    <row r="412" spans="1:22" x14ac:dyDescent="0.25">
      <c r="A412" s="23" t="s">
        <v>1007</v>
      </c>
      <c r="B412" s="23" t="s">
        <v>1007</v>
      </c>
      <c r="C412" t="s">
        <v>1058</v>
      </c>
      <c r="D412" t="s">
        <v>1011</v>
      </c>
      <c r="E412" t="s">
        <v>1012</v>
      </c>
      <c r="F412" t="s">
        <v>919</v>
      </c>
      <c r="G412" t="s">
        <v>919</v>
      </c>
      <c r="H412" s="1" t="s">
        <v>1059</v>
      </c>
      <c r="I412">
        <v>48</v>
      </c>
      <c r="J412" t="s">
        <v>546</v>
      </c>
      <c r="K412" s="2">
        <v>9.9</v>
      </c>
      <c r="L412" s="2">
        <v>74.900000000000006</v>
      </c>
      <c r="M412" s="2">
        <v>11.9</v>
      </c>
      <c r="N412" s="2">
        <f ca="1">Table1[[#This Row],[2026 (EUR)]]*(1-INDIRECT(Table1[[#This Row],[Discount Name]]))</f>
        <v>9.9</v>
      </c>
      <c r="O412" s="2">
        <f ca="1">Table1[[#This Row],[2026 (DKK)]]*(1-INDIRECT(Table1[[#This Row],[Discount Name]]))</f>
        <v>74.900000000000006</v>
      </c>
      <c r="P412" s="2" cm="1">
        <f t="array" aca="1" ref="P412" ca="1">Table1[[#This Row],[2026 (USD)]]*(1-INDIRECT(Table1[[#This Row],[Discount Name]]))</f>
        <v>11.9</v>
      </c>
      <c r="Q412" s="31">
        <f ca="1">INDIRECT(Table1[[#This Row],[Discount Name]])</f>
        <v>0</v>
      </c>
      <c r="S412" s="2">
        <f t="shared" ca="1" si="12"/>
        <v>9.9</v>
      </c>
      <c r="T412" s="2">
        <f t="shared" ca="1" si="13"/>
        <v>74.900000000000006</v>
      </c>
      <c r="U412" s="71" t="str">
        <f>IFERROR(VLOOKUP(Table1[[#This Row],[No_]],'Customer Net Price'!A:F,5,FALSE),"0")</f>
        <v>0</v>
      </c>
      <c r="V412" s="71" t="str">
        <f>IFERROR(VLOOKUP(Table1[[#This Row],[No_]],'Customer Net Price'!A:G,6,FALSE),"0")</f>
        <v>0</v>
      </c>
    </row>
    <row r="413" spans="1:22" x14ac:dyDescent="0.25">
      <c r="A413" s="23" t="s">
        <v>1008</v>
      </c>
      <c r="B413" s="23" t="s">
        <v>1008</v>
      </c>
      <c r="C413" t="s">
        <v>1060</v>
      </c>
      <c r="D413" t="s">
        <v>1011</v>
      </c>
      <c r="E413" t="s">
        <v>1012</v>
      </c>
      <c r="F413" t="s">
        <v>919</v>
      </c>
      <c r="G413" t="s">
        <v>919</v>
      </c>
      <c r="H413" s="1" t="s">
        <v>1061</v>
      </c>
      <c r="I413">
        <v>48</v>
      </c>
      <c r="J413" t="s">
        <v>546</v>
      </c>
      <c r="K413" s="2">
        <v>9.9</v>
      </c>
      <c r="L413" s="2">
        <v>74.900000000000006</v>
      </c>
      <c r="M413" s="2">
        <v>11.9</v>
      </c>
      <c r="N413" s="2">
        <f ca="1">Table1[[#This Row],[2026 (EUR)]]*(1-INDIRECT(Table1[[#This Row],[Discount Name]]))</f>
        <v>9.9</v>
      </c>
      <c r="O413" s="2">
        <f ca="1">Table1[[#This Row],[2026 (DKK)]]*(1-INDIRECT(Table1[[#This Row],[Discount Name]]))</f>
        <v>74.900000000000006</v>
      </c>
      <c r="P413" s="2" cm="1">
        <f t="array" aca="1" ref="P413" ca="1">Table1[[#This Row],[2026 (USD)]]*(1-INDIRECT(Table1[[#This Row],[Discount Name]]))</f>
        <v>11.9</v>
      </c>
      <c r="Q413" s="31">
        <f ca="1">INDIRECT(Table1[[#This Row],[Discount Name]])</f>
        <v>0</v>
      </c>
      <c r="S413" s="2">
        <f t="shared" ca="1" si="12"/>
        <v>9.9</v>
      </c>
      <c r="T413" s="2">
        <f t="shared" ca="1" si="13"/>
        <v>74.900000000000006</v>
      </c>
      <c r="U413" s="71" t="str">
        <f>IFERROR(VLOOKUP(Table1[[#This Row],[No_]],'Customer Net Price'!A:F,5,FALSE),"0")</f>
        <v>0</v>
      </c>
      <c r="V413" s="71" t="str">
        <f>IFERROR(VLOOKUP(Table1[[#This Row],[No_]],'Customer Net Price'!A:G,6,FALSE),"0")</f>
        <v>0</v>
      </c>
    </row>
    <row r="414" spans="1:22" x14ac:dyDescent="0.25">
      <c r="A414" s="23" t="s">
        <v>1009</v>
      </c>
      <c r="B414" s="23" t="s">
        <v>1009</v>
      </c>
      <c r="C414" t="s">
        <v>1062</v>
      </c>
      <c r="D414" t="s">
        <v>1011</v>
      </c>
      <c r="E414" t="s">
        <v>1012</v>
      </c>
      <c r="F414" t="s">
        <v>919</v>
      </c>
      <c r="G414" t="s">
        <v>919</v>
      </c>
      <c r="H414" s="1" t="s">
        <v>1063</v>
      </c>
      <c r="I414">
        <v>48</v>
      </c>
      <c r="J414" t="s">
        <v>546</v>
      </c>
      <c r="K414" s="2">
        <v>9.9</v>
      </c>
      <c r="L414" s="2">
        <v>74.900000000000006</v>
      </c>
      <c r="M414" s="2">
        <v>11.9</v>
      </c>
      <c r="N414" s="2">
        <f ca="1">Table1[[#This Row],[2026 (EUR)]]*(1-INDIRECT(Table1[[#This Row],[Discount Name]]))</f>
        <v>9.9</v>
      </c>
      <c r="O414" s="2">
        <f ca="1">Table1[[#This Row],[2026 (DKK)]]*(1-INDIRECT(Table1[[#This Row],[Discount Name]]))</f>
        <v>74.900000000000006</v>
      </c>
      <c r="P414" s="2" cm="1">
        <f t="array" aca="1" ref="P414" ca="1">Table1[[#This Row],[2026 (USD)]]*(1-INDIRECT(Table1[[#This Row],[Discount Name]]))</f>
        <v>11.9</v>
      </c>
      <c r="Q414" s="31">
        <f ca="1">INDIRECT(Table1[[#This Row],[Discount Name]])</f>
        <v>0</v>
      </c>
      <c r="S414" s="2">
        <f t="shared" ca="1" si="12"/>
        <v>9.9</v>
      </c>
      <c r="T414" s="2">
        <f t="shared" ca="1" si="13"/>
        <v>74.900000000000006</v>
      </c>
      <c r="U414" s="71" t="str">
        <f>IFERROR(VLOOKUP(Table1[[#This Row],[No_]],'Customer Net Price'!A:F,5,FALSE),"0")</f>
        <v>0</v>
      </c>
      <c r="V414" s="71" t="str">
        <f>IFERROR(VLOOKUP(Table1[[#This Row],[No_]],'Customer Net Price'!A:G,6,FALSE),"0")</f>
        <v>0</v>
      </c>
    </row>
    <row r="415" spans="1:22" x14ac:dyDescent="0.25">
      <c r="A415" s="23" t="s">
        <v>1010</v>
      </c>
      <c r="B415" s="23" t="s">
        <v>1010</v>
      </c>
      <c r="C415" t="s">
        <v>1064</v>
      </c>
      <c r="D415" t="s">
        <v>1011</v>
      </c>
      <c r="E415" t="s">
        <v>1012</v>
      </c>
      <c r="F415" t="s">
        <v>919</v>
      </c>
      <c r="G415" t="s">
        <v>919</v>
      </c>
      <c r="H415" s="1" t="s">
        <v>1065</v>
      </c>
      <c r="I415">
        <v>48</v>
      </c>
      <c r="J415" t="s">
        <v>546</v>
      </c>
      <c r="K415" s="2">
        <v>9.9</v>
      </c>
      <c r="L415" s="2">
        <v>74.900000000000006</v>
      </c>
      <c r="M415" s="2">
        <v>11.9</v>
      </c>
      <c r="N415" s="2">
        <f ca="1">Table1[[#This Row],[2026 (EUR)]]*(1-INDIRECT(Table1[[#This Row],[Discount Name]]))</f>
        <v>9.9</v>
      </c>
      <c r="O415" s="2">
        <f ca="1">Table1[[#This Row],[2026 (DKK)]]*(1-INDIRECT(Table1[[#This Row],[Discount Name]]))</f>
        <v>74.900000000000006</v>
      </c>
      <c r="P415" s="2" cm="1">
        <f t="array" aca="1" ref="P415" ca="1">Table1[[#This Row],[2026 (USD)]]*(1-INDIRECT(Table1[[#This Row],[Discount Name]]))</f>
        <v>11.9</v>
      </c>
      <c r="Q415" s="31">
        <f ca="1">INDIRECT(Table1[[#This Row],[Discount Name]])</f>
        <v>0</v>
      </c>
      <c r="S415" s="2">
        <f t="shared" ca="1" si="12"/>
        <v>9.9</v>
      </c>
      <c r="T415" s="2">
        <f t="shared" ca="1" si="13"/>
        <v>74.900000000000006</v>
      </c>
      <c r="U415" s="71" t="str">
        <f>IFERROR(VLOOKUP(Table1[[#This Row],[No_]],'Customer Net Price'!A:F,5,FALSE),"0")</f>
        <v>0</v>
      </c>
      <c r="V415" s="71" t="str">
        <f>IFERROR(VLOOKUP(Table1[[#This Row],[No_]],'Customer Net Price'!A:G,6,FALSE),"0")</f>
        <v>0</v>
      </c>
    </row>
    <row r="416" spans="1:22" x14ac:dyDescent="0.25">
      <c r="A416" s="23" t="s">
        <v>1172</v>
      </c>
      <c r="B416" s="23" t="s">
        <v>1172</v>
      </c>
      <c r="C416" t="s">
        <v>1173</v>
      </c>
      <c r="D416" t="s">
        <v>1011</v>
      </c>
      <c r="E416" t="s">
        <v>1012</v>
      </c>
      <c r="F416" t="s">
        <v>919</v>
      </c>
      <c r="G416" t="s">
        <v>919</v>
      </c>
      <c r="H416" s="58" t="s">
        <v>1174</v>
      </c>
      <c r="I416">
        <v>48</v>
      </c>
      <c r="J416" t="s">
        <v>546</v>
      </c>
      <c r="K416" s="2">
        <v>9.9</v>
      </c>
      <c r="L416" s="2">
        <v>74.900000000000006</v>
      </c>
      <c r="M416" s="2">
        <v>11.9</v>
      </c>
      <c r="N416" s="2">
        <f ca="1">Table1[[#This Row],[2026 (EUR)]]*(1-INDIRECT(Table1[[#This Row],[Discount Name]]))</f>
        <v>9.9</v>
      </c>
      <c r="O416" s="2">
        <f ca="1">Table1[[#This Row],[2026 (DKK)]]*(1-INDIRECT(Table1[[#This Row],[Discount Name]]))</f>
        <v>74.900000000000006</v>
      </c>
      <c r="P416" s="2" cm="1">
        <f t="array" aca="1" ref="P416" ca="1">Table1[[#This Row],[2026 (USD)]]*(1-INDIRECT(Table1[[#This Row],[Discount Name]]))</f>
        <v>11.9</v>
      </c>
      <c r="Q416" s="31">
        <f ca="1">INDIRECT(Table1[[#This Row],[Discount Name]])</f>
        <v>0</v>
      </c>
      <c r="S416" s="2">
        <f t="shared" ca="1" si="12"/>
        <v>9.9</v>
      </c>
      <c r="T416" s="2">
        <f t="shared" ca="1" si="13"/>
        <v>74.900000000000006</v>
      </c>
      <c r="U416" s="71" t="str">
        <f>IFERROR(VLOOKUP(Table1[[#This Row],[No_]],'Customer Net Price'!A:F,5,FALSE),"0")</f>
        <v>0</v>
      </c>
      <c r="V416" s="71" t="str">
        <f>IFERROR(VLOOKUP(Table1[[#This Row],[No_]],'Customer Net Price'!A:G,6,FALSE),"0")</f>
        <v>0</v>
      </c>
    </row>
    <row r="417" spans="1:22" x14ac:dyDescent="0.25">
      <c r="A417" s="23" t="s">
        <v>1212</v>
      </c>
      <c r="B417" s="23" t="s">
        <v>1212</v>
      </c>
      <c r="C417" s="59" t="s">
        <v>1214</v>
      </c>
      <c r="D417" t="s">
        <v>1011</v>
      </c>
      <c r="E417" t="s">
        <v>1012</v>
      </c>
      <c r="F417" t="s">
        <v>919</v>
      </c>
      <c r="G417" t="s">
        <v>919</v>
      </c>
      <c r="H417" s="42" t="s">
        <v>1213</v>
      </c>
      <c r="I417" t="s">
        <v>546</v>
      </c>
      <c r="J417" t="s">
        <v>546</v>
      </c>
      <c r="K417" s="2">
        <v>24.9</v>
      </c>
      <c r="L417" s="2">
        <v>179.9</v>
      </c>
      <c r="M417" s="2">
        <v>26.9</v>
      </c>
      <c r="N417" s="2">
        <f ca="1">Table1[[#This Row],[2026 (EUR)]]*(1-INDIRECT(Table1[[#This Row],[Discount Name]]))</f>
        <v>24.9</v>
      </c>
      <c r="O417" s="2">
        <f ca="1">Table1[[#This Row],[2026 (DKK)]]*(1-INDIRECT(Table1[[#This Row],[Discount Name]]))</f>
        <v>179.9</v>
      </c>
      <c r="P417" s="2" cm="1">
        <f t="array" aca="1" ref="P417" ca="1">Table1[[#This Row],[2026 (USD)]]*(1-INDIRECT(Table1[[#This Row],[Discount Name]]))</f>
        <v>26.9</v>
      </c>
      <c r="Q417" s="31">
        <f ca="1">INDIRECT(Table1[[#This Row],[Discount Name]])</f>
        <v>0</v>
      </c>
      <c r="S417" s="2">
        <f t="shared" ca="1" si="12"/>
        <v>24.9</v>
      </c>
      <c r="T417" s="2">
        <f t="shared" ca="1" si="13"/>
        <v>179.9</v>
      </c>
      <c r="U417" s="71" t="str">
        <f>IFERROR(VLOOKUP(Table1[[#This Row],[No_]],'Customer Net Price'!A:F,5,FALSE),"0")</f>
        <v>0</v>
      </c>
      <c r="V417" s="71" t="str">
        <f>IFERROR(VLOOKUP(Table1[[#This Row],[No_]],'Customer Net Price'!A:G,6,FALSE),"0")</f>
        <v>0</v>
      </c>
    </row>
    <row r="418" spans="1:22" x14ac:dyDescent="0.25">
      <c r="A418" s="23" t="s">
        <v>1217</v>
      </c>
      <c r="B418" s="23" t="s">
        <v>1217</v>
      </c>
      <c r="C418" s="59" t="s">
        <v>1216</v>
      </c>
      <c r="D418" t="s">
        <v>1011</v>
      </c>
      <c r="E418" t="s">
        <v>1012</v>
      </c>
      <c r="F418" t="s">
        <v>919</v>
      </c>
      <c r="G418" t="s">
        <v>919</v>
      </c>
      <c r="H418" s="44" t="s">
        <v>1215</v>
      </c>
      <c r="I418">
        <v>48</v>
      </c>
      <c r="J418" t="s">
        <v>546</v>
      </c>
      <c r="K418" s="2">
        <v>9.9</v>
      </c>
      <c r="L418" s="2">
        <v>74.900000000000006</v>
      </c>
      <c r="M418" s="2">
        <v>11.9</v>
      </c>
      <c r="N418" s="2">
        <f ca="1">Table1[[#This Row],[2026 (EUR)]]*(1-INDIRECT(Table1[[#This Row],[Discount Name]]))</f>
        <v>9.9</v>
      </c>
      <c r="O418" s="2">
        <f ca="1">Table1[[#This Row],[2026 (DKK)]]*(1-INDIRECT(Table1[[#This Row],[Discount Name]]))</f>
        <v>74.900000000000006</v>
      </c>
      <c r="P418" s="2" cm="1">
        <f t="array" aca="1" ref="P418" ca="1">Table1[[#This Row],[2026 (USD)]]*(1-INDIRECT(Table1[[#This Row],[Discount Name]]))</f>
        <v>11.9</v>
      </c>
      <c r="Q418" s="31">
        <f ca="1">INDIRECT(Table1[[#This Row],[Discount Name]])</f>
        <v>0</v>
      </c>
      <c r="S418" s="2">
        <f t="shared" ca="1" si="12"/>
        <v>9.9</v>
      </c>
      <c r="T418" s="2">
        <f t="shared" ca="1" si="13"/>
        <v>74.900000000000006</v>
      </c>
      <c r="U418" s="71" t="str">
        <f>IFERROR(VLOOKUP(Table1[[#This Row],[No_]],'Customer Net Price'!A:F,5,FALSE),"0")</f>
        <v>0</v>
      </c>
      <c r="V418" s="71" t="str">
        <f>IFERROR(VLOOKUP(Table1[[#This Row],[No_]],'Customer Net Price'!A:G,6,FALSE),"0")</f>
        <v>0</v>
      </c>
    </row>
    <row r="419" spans="1:22" x14ac:dyDescent="0.25">
      <c r="A419" s="23" t="s">
        <v>1411</v>
      </c>
      <c r="B419" s="23" t="s">
        <v>1411</v>
      </c>
      <c r="C419" t="s">
        <v>1412</v>
      </c>
      <c r="D419" t="s">
        <v>1011</v>
      </c>
      <c r="E419" t="s">
        <v>1012</v>
      </c>
      <c r="F419" t="s">
        <v>919</v>
      </c>
      <c r="G419" t="s">
        <v>919</v>
      </c>
      <c r="H419" s="42" t="s">
        <v>1413</v>
      </c>
      <c r="I419">
        <v>48</v>
      </c>
      <c r="J419" t="s">
        <v>546</v>
      </c>
      <c r="K419" s="2">
        <v>9.9</v>
      </c>
      <c r="L419" s="2">
        <v>74.900000000000006</v>
      </c>
      <c r="M419" s="2">
        <v>11.9</v>
      </c>
      <c r="N419" s="2">
        <f ca="1">Table1[[#This Row],[2026 (EUR)]]*(1-INDIRECT(Table1[[#This Row],[Discount Name]]))</f>
        <v>9.9</v>
      </c>
      <c r="O419" s="2">
        <f ca="1">Table1[[#This Row],[2026 (DKK)]]*(1-INDIRECT(Table1[[#This Row],[Discount Name]]))</f>
        <v>74.900000000000006</v>
      </c>
      <c r="P419" s="2" cm="1">
        <f t="array" aca="1" ref="P419" ca="1">Table1[[#This Row],[2026 (USD)]]*(1-INDIRECT(Table1[[#This Row],[Discount Name]]))</f>
        <v>11.9</v>
      </c>
      <c r="Q419" s="31">
        <f ca="1">INDIRECT(Table1[[#This Row],[Discount Name]])</f>
        <v>0</v>
      </c>
      <c r="S419" s="2">
        <f t="shared" ca="1" si="12"/>
        <v>9.9</v>
      </c>
      <c r="T419" s="2">
        <f t="shared" ca="1" si="13"/>
        <v>74.900000000000006</v>
      </c>
      <c r="U419" s="71" t="str">
        <f>IFERROR(VLOOKUP(Table1[[#This Row],[No_]],'Customer Net Price'!A:F,5,FALSE),"0")</f>
        <v>0</v>
      </c>
      <c r="V419" s="71" t="str">
        <f>IFERROR(VLOOKUP(Table1[[#This Row],[No_]],'Customer Net Price'!A:G,6,FALSE),"0")</f>
        <v>0</v>
      </c>
    </row>
    <row r="420" spans="1:22" x14ac:dyDescent="0.25">
      <c r="A420" s="23" t="s">
        <v>1306</v>
      </c>
      <c r="B420" s="23" t="s">
        <v>1306</v>
      </c>
      <c r="C420" t="s">
        <v>492</v>
      </c>
      <c r="D420" t="s">
        <v>305</v>
      </c>
      <c r="E420" t="s">
        <v>482</v>
      </c>
      <c r="F420" t="s">
        <v>916</v>
      </c>
      <c r="G420" t="s">
        <v>916</v>
      </c>
      <c r="H420" s="1" t="s">
        <v>1315</v>
      </c>
      <c r="I420">
        <v>24</v>
      </c>
      <c r="J420" t="s">
        <v>546</v>
      </c>
      <c r="K420" s="2">
        <v>74.900000000000006</v>
      </c>
      <c r="L420" s="2">
        <v>559.9</v>
      </c>
      <c r="M420" s="2">
        <v>90.9</v>
      </c>
      <c r="N420" s="2">
        <f ca="1">Table1[[#This Row],[2026 (EUR)]]*(1-INDIRECT(Table1[[#This Row],[Discount Name]]))</f>
        <v>74.900000000000006</v>
      </c>
      <c r="O420" s="2">
        <f ca="1">Table1[[#This Row],[2026 (DKK)]]*(1-INDIRECT(Table1[[#This Row],[Discount Name]]))</f>
        <v>559.9</v>
      </c>
      <c r="P420" s="2" cm="1">
        <f t="array" aca="1" ref="P420" ca="1">Table1[[#This Row],[2026 (USD)]]*(1-INDIRECT(Table1[[#This Row],[Discount Name]]))</f>
        <v>90.9</v>
      </c>
      <c r="Q420" s="31">
        <f ca="1">INDIRECT(Table1[[#This Row],[Discount Name]])</f>
        <v>0</v>
      </c>
      <c r="S420" s="2">
        <f t="shared" ca="1" si="12"/>
        <v>74.900000000000006</v>
      </c>
      <c r="T420" s="2">
        <f t="shared" ca="1" si="13"/>
        <v>559.9</v>
      </c>
      <c r="U420" s="71" t="str">
        <f>IFERROR(VLOOKUP(Table1[[#This Row],[No_]],'Customer Net Price'!A:F,5,FALSE),"0")</f>
        <v>0</v>
      </c>
      <c r="V420" s="71" t="str">
        <f>IFERROR(VLOOKUP(Table1[[#This Row],[No_]],'Customer Net Price'!A:G,6,FALSE),"0")</f>
        <v>0</v>
      </c>
    </row>
    <row r="421" spans="1:22" x14ac:dyDescent="0.25">
      <c r="A421" s="23" t="s">
        <v>1305</v>
      </c>
      <c r="B421" s="23" t="s">
        <v>1305</v>
      </c>
      <c r="C421" t="s">
        <v>207</v>
      </c>
      <c r="D421" t="s">
        <v>305</v>
      </c>
      <c r="E421" t="s">
        <v>482</v>
      </c>
      <c r="F421" t="s">
        <v>916</v>
      </c>
      <c r="G421" t="s">
        <v>916</v>
      </c>
      <c r="H421" s="1" t="s">
        <v>1316</v>
      </c>
      <c r="I421">
        <v>6</v>
      </c>
      <c r="J421" t="s">
        <v>546</v>
      </c>
      <c r="K421" s="2">
        <v>104.9</v>
      </c>
      <c r="L421" s="2">
        <v>779.9</v>
      </c>
      <c r="M421" s="2">
        <v>129.9</v>
      </c>
      <c r="N421" s="2">
        <f ca="1">Table1[[#This Row],[2026 (EUR)]]*(1-INDIRECT(Table1[[#This Row],[Discount Name]]))</f>
        <v>104.9</v>
      </c>
      <c r="O421" s="2">
        <f ca="1">Table1[[#This Row],[2026 (DKK)]]*(1-INDIRECT(Table1[[#This Row],[Discount Name]]))</f>
        <v>779.9</v>
      </c>
      <c r="P421" s="2" cm="1">
        <f t="array" aca="1" ref="P421" ca="1">Table1[[#This Row],[2026 (USD)]]*(1-INDIRECT(Table1[[#This Row],[Discount Name]]))</f>
        <v>129.9</v>
      </c>
      <c r="Q421" s="31">
        <f ca="1">INDIRECT(Table1[[#This Row],[Discount Name]])</f>
        <v>0</v>
      </c>
      <c r="S421" s="2">
        <f t="shared" ca="1" si="12"/>
        <v>104.9</v>
      </c>
      <c r="T421" s="2">
        <f t="shared" ca="1" si="13"/>
        <v>779.9</v>
      </c>
      <c r="U421" s="71" t="str">
        <f>IFERROR(VLOOKUP(Table1[[#This Row],[No_]],'Customer Net Price'!A:F,5,FALSE),"0")</f>
        <v>0</v>
      </c>
      <c r="V421" s="71" t="str">
        <f>IFERROR(VLOOKUP(Table1[[#This Row],[No_]],'Customer Net Price'!A:G,6,FALSE),"0")</f>
        <v>0</v>
      </c>
    </row>
    <row r="422" spans="1:22" x14ac:dyDescent="0.25">
      <c r="A422" s="23" t="s">
        <v>1309</v>
      </c>
      <c r="B422" s="23" t="s">
        <v>1309</v>
      </c>
      <c r="C422" t="s">
        <v>1314</v>
      </c>
      <c r="D422" t="s">
        <v>305</v>
      </c>
      <c r="E422" t="s">
        <v>482</v>
      </c>
      <c r="F422" t="s">
        <v>917</v>
      </c>
      <c r="G422" t="s">
        <v>917</v>
      </c>
      <c r="H422" s="1" t="s">
        <v>1317</v>
      </c>
      <c r="I422">
        <v>4</v>
      </c>
      <c r="J422" t="s">
        <v>572</v>
      </c>
      <c r="K422" s="2">
        <v>134.9</v>
      </c>
      <c r="L422" s="2">
        <v>999.9</v>
      </c>
      <c r="M422" s="2">
        <v>150.9</v>
      </c>
      <c r="N422" s="2">
        <f ca="1">Table1[[#This Row],[2026 (EUR)]]*(1-INDIRECT(Table1[[#This Row],[Discount Name]]))</f>
        <v>134.9</v>
      </c>
      <c r="O422" s="2">
        <f ca="1">Table1[[#This Row],[2026 (DKK)]]*(1-INDIRECT(Table1[[#This Row],[Discount Name]]))</f>
        <v>999.9</v>
      </c>
      <c r="P422" s="2" cm="1">
        <f t="array" aca="1" ref="P422" ca="1">Table1[[#This Row],[2026 (USD)]]*(1-INDIRECT(Table1[[#This Row],[Discount Name]]))</f>
        <v>150.9</v>
      </c>
      <c r="Q422" s="31">
        <f ca="1">INDIRECT(Table1[[#This Row],[Discount Name]])</f>
        <v>0</v>
      </c>
      <c r="S422" s="2">
        <f t="shared" ca="1" si="12"/>
        <v>134.9</v>
      </c>
      <c r="T422" s="2">
        <f t="shared" ca="1" si="13"/>
        <v>999.9</v>
      </c>
      <c r="U422" s="71" t="str">
        <f>IFERROR(VLOOKUP(Table1[[#This Row],[No_]],'Customer Net Price'!A:F,5,FALSE),"0")</f>
        <v>0</v>
      </c>
      <c r="V422" s="71" t="str">
        <f>IFERROR(VLOOKUP(Table1[[#This Row],[No_]],'Customer Net Price'!A:G,6,FALSE),"0")</f>
        <v>0</v>
      </c>
    </row>
    <row r="423" spans="1:22" x14ac:dyDescent="0.25">
      <c r="A423" s="23" t="s">
        <v>1401</v>
      </c>
      <c r="B423" s="23" t="s">
        <v>1309</v>
      </c>
      <c r="C423" t="s">
        <v>1314</v>
      </c>
      <c r="D423" t="s">
        <v>305</v>
      </c>
      <c r="E423" t="s">
        <v>482</v>
      </c>
      <c r="F423" t="s">
        <v>917</v>
      </c>
      <c r="G423" t="s">
        <v>917</v>
      </c>
      <c r="H423" s="48" t="s">
        <v>1402</v>
      </c>
      <c r="I423">
        <v>4</v>
      </c>
      <c r="J423" t="s">
        <v>903</v>
      </c>
      <c r="K423" s="2">
        <v>134.9</v>
      </c>
      <c r="L423" s="2">
        <v>999.9</v>
      </c>
      <c r="M423" s="2">
        <v>150.9</v>
      </c>
      <c r="N423" s="2">
        <f ca="1">Table1[[#This Row],[2026 (EUR)]]*(1-INDIRECT(Table1[[#This Row],[Discount Name]]))</f>
        <v>134.9</v>
      </c>
      <c r="O423" s="2">
        <f ca="1">Table1[[#This Row],[2026 (DKK)]]*(1-INDIRECT(Table1[[#This Row],[Discount Name]]))</f>
        <v>999.9</v>
      </c>
      <c r="P423" s="2" cm="1">
        <f t="array" aca="1" ref="P423" ca="1">Table1[[#This Row],[2026 (USD)]]*(1-INDIRECT(Table1[[#This Row],[Discount Name]]))</f>
        <v>150.9</v>
      </c>
      <c r="Q423" s="31">
        <f ca="1">INDIRECT(Table1[[#This Row],[Discount Name]])</f>
        <v>0</v>
      </c>
      <c r="S423" s="77">
        <f t="shared" ca="1" si="12"/>
        <v>134.9</v>
      </c>
      <c r="T423" s="77">
        <f t="shared" ca="1" si="13"/>
        <v>999.9</v>
      </c>
      <c r="U423" s="78" t="str">
        <f>IFERROR(VLOOKUP(Table1[[#This Row],[No_]],'Customer Net Price'!A:F,5,FALSE),"0")</f>
        <v>0</v>
      </c>
      <c r="V423" s="78" t="str">
        <f>IFERROR(VLOOKUP(Table1[[#This Row],[No_]],'Customer Net Price'!A:G,6,FALSE),"0")</f>
        <v>0</v>
      </c>
    </row>
    <row r="424" spans="1:22" x14ac:dyDescent="0.25">
      <c r="A424" s="23" t="s">
        <v>1373</v>
      </c>
      <c r="B424" s="23" t="s">
        <v>1309</v>
      </c>
      <c r="C424" t="s">
        <v>1314</v>
      </c>
      <c r="D424" t="s">
        <v>305</v>
      </c>
      <c r="E424" t="s">
        <v>482</v>
      </c>
      <c r="F424" t="s">
        <v>917</v>
      </c>
      <c r="G424" t="s">
        <v>917</v>
      </c>
      <c r="H424" s="1" t="s">
        <v>1391</v>
      </c>
      <c r="I424">
        <v>4</v>
      </c>
      <c r="J424" t="s">
        <v>1380</v>
      </c>
      <c r="K424" s="2">
        <v>134.9</v>
      </c>
      <c r="L424" s="2">
        <v>999.9</v>
      </c>
      <c r="M424" s="2">
        <v>150.9</v>
      </c>
      <c r="N424" s="2">
        <f ca="1">Table1[[#This Row],[2026 (EUR)]]*(1-INDIRECT(Table1[[#This Row],[Discount Name]]))</f>
        <v>134.9</v>
      </c>
      <c r="O424" s="2">
        <f ca="1">Table1[[#This Row],[2026 (DKK)]]*(1-INDIRECT(Table1[[#This Row],[Discount Name]]))</f>
        <v>999.9</v>
      </c>
      <c r="P424" s="2" cm="1">
        <f t="array" aca="1" ref="P424" ca="1">Table1[[#This Row],[2026 (USD)]]*(1-INDIRECT(Table1[[#This Row],[Discount Name]]))</f>
        <v>150.9</v>
      </c>
      <c r="Q424" s="31">
        <f ca="1">INDIRECT(Table1[[#This Row],[Discount Name]])</f>
        <v>0</v>
      </c>
      <c r="S424" s="77">
        <f t="shared" ca="1" si="12"/>
        <v>134.9</v>
      </c>
      <c r="T424" s="77">
        <f t="shared" ca="1" si="13"/>
        <v>999.9</v>
      </c>
      <c r="U424" s="78" t="str">
        <f>IFERROR(VLOOKUP(Table1[[#This Row],[No_]],'Customer Net Price'!A:F,5,FALSE),"0")</f>
        <v>0</v>
      </c>
      <c r="V424" s="78" t="str">
        <f>IFERROR(VLOOKUP(Table1[[#This Row],[No_]],'Customer Net Price'!A:G,6,FALSE),"0")</f>
        <v>0</v>
      </c>
    </row>
    <row r="425" spans="1:22" x14ac:dyDescent="0.25">
      <c r="A425" s="23" t="s">
        <v>1308</v>
      </c>
      <c r="B425" s="23" t="s">
        <v>1308</v>
      </c>
      <c r="C425" t="s">
        <v>1313</v>
      </c>
      <c r="D425" t="s">
        <v>305</v>
      </c>
      <c r="E425" t="s">
        <v>482</v>
      </c>
      <c r="F425" t="s">
        <v>917</v>
      </c>
      <c r="G425" t="s">
        <v>917</v>
      </c>
      <c r="H425" s="1" t="s">
        <v>1318</v>
      </c>
      <c r="I425">
        <v>4</v>
      </c>
      <c r="J425" t="s">
        <v>572</v>
      </c>
      <c r="K425" s="2">
        <v>154.9</v>
      </c>
      <c r="L425" s="2">
        <v>1149.9000000000001</v>
      </c>
      <c r="M425" s="2">
        <v>172.9</v>
      </c>
      <c r="N425" s="2">
        <f ca="1">Table1[[#This Row],[2026 (EUR)]]*(1-INDIRECT(Table1[[#This Row],[Discount Name]]))</f>
        <v>154.9</v>
      </c>
      <c r="O425" s="2">
        <f ca="1">Table1[[#This Row],[2026 (DKK)]]*(1-INDIRECT(Table1[[#This Row],[Discount Name]]))</f>
        <v>1149.9000000000001</v>
      </c>
      <c r="P425" s="2" cm="1">
        <f t="array" aca="1" ref="P425" ca="1">Table1[[#This Row],[2026 (USD)]]*(1-INDIRECT(Table1[[#This Row],[Discount Name]]))</f>
        <v>172.9</v>
      </c>
      <c r="Q425" s="31">
        <f ca="1">INDIRECT(Table1[[#This Row],[Discount Name]])</f>
        <v>0</v>
      </c>
      <c r="S425" s="2">
        <f t="shared" ca="1" si="12"/>
        <v>154.9</v>
      </c>
      <c r="T425" s="2">
        <f t="shared" ca="1" si="13"/>
        <v>1149.9000000000001</v>
      </c>
      <c r="U425" s="71" t="str">
        <f>IFERROR(VLOOKUP(Table1[[#This Row],[No_]],'Customer Net Price'!A:F,5,FALSE),"0")</f>
        <v>0</v>
      </c>
      <c r="V425" s="71" t="str">
        <f>IFERROR(VLOOKUP(Table1[[#This Row],[No_]],'Customer Net Price'!A:G,6,FALSE),"0")</f>
        <v>0</v>
      </c>
    </row>
    <row r="426" spans="1:22" x14ac:dyDescent="0.25">
      <c r="A426" s="23" t="s">
        <v>1403</v>
      </c>
      <c r="B426" s="23" t="s">
        <v>1308</v>
      </c>
      <c r="C426" t="s">
        <v>1313</v>
      </c>
      <c r="D426" t="s">
        <v>305</v>
      </c>
      <c r="E426" t="s">
        <v>482</v>
      </c>
      <c r="F426" t="s">
        <v>917</v>
      </c>
      <c r="G426" t="s">
        <v>917</v>
      </c>
      <c r="H426" s="48" t="s">
        <v>1404</v>
      </c>
      <c r="I426">
        <v>4</v>
      </c>
      <c r="J426" t="s">
        <v>903</v>
      </c>
      <c r="K426" s="2">
        <v>154.9</v>
      </c>
      <c r="L426" s="2">
        <v>1149.9000000000001</v>
      </c>
      <c r="M426" s="2">
        <v>172.9</v>
      </c>
      <c r="N426" s="2">
        <f ca="1">Table1[[#This Row],[2026 (EUR)]]*(1-INDIRECT(Table1[[#This Row],[Discount Name]]))</f>
        <v>154.9</v>
      </c>
      <c r="O426" s="2">
        <f ca="1">Table1[[#This Row],[2026 (DKK)]]*(1-INDIRECT(Table1[[#This Row],[Discount Name]]))</f>
        <v>1149.9000000000001</v>
      </c>
      <c r="P426" s="2" cm="1">
        <f t="array" aca="1" ref="P426" ca="1">Table1[[#This Row],[2026 (USD)]]*(1-INDIRECT(Table1[[#This Row],[Discount Name]]))</f>
        <v>172.9</v>
      </c>
      <c r="Q426" s="31">
        <f ca="1">INDIRECT(Table1[[#This Row],[Discount Name]])</f>
        <v>0</v>
      </c>
      <c r="S426" s="77">
        <f t="shared" ca="1" si="12"/>
        <v>154.9</v>
      </c>
      <c r="T426" s="77">
        <f t="shared" ca="1" si="13"/>
        <v>1149.9000000000001</v>
      </c>
      <c r="U426" s="78" t="str">
        <f>IFERROR(VLOOKUP(Table1[[#This Row],[No_]],'Customer Net Price'!A:F,5,FALSE),"0")</f>
        <v>0</v>
      </c>
      <c r="V426" s="78" t="str">
        <f>IFERROR(VLOOKUP(Table1[[#This Row],[No_]],'Customer Net Price'!A:G,6,FALSE),"0")</f>
        <v>0</v>
      </c>
    </row>
    <row r="427" spans="1:22" x14ac:dyDescent="0.25">
      <c r="A427" s="23" t="s">
        <v>1374</v>
      </c>
      <c r="B427" s="23" t="s">
        <v>1308</v>
      </c>
      <c r="C427" t="s">
        <v>1313</v>
      </c>
      <c r="D427" t="s">
        <v>305</v>
      </c>
      <c r="E427" t="s">
        <v>482</v>
      </c>
      <c r="F427" t="s">
        <v>917</v>
      </c>
      <c r="G427" t="s">
        <v>917</v>
      </c>
      <c r="H427" s="1" t="s">
        <v>1392</v>
      </c>
      <c r="I427">
        <v>4</v>
      </c>
      <c r="J427" t="s">
        <v>1380</v>
      </c>
      <c r="K427" s="2">
        <v>154.9</v>
      </c>
      <c r="L427" s="2">
        <v>1149.9000000000001</v>
      </c>
      <c r="M427" s="2">
        <v>172.9</v>
      </c>
      <c r="N427" s="2">
        <f ca="1">Table1[[#This Row],[2026 (EUR)]]*(1-INDIRECT(Table1[[#This Row],[Discount Name]]))</f>
        <v>154.9</v>
      </c>
      <c r="O427" s="2">
        <f ca="1">Table1[[#This Row],[2026 (DKK)]]*(1-INDIRECT(Table1[[#This Row],[Discount Name]]))</f>
        <v>1149.9000000000001</v>
      </c>
      <c r="P427" s="2" cm="1">
        <f t="array" aca="1" ref="P427" ca="1">Table1[[#This Row],[2026 (USD)]]*(1-INDIRECT(Table1[[#This Row],[Discount Name]]))</f>
        <v>172.9</v>
      </c>
      <c r="Q427" s="31">
        <f ca="1">INDIRECT(Table1[[#This Row],[Discount Name]])</f>
        <v>0</v>
      </c>
      <c r="S427" s="77">
        <f t="shared" ca="1" si="12"/>
        <v>154.9</v>
      </c>
      <c r="T427" s="77">
        <f t="shared" ca="1" si="13"/>
        <v>1149.9000000000001</v>
      </c>
      <c r="U427" s="78" t="str">
        <f>IFERROR(VLOOKUP(Table1[[#This Row],[No_]],'Customer Net Price'!A:F,5,FALSE),"0")</f>
        <v>0</v>
      </c>
      <c r="V427" s="78" t="str">
        <f>IFERROR(VLOOKUP(Table1[[#This Row],[No_]],'Customer Net Price'!A:G,6,FALSE),"0")</f>
        <v>0</v>
      </c>
    </row>
    <row r="428" spans="1:22" x14ac:dyDescent="0.25">
      <c r="A428" s="23" t="s">
        <v>1304</v>
      </c>
      <c r="B428" s="23" t="s">
        <v>1304</v>
      </c>
      <c r="C428" t="s">
        <v>1311</v>
      </c>
      <c r="D428" t="s">
        <v>305</v>
      </c>
      <c r="E428" t="s">
        <v>482</v>
      </c>
      <c r="F428" t="s">
        <v>917</v>
      </c>
      <c r="G428" t="s">
        <v>917</v>
      </c>
      <c r="H428" s="1" t="s">
        <v>1319</v>
      </c>
      <c r="I428">
        <v>4</v>
      </c>
      <c r="J428" t="s">
        <v>572</v>
      </c>
      <c r="K428" s="2">
        <v>214.9</v>
      </c>
      <c r="L428" s="2">
        <v>1598.9</v>
      </c>
      <c r="M428" s="2">
        <v>238.9</v>
      </c>
      <c r="N428" s="2">
        <f ca="1">Table1[[#This Row],[2026 (EUR)]]*(1-INDIRECT(Table1[[#This Row],[Discount Name]]))</f>
        <v>214.9</v>
      </c>
      <c r="O428" s="2">
        <f ca="1">Table1[[#This Row],[2026 (DKK)]]*(1-INDIRECT(Table1[[#This Row],[Discount Name]]))</f>
        <v>1598.9</v>
      </c>
      <c r="P428" s="2" cm="1">
        <f t="array" aca="1" ref="P428" ca="1">Table1[[#This Row],[2026 (USD)]]*(1-INDIRECT(Table1[[#This Row],[Discount Name]]))</f>
        <v>238.9</v>
      </c>
      <c r="Q428" s="31">
        <f ca="1">INDIRECT(Table1[[#This Row],[Discount Name]])</f>
        <v>0</v>
      </c>
      <c r="S428" s="2">
        <f t="shared" ca="1" si="12"/>
        <v>214.9</v>
      </c>
      <c r="T428" s="2">
        <f t="shared" ca="1" si="13"/>
        <v>1598.9</v>
      </c>
      <c r="U428" s="71" t="str">
        <f>IFERROR(VLOOKUP(Table1[[#This Row],[No_]],'Customer Net Price'!A:F,5,FALSE),"0")</f>
        <v>0</v>
      </c>
      <c r="V428" s="71" t="str">
        <f>IFERROR(VLOOKUP(Table1[[#This Row],[No_]],'Customer Net Price'!A:G,6,FALSE),"0")</f>
        <v>0</v>
      </c>
    </row>
    <row r="429" spans="1:22" x14ac:dyDescent="0.25">
      <c r="A429" s="23" t="s">
        <v>1375</v>
      </c>
      <c r="B429" s="23" t="s">
        <v>1304</v>
      </c>
      <c r="C429" t="s">
        <v>1311</v>
      </c>
      <c r="D429" t="s">
        <v>305</v>
      </c>
      <c r="E429" t="s">
        <v>482</v>
      </c>
      <c r="F429" t="s">
        <v>917</v>
      </c>
      <c r="G429" t="s">
        <v>917</v>
      </c>
      <c r="H429" s="1" t="s">
        <v>1393</v>
      </c>
      <c r="I429">
        <v>4</v>
      </c>
      <c r="J429" t="s">
        <v>1381</v>
      </c>
      <c r="K429" s="2">
        <v>214.9</v>
      </c>
      <c r="L429" s="2">
        <v>1598.9</v>
      </c>
      <c r="M429" s="2">
        <v>238.9</v>
      </c>
      <c r="N429" s="2">
        <f ca="1">Table1[[#This Row],[2026 (EUR)]]*(1-INDIRECT(Table1[[#This Row],[Discount Name]]))</f>
        <v>214.9</v>
      </c>
      <c r="O429" s="2">
        <f ca="1">Table1[[#This Row],[2026 (DKK)]]*(1-INDIRECT(Table1[[#This Row],[Discount Name]]))</f>
        <v>1598.9</v>
      </c>
      <c r="P429" s="2" cm="1">
        <f t="array" aca="1" ref="P429" ca="1">Table1[[#This Row],[2026 (USD)]]*(1-INDIRECT(Table1[[#This Row],[Discount Name]]))</f>
        <v>238.9</v>
      </c>
      <c r="Q429" s="31">
        <f ca="1">INDIRECT(Table1[[#This Row],[Discount Name]])</f>
        <v>0</v>
      </c>
      <c r="S429" s="77">
        <f t="shared" ca="1" si="12"/>
        <v>214.9</v>
      </c>
      <c r="T429" s="77">
        <f t="shared" ca="1" si="13"/>
        <v>1598.9</v>
      </c>
      <c r="U429" s="78" t="str">
        <f>IFERROR(VLOOKUP(Table1[[#This Row],[No_]],'Customer Net Price'!A:F,5,FALSE),"0")</f>
        <v>0</v>
      </c>
      <c r="V429" s="78" t="str">
        <f>IFERROR(VLOOKUP(Table1[[#This Row],[No_]],'Customer Net Price'!A:G,6,FALSE),"0")</f>
        <v>0</v>
      </c>
    </row>
    <row r="430" spans="1:22" x14ac:dyDescent="0.25">
      <c r="A430" s="23" t="s">
        <v>1405</v>
      </c>
      <c r="B430" s="23" t="s">
        <v>1304</v>
      </c>
      <c r="C430" t="s">
        <v>1311</v>
      </c>
      <c r="D430" t="s">
        <v>305</v>
      </c>
      <c r="E430" t="s">
        <v>482</v>
      </c>
      <c r="F430" t="s">
        <v>917</v>
      </c>
      <c r="G430" t="s">
        <v>917</v>
      </c>
      <c r="H430" s="48" t="s">
        <v>1406</v>
      </c>
      <c r="I430">
        <v>4</v>
      </c>
      <c r="J430" t="s">
        <v>575</v>
      </c>
      <c r="K430" s="2">
        <v>214.9</v>
      </c>
      <c r="L430" s="2">
        <v>1598.9</v>
      </c>
      <c r="M430" s="2">
        <v>238.9</v>
      </c>
      <c r="N430" s="2">
        <f ca="1">Table1[[#This Row],[2026 (EUR)]]*(1-INDIRECT(Table1[[#This Row],[Discount Name]]))</f>
        <v>214.9</v>
      </c>
      <c r="O430" s="2">
        <f ca="1">Table1[[#This Row],[2026 (DKK)]]*(1-INDIRECT(Table1[[#This Row],[Discount Name]]))</f>
        <v>1598.9</v>
      </c>
      <c r="P430" s="2" cm="1">
        <f t="array" aca="1" ref="P430" ca="1">Table1[[#This Row],[2026 (USD)]]*(1-INDIRECT(Table1[[#This Row],[Discount Name]]))</f>
        <v>238.9</v>
      </c>
      <c r="Q430" s="31">
        <f ca="1">INDIRECT(Table1[[#This Row],[Discount Name]])</f>
        <v>0</v>
      </c>
      <c r="S430" s="77">
        <f t="shared" ca="1" si="12"/>
        <v>214.9</v>
      </c>
      <c r="T430" s="77">
        <f t="shared" ca="1" si="13"/>
        <v>1598.9</v>
      </c>
      <c r="U430" s="78" t="str">
        <f>IFERROR(VLOOKUP(Table1[[#This Row],[No_]],'Customer Net Price'!A:F,5,FALSE),"0")</f>
        <v>0</v>
      </c>
      <c r="V430" s="78" t="str">
        <f>IFERROR(VLOOKUP(Table1[[#This Row],[No_]],'Customer Net Price'!A:G,6,FALSE),"0")</f>
        <v>0</v>
      </c>
    </row>
    <row r="431" spans="1:22" x14ac:dyDescent="0.25">
      <c r="A431" s="23" t="s">
        <v>1378</v>
      </c>
      <c r="B431" s="23" t="s">
        <v>1304</v>
      </c>
      <c r="C431" t="s">
        <v>1311</v>
      </c>
      <c r="D431" t="s">
        <v>305</v>
      </c>
      <c r="E431" t="s">
        <v>482</v>
      </c>
      <c r="F431" t="s">
        <v>917</v>
      </c>
      <c r="G431" t="s">
        <v>917</v>
      </c>
      <c r="H431" s="1" t="s">
        <v>1396</v>
      </c>
      <c r="I431">
        <v>4</v>
      </c>
      <c r="J431" t="s">
        <v>1380</v>
      </c>
      <c r="K431" s="2">
        <v>214.9</v>
      </c>
      <c r="L431" s="2">
        <v>1598.9</v>
      </c>
      <c r="M431" s="2">
        <v>238.9</v>
      </c>
      <c r="N431" s="2">
        <f ca="1">Table1[[#This Row],[2026 (EUR)]]*(1-INDIRECT(Table1[[#This Row],[Discount Name]]))</f>
        <v>214.9</v>
      </c>
      <c r="O431" s="2">
        <f ca="1">Table1[[#This Row],[2026 (DKK)]]*(1-INDIRECT(Table1[[#This Row],[Discount Name]]))</f>
        <v>1598.9</v>
      </c>
      <c r="P431" s="2" cm="1">
        <f t="array" aca="1" ref="P431" ca="1">Table1[[#This Row],[2026 (USD)]]*(1-INDIRECT(Table1[[#This Row],[Discount Name]]))</f>
        <v>238.9</v>
      </c>
      <c r="Q431" s="31">
        <f ca="1">INDIRECT(Table1[[#This Row],[Discount Name]])</f>
        <v>0</v>
      </c>
      <c r="S431" s="77">
        <f t="shared" ca="1" si="12"/>
        <v>214.9</v>
      </c>
      <c r="T431" s="77">
        <f t="shared" ca="1" si="13"/>
        <v>1598.9</v>
      </c>
      <c r="U431" s="78" t="str">
        <f>IFERROR(VLOOKUP(Table1[[#This Row],[No_]],'Customer Net Price'!A:F,5,FALSE),"0")</f>
        <v>0</v>
      </c>
      <c r="V431" s="78" t="str">
        <f>IFERROR(VLOOKUP(Table1[[#This Row],[No_]],'Customer Net Price'!A:G,6,FALSE),"0")</f>
        <v>0</v>
      </c>
    </row>
    <row r="432" spans="1:22" x14ac:dyDescent="0.25">
      <c r="A432" s="23" t="s">
        <v>1303</v>
      </c>
      <c r="B432" s="23" t="s">
        <v>1303</v>
      </c>
      <c r="C432" t="s">
        <v>1310</v>
      </c>
      <c r="D432" t="s">
        <v>305</v>
      </c>
      <c r="E432" t="s">
        <v>482</v>
      </c>
      <c r="F432" t="s">
        <v>917</v>
      </c>
      <c r="G432" t="s">
        <v>917</v>
      </c>
      <c r="H432" s="1" t="s">
        <v>1320</v>
      </c>
      <c r="I432">
        <v>4</v>
      </c>
      <c r="J432" t="s">
        <v>572</v>
      </c>
      <c r="K432" s="2">
        <v>254.9</v>
      </c>
      <c r="L432" s="2">
        <v>1896.9</v>
      </c>
      <c r="M432" s="2">
        <v>282.89999999999998</v>
      </c>
      <c r="N432" s="2">
        <f ca="1">Table1[[#This Row],[2026 (EUR)]]*(1-INDIRECT(Table1[[#This Row],[Discount Name]]))</f>
        <v>254.9</v>
      </c>
      <c r="O432" s="2">
        <f ca="1">Table1[[#This Row],[2026 (DKK)]]*(1-INDIRECT(Table1[[#This Row],[Discount Name]]))</f>
        <v>1896.9</v>
      </c>
      <c r="P432" s="2" cm="1">
        <f t="array" aca="1" ref="P432" ca="1">Table1[[#This Row],[2026 (USD)]]*(1-INDIRECT(Table1[[#This Row],[Discount Name]]))</f>
        <v>282.89999999999998</v>
      </c>
      <c r="Q432" s="31">
        <f ca="1">INDIRECT(Table1[[#This Row],[Discount Name]])</f>
        <v>0</v>
      </c>
      <c r="S432" s="2">
        <f t="shared" ca="1" si="12"/>
        <v>254.9</v>
      </c>
      <c r="T432" s="2">
        <f t="shared" ca="1" si="13"/>
        <v>1896.9</v>
      </c>
      <c r="U432" s="71" t="str">
        <f>IFERROR(VLOOKUP(Table1[[#This Row],[No_]],'Customer Net Price'!A:F,5,FALSE),"0")</f>
        <v>0</v>
      </c>
      <c r="V432" s="71" t="str">
        <f>IFERROR(VLOOKUP(Table1[[#This Row],[No_]],'Customer Net Price'!A:G,6,FALSE),"0")</f>
        <v>0</v>
      </c>
    </row>
    <row r="433" spans="1:22" x14ac:dyDescent="0.25">
      <c r="A433" s="23" t="s">
        <v>1376</v>
      </c>
      <c r="B433" s="23" t="s">
        <v>1303</v>
      </c>
      <c r="C433" t="s">
        <v>1310</v>
      </c>
      <c r="D433" t="s">
        <v>305</v>
      </c>
      <c r="E433" t="s">
        <v>482</v>
      </c>
      <c r="F433" t="s">
        <v>917</v>
      </c>
      <c r="G433" t="s">
        <v>917</v>
      </c>
      <c r="H433" s="1" t="s">
        <v>1394</v>
      </c>
      <c r="I433">
        <v>4</v>
      </c>
      <c r="J433" t="s">
        <v>1381</v>
      </c>
      <c r="K433" s="2">
        <v>254.9</v>
      </c>
      <c r="L433" s="2">
        <v>1896.9</v>
      </c>
      <c r="M433" s="2">
        <v>282.89999999999998</v>
      </c>
      <c r="N433" s="2">
        <f ca="1">Table1[[#This Row],[2026 (EUR)]]*(1-INDIRECT(Table1[[#This Row],[Discount Name]]))</f>
        <v>254.9</v>
      </c>
      <c r="O433" s="2">
        <f ca="1">Table1[[#This Row],[2026 (DKK)]]*(1-INDIRECT(Table1[[#This Row],[Discount Name]]))</f>
        <v>1896.9</v>
      </c>
      <c r="P433" s="2" cm="1">
        <f t="array" aca="1" ref="P433" ca="1">Table1[[#This Row],[2026 (USD)]]*(1-INDIRECT(Table1[[#This Row],[Discount Name]]))</f>
        <v>282.89999999999998</v>
      </c>
      <c r="Q433" s="31">
        <f ca="1">INDIRECT(Table1[[#This Row],[Discount Name]])</f>
        <v>0</v>
      </c>
      <c r="S433" s="77">
        <f t="shared" ca="1" si="12"/>
        <v>254.9</v>
      </c>
      <c r="T433" s="77">
        <f t="shared" ca="1" si="13"/>
        <v>1896.9</v>
      </c>
      <c r="U433" s="78" t="str">
        <f>IFERROR(VLOOKUP(Table1[[#This Row],[No_]],'Customer Net Price'!A:F,5,FALSE),"0")</f>
        <v>0</v>
      </c>
      <c r="V433" s="78" t="str">
        <f>IFERROR(VLOOKUP(Table1[[#This Row],[No_]],'Customer Net Price'!A:G,6,FALSE),"0")</f>
        <v>0</v>
      </c>
    </row>
    <row r="434" spans="1:22" x14ac:dyDescent="0.25">
      <c r="A434" s="23" t="s">
        <v>1408</v>
      </c>
      <c r="B434" s="23" t="s">
        <v>1303</v>
      </c>
      <c r="C434" t="s">
        <v>1310</v>
      </c>
      <c r="D434" t="s">
        <v>305</v>
      </c>
      <c r="E434" t="s">
        <v>482</v>
      </c>
      <c r="F434" t="s">
        <v>917</v>
      </c>
      <c r="G434" t="s">
        <v>917</v>
      </c>
      <c r="H434" s="48" t="s">
        <v>1407</v>
      </c>
      <c r="I434">
        <v>4</v>
      </c>
      <c r="J434" t="s">
        <v>575</v>
      </c>
      <c r="K434" s="2">
        <v>254.9</v>
      </c>
      <c r="L434" s="2">
        <v>1896.9</v>
      </c>
      <c r="M434" s="2">
        <v>282.89999999999998</v>
      </c>
      <c r="N434" s="2">
        <f ca="1">Table1[[#This Row],[2026 (EUR)]]*(1-INDIRECT(Table1[[#This Row],[Discount Name]]))</f>
        <v>254.9</v>
      </c>
      <c r="O434" s="2">
        <f ca="1">Table1[[#This Row],[2026 (DKK)]]*(1-INDIRECT(Table1[[#This Row],[Discount Name]]))</f>
        <v>1896.9</v>
      </c>
      <c r="P434" s="2" cm="1">
        <f t="array" aca="1" ref="P434" ca="1">Table1[[#This Row],[2026 (USD)]]*(1-INDIRECT(Table1[[#This Row],[Discount Name]]))</f>
        <v>282.89999999999998</v>
      </c>
      <c r="Q434" s="31">
        <f ca="1">INDIRECT(Table1[[#This Row],[Discount Name]])</f>
        <v>0</v>
      </c>
      <c r="S434" s="77">
        <f t="shared" ca="1" si="12"/>
        <v>254.9</v>
      </c>
      <c r="T434" s="77">
        <f t="shared" ca="1" si="13"/>
        <v>1896.9</v>
      </c>
      <c r="U434" s="78" t="str">
        <f>IFERROR(VLOOKUP(Table1[[#This Row],[No_]],'Customer Net Price'!A:F,5,FALSE),"0")</f>
        <v>0</v>
      </c>
      <c r="V434" s="78" t="str">
        <f>IFERROR(VLOOKUP(Table1[[#This Row],[No_]],'Customer Net Price'!A:G,6,FALSE),"0")</f>
        <v>0</v>
      </c>
    </row>
    <row r="435" spans="1:22" x14ac:dyDescent="0.25">
      <c r="A435" s="23" t="s">
        <v>1379</v>
      </c>
      <c r="B435" s="23" t="s">
        <v>1303</v>
      </c>
      <c r="C435" t="s">
        <v>1310</v>
      </c>
      <c r="D435" t="s">
        <v>305</v>
      </c>
      <c r="E435" t="s">
        <v>482</v>
      </c>
      <c r="F435" t="s">
        <v>917</v>
      </c>
      <c r="G435" t="s">
        <v>917</v>
      </c>
      <c r="H435" s="1" t="s">
        <v>1397</v>
      </c>
      <c r="I435">
        <v>4</v>
      </c>
      <c r="J435" t="s">
        <v>1380</v>
      </c>
      <c r="K435" s="2">
        <v>254.9</v>
      </c>
      <c r="L435" s="2">
        <v>1896.9</v>
      </c>
      <c r="M435" s="2">
        <v>282.89999999999998</v>
      </c>
      <c r="N435" s="2">
        <f ca="1">Table1[[#This Row],[2026 (EUR)]]*(1-INDIRECT(Table1[[#This Row],[Discount Name]]))</f>
        <v>254.9</v>
      </c>
      <c r="O435" s="2">
        <f ca="1">Table1[[#This Row],[2026 (DKK)]]*(1-INDIRECT(Table1[[#This Row],[Discount Name]]))</f>
        <v>1896.9</v>
      </c>
      <c r="P435" s="2" cm="1">
        <f t="array" aca="1" ref="P435" ca="1">Table1[[#This Row],[2026 (USD)]]*(1-INDIRECT(Table1[[#This Row],[Discount Name]]))</f>
        <v>282.89999999999998</v>
      </c>
      <c r="Q435" s="31">
        <f ca="1">INDIRECT(Table1[[#This Row],[Discount Name]])</f>
        <v>0</v>
      </c>
      <c r="S435" s="77">
        <f t="shared" ca="1" si="12"/>
        <v>254.9</v>
      </c>
      <c r="T435" s="77">
        <f t="shared" ca="1" si="13"/>
        <v>1896.9</v>
      </c>
      <c r="U435" s="78" t="str">
        <f>IFERROR(VLOOKUP(Table1[[#This Row],[No_]],'Customer Net Price'!A:F,5,FALSE),"0")</f>
        <v>0</v>
      </c>
      <c r="V435" s="78" t="str">
        <f>IFERROR(VLOOKUP(Table1[[#This Row],[No_]],'Customer Net Price'!A:G,6,FALSE),"0")</f>
        <v>0</v>
      </c>
    </row>
    <row r="436" spans="1:22" x14ac:dyDescent="0.25">
      <c r="A436" s="23" t="s">
        <v>1307</v>
      </c>
      <c r="B436" s="23" t="s">
        <v>1307</v>
      </c>
      <c r="C436" t="s">
        <v>1312</v>
      </c>
      <c r="D436" t="s">
        <v>305</v>
      </c>
      <c r="E436" t="s">
        <v>482</v>
      </c>
      <c r="F436" t="s">
        <v>917</v>
      </c>
      <c r="G436" t="s">
        <v>917</v>
      </c>
      <c r="H436" s="1" t="s">
        <v>1321</v>
      </c>
      <c r="I436">
        <v>3</v>
      </c>
      <c r="J436" t="s">
        <v>572</v>
      </c>
      <c r="K436" s="2">
        <v>284.89999999999998</v>
      </c>
      <c r="L436" s="2">
        <v>2119.9</v>
      </c>
      <c r="M436" s="2">
        <v>316.89999999999998</v>
      </c>
      <c r="N436" s="2">
        <f ca="1">Table1[[#This Row],[2026 (EUR)]]*(1-INDIRECT(Table1[[#This Row],[Discount Name]]))</f>
        <v>284.89999999999998</v>
      </c>
      <c r="O436" s="2">
        <f ca="1">Table1[[#This Row],[2026 (DKK)]]*(1-INDIRECT(Table1[[#This Row],[Discount Name]]))</f>
        <v>2119.9</v>
      </c>
      <c r="P436" s="2" cm="1">
        <f t="array" aca="1" ref="P436" ca="1">Table1[[#This Row],[2026 (USD)]]*(1-INDIRECT(Table1[[#This Row],[Discount Name]]))</f>
        <v>316.89999999999998</v>
      </c>
      <c r="Q436" s="31">
        <f ca="1">INDIRECT(Table1[[#This Row],[Discount Name]])</f>
        <v>0</v>
      </c>
      <c r="S436" s="2">
        <f t="shared" ca="1" si="12"/>
        <v>284.89999999999998</v>
      </c>
      <c r="T436" s="2">
        <f t="shared" ca="1" si="13"/>
        <v>2119.9</v>
      </c>
      <c r="U436" s="71" t="str">
        <f>IFERROR(VLOOKUP(Table1[[#This Row],[No_]],'Customer Net Price'!A:F,5,FALSE),"0")</f>
        <v>0</v>
      </c>
      <c r="V436" s="71" t="str">
        <f>IFERROR(VLOOKUP(Table1[[#This Row],[No_]],'Customer Net Price'!A:G,6,FALSE),"0")</f>
        <v>0</v>
      </c>
    </row>
    <row r="437" spans="1:22" x14ac:dyDescent="0.25">
      <c r="A437" s="23" t="s">
        <v>1409</v>
      </c>
      <c r="B437" s="23" t="s">
        <v>1307</v>
      </c>
      <c r="C437" t="s">
        <v>1312</v>
      </c>
      <c r="D437" t="s">
        <v>305</v>
      </c>
      <c r="E437" t="s">
        <v>482</v>
      </c>
      <c r="F437" t="s">
        <v>917</v>
      </c>
      <c r="G437" t="s">
        <v>917</v>
      </c>
      <c r="H437" s="48" t="s">
        <v>1410</v>
      </c>
      <c r="I437">
        <v>3</v>
      </c>
      <c r="J437" t="s">
        <v>903</v>
      </c>
      <c r="K437" s="2">
        <v>284.89999999999998</v>
      </c>
      <c r="L437" s="2">
        <v>2119.9</v>
      </c>
      <c r="M437" s="2">
        <v>316.89999999999998</v>
      </c>
      <c r="N437" s="2">
        <f ca="1">Table1[[#This Row],[2026 (EUR)]]*(1-INDIRECT(Table1[[#This Row],[Discount Name]]))</f>
        <v>284.89999999999998</v>
      </c>
      <c r="O437" s="2">
        <f ca="1">Table1[[#This Row],[2026 (DKK)]]*(1-INDIRECT(Table1[[#This Row],[Discount Name]]))</f>
        <v>2119.9</v>
      </c>
      <c r="P437" s="2" cm="1">
        <f t="array" aca="1" ref="P437" ca="1">Table1[[#This Row],[2026 (USD)]]*(1-INDIRECT(Table1[[#This Row],[Discount Name]]))</f>
        <v>316.89999999999998</v>
      </c>
      <c r="Q437" s="31">
        <f ca="1">INDIRECT(Table1[[#This Row],[Discount Name]])</f>
        <v>0</v>
      </c>
      <c r="S437" s="77">
        <f t="shared" ca="1" si="12"/>
        <v>284.89999999999998</v>
      </c>
      <c r="T437" s="77">
        <f t="shared" ca="1" si="13"/>
        <v>2119.9</v>
      </c>
      <c r="U437" s="78" t="str">
        <f>IFERROR(VLOOKUP(Table1[[#This Row],[No_]],'Customer Net Price'!A:F,5,FALSE),"0")</f>
        <v>0</v>
      </c>
      <c r="V437" s="78" t="str">
        <f>IFERROR(VLOOKUP(Table1[[#This Row],[No_]],'Customer Net Price'!A:G,6,FALSE),"0")</f>
        <v>0</v>
      </c>
    </row>
    <row r="438" spans="1:22" x14ac:dyDescent="0.25">
      <c r="A438" s="23" t="s">
        <v>1377</v>
      </c>
      <c r="B438" s="23" t="s">
        <v>1307</v>
      </c>
      <c r="C438" t="s">
        <v>1312</v>
      </c>
      <c r="D438" t="s">
        <v>305</v>
      </c>
      <c r="E438" t="s">
        <v>482</v>
      </c>
      <c r="F438" t="s">
        <v>917</v>
      </c>
      <c r="G438" t="s">
        <v>917</v>
      </c>
      <c r="H438" s="1" t="s">
        <v>1395</v>
      </c>
      <c r="I438">
        <v>3</v>
      </c>
      <c r="J438" t="s">
        <v>1380</v>
      </c>
      <c r="K438" s="2">
        <v>284.89999999999998</v>
      </c>
      <c r="L438" s="2">
        <v>2119.9</v>
      </c>
      <c r="M438" s="2">
        <v>316.89999999999998</v>
      </c>
      <c r="N438" s="2">
        <f ca="1">Table1[[#This Row],[2026 (EUR)]]*(1-INDIRECT(Table1[[#This Row],[Discount Name]]))</f>
        <v>284.89999999999998</v>
      </c>
      <c r="O438" s="2">
        <f ca="1">Table1[[#This Row],[2026 (DKK)]]*(1-INDIRECT(Table1[[#This Row],[Discount Name]]))</f>
        <v>2119.9</v>
      </c>
      <c r="P438" s="2" cm="1">
        <f t="array" aca="1" ref="P438" ca="1">Table1[[#This Row],[2026 (USD)]]*(1-INDIRECT(Table1[[#This Row],[Discount Name]]))</f>
        <v>316.89999999999998</v>
      </c>
      <c r="Q438" s="31">
        <f ca="1">INDIRECT(Table1[[#This Row],[Discount Name]])</f>
        <v>0</v>
      </c>
      <c r="S438" s="77">
        <f t="shared" ca="1" si="12"/>
        <v>284.89999999999998</v>
      </c>
      <c r="T438" s="77">
        <f t="shared" ca="1" si="13"/>
        <v>2119.9</v>
      </c>
      <c r="U438" s="78" t="str">
        <f>IFERROR(VLOOKUP(Table1[[#This Row],[No_]],'Customer Net Price'!A:F,5,FALSE),"0")</f>
        <v>0</v>
      </c>
      <c r="V438" s="78" t="str">
        <f>IFERROR(VLOOKUP(Table1[[#This Row],[No_]],'Customer Net Price'!A:G,6,FALSE),"0")</f>
        <v>0</v>
      </c>
    </row>
    <row r="439" spans="1:22" x14ac:dyDescent="0.25">
      <c r="A439" s="23" t="s">
        <v>1301</v>
      </c>
      <c r="B439" s="23" t="s">
        <v>1301</v>
      </c>
      <c r="C439" t="s">
        <v>200</v>
      </c>
      <c r="D439" t="s">
        <v>305</v>
      </c>
      <c r="E439" t="s">
        <v>481</v>
      </c>
      <c r="F439" t="s">
        <v>916</v>
      </c>
      <c r="G439" t="s">
        <v>916</v>
      </c>
      <c r="H439" s="1" t="s">
        <v>1322</v>
      </c>
      <c r="I439">
        <v>48</v>
      </c>
      <c r="J439" t="s">
        <v>546</v>
      </c>
      <c r="K439" s="2">
        <v>56.9</v>
      </c>
      <c r="L439" s="2">
        <v>419.9</v>
      </c>
      <c r="M439" s="2">
        <v>68.900000000000006</v>
      </c>
      <c r="N439" s="2">
        <f ca="1">Table1[[#This Row],[2026 (EUR)]]*(1-INDIRECT(Table1[[#This Row],[Discount Name]]))</f>
        <v>56.9</v>
      </c>
      <c r="O439" s="2">
        <f ca="1">Table1[[#This Row],[2026 (DKK)]]*(1-INDIRECT(Table1[[#This Row],[Discount Name]]))</f>
        <v>419.9</v>
      </c>
      <c r="P439" s="2" cm="1">
        <f t="array" aca="1" ref="P439" ca="1">Table1[[#This Row],[2026 (USD)]]*(1-INDIRECT(Table1[[#This Row],[Discount Name]]))</f>
        <v>68.900000000000006</v>
      </c>
      <c r="Q439" s="31">
        <f ca="1">INDIRECT(Table1[[#This Row],[Discount Name]])</f>
        <v>0</v>
      </c>
      <c r="S439" s="2">
        <f t="shared" ca="1" si="12"/>
        <v>56.9</v>
      </c>
      <c r="T439" s="2">
        <f t="shared" ca="1" si="13"/>
        <v>419.9</v>
      </c>
      <c r="U439" s="71" t="str">
        <f>IFERROR(VLOOKUP(Table1[[#This Row],[No_]],'Customer Net Price'!A:F,5,FALSE),"0")</f>
        <v>0</v>
      </c>
      <c r="V439" s="71" t="str">
        <f>IFERROR(VLOOKUP(Table1[[#This Row],[No_]],'Customer Net Price'!A:G,6,FALSE),"0")</f>
        <v>0</v>
      </c>
    </row>
    <row r="440" spans="1:22" x14ac:dyDescent="0.25">
      <c r="A440" s="23" t="s">
        <v>1299</v>
      </c>
      <c r="B440" s="23" t="s">
        <v>1299</v>
      </c>
      <c r="C440" t="s">
        <v>202</v>
      </c>
      <c r="D440" t="s">
        <v>305</v>
      </c>
      <c r="E440" t="s">
        <v>481</v>
      </c>
      <c r="F440" t="s">
        <v>916</v>
      </c>
      <c r="G440" t="s">
        <v>916</v>
      </c>
      <c r="H440" s="1" t="s">
        <v>1323</v>
      </c>
      <c r="I440">
        <v>24</v>
      </c>
      <c r="J440" t="s">
        <v>546</v>
      </c>
      <c r="K440" s="2">
        <v>89.9</v>
      </c>
      <c r="L440" s="2">
        <v>668.9</v>
      </c>
      <c r="M440" s="2">
        <v>108.9</v>
      </c>
      <c r="N440" s="2">
        <f ca="1">Table1[[#This Row],[2026 (EUR)]]*(1-INDIRECT(Table1[[#This Row],[Discount Name]]))</f>
        <v>89.9</v>
      </c>
      <c r="O440" s="2">
        <f ca="1">Table1[[#This Row],[2026 (DKK)]]*(1-INDIRECT(Table1[[#This Row],[Discount Name]]))</f>
        <v>668.9</v>
      </c>
      <c r="P440" s="2" cm="1">
        <f t="array" aca="1" ref="P440" ca="1">Table1[[#This Row],[2026 (USD)]]*(1-INDIRECT(Table1[[#This Row],[Discount Name]]))</f>
        <v>108.9</v>
      </c>
      <c r="Q440" s="31">
        <f ca="1">INDIRECT(Table1[[#This Row],[Discount Name]])</f>
        <v>0</v>
      </c>
      <c r="S440" s="2">
        <f t="shared" ca="1" si="12"/>
        <v>89.9</v>
      </c>
      <c r="T440" s="2">
        <f t="shared" ca="1" si="13"/>
        <v>668.9</v>
      </c>
      <c r="U440" s="71" t="str">
        <f>IFERROR(VLOOKUP(Table1[[#This Row],[No_]],'Customer Net Price'!A:F,5,FALSE),"0")</f>
        <v>0</v>
      </c>
      <c r="V440" s="71" t="str">
        <f>IFERROR(VLOOKUP(Table1[[#This Row],[No_]],'Customer Net Price'!A:G,6,FALSE),"0")</f>
        <v>0</v>
      </c>
    </row>
    <row r="441" spans="1:22" x14ac:dyDescent="0.25">
      <c r="A441" s="23" t="s">
        <v>1300</v>
      </c>
      <c r="B441" s="23" t="s">
        <v>1300</v>
      </c>
      <c r="C441" t="s">
        <v>204</v>
      </c>
      <c r="D441" t="s">
        <v>305</v>
      </c>
      <c r="E441" t="s">
        <v>481</v>
      </c>
      <c r="F441" t="s">
        <v>916</v>
      </c>
      <c r="G441" t="s">
        <v>916</v>
      </c>
      <c r="H441" s="1" t="s">
        <v>1324</v>
      </c>
      <c r="I441">
        <v>48</v>
      </c>
      <c r="J441" t="s">
        <v>546</v>
      </c>
      <c r="K441" s="2">
        <v>45.9</v>
      </c>
      <c r="L441" s="2">
        <v>339.9</v>
      </c>
      <c r="M441" s="2">
        <v>56.9</v>
      </c>
      <c r="N441" s="2">
        <f ca="1">Table1[[#This Row],[2026 (EUR)]]*(1-INDIRECT(Table1[[#This Row],[Discount Name]]))</f>
        <v>45.9</v>
      </c>
      <c r="O441" s="2">
        <f ca="1">Table1[[#This Row],[2026 (DKK)]]*(1-INDIRECT(Table1[[#This Row],[Discount Name]]))</f>
        <v>339.9</v>
      </c>
      <c r="P441" s="2" cm="1">
        <f t="array" aca="1" ref="P441" ca="1">Table1[[#This Row],[2026 (USD)]]*(1-INDIRECT(Table1[[#This Row],[Discount Name]]))</f>
        <v>56.9</v>
      </c>
      <c r="Q441" s="31">
        <f ca="1">INDIRECT(Table1[[#This Row],[Discount Name]])</f>
        <v>0</v>
      </c>
      <c r="S441" s="2">
        <f t="shared" ca="1" si="12"/>
        <v>45.9</v>
      </c>
      <c r="T441" s="2">
        <f t="shared" ca="1" si="13"/>
        <v>339.9</v>
      </c>
      <c r="U441" s="71" t="str">
        <f>IFERROR(VLOOKUP(Table1[[#This Row],[No_]],'Customer Net Price'!A:F,5,FALSE),"0")</f>
        <v>0</v>
      </c>
      <c r="V441" s="71" t="str">
        <f>IFERROR(VLOOKUP(Table1[[#This Row],[No_]],'Customer Net Price'!A:G,6,FALSE),"0")</f>
        <v>0</v>
      </c>
    </row>
    <row r="442" spans="1:22" x14ac:dyDescent="0.25">
      <c r="A442" s="23" t="s">
        <v>1298</v>
      </c>
      <c r="B442" s="23" t="s">
        <v>1298</v>
      </c>
      <c r="C442" t="s">
        <v>208</v>
      </c>
      <c r="D442" t="s">
        <v>305</v>
      </c>
      <c r="E442" s="23" t="s">
        <v>209</v>
      </c>
      <c r="F442" t="s">
        <v>916</v>
      </c>
      <c r="G442" t="s">
        <v>916</v>
      </c>
      <c r="H442" s="1" t="s">
        <v>1325</v>
      </c>
      <c r="I442">
        <v>24</v>
      </c>
      <c r="J442" t="s">
        <v>546</v>
      </c>
      <c r="K442" s="2">
        <v>62.9</v>
      </c>
      <c r="L442" s="2">
        <v>467.9</v>
      </c>
      <c r="M442" s="2">
        <v>76.900000000000006</v>
      </c>
      <c r="N442" s="2">
        <f ca="1">Table1[[#This Row],[2026 (EUR)]]*(1-INDIRECT(Table1[[#This Row],[Discount Name]]))</f>
        <v>62.9</v>
      </c>
      <c r="O442" s="2">
        <f ca="1">Table1[[#This Row],[2026 (DKK)]]*(1-INDIRECT(Table1[[#This Row],[Discount Name]]))</f>
        <v>467.9</v>
      </c>
      <c r="P442" s="2" cm="1">
        <f t="array" aca="1" ref="P442" ca="1">Table1[[#This Row],[2026 (USD)]]*(1-INDIRECT(Table1[[#This Row],[Discount Name]]))</f>
        <v>76.900000000000006</v>
      </c>
      <c r="Q442" s="31">
        <f ca="1">INDIRECT(Table1[[#This Row],[Discount Name]])</f>
        <v>0</v>
      </c>
      <c r="S442" s="2">
        <f t="shared" ca="1" si="12"/>
        <v>62.9</v>
      </c>
      <c r="T442" s="2">
        <f t="shared" ca="1" si="13"/>
        <v>467.9</v>
      </c>
      <c r="U442" s="71" t="str">
        <f>IFERROR(VLOOKUP(Table1[[#This Row],[No_]],'Customer Net Price'!A:F,5,FALSE),"0")</f>
        <v>0</v>
      </c>
      <c r="V442" s="71" t="str">
        <f>IFERROR(VLOOKUP(Table1[[#This Row],[No_]],'Customer Net Price'!A:G,6,FALSE),"0")</f>
        <v>0</v>
      </c>
    </row>
    <row r="443" spans="1:22" x14ac:dyDescent="0.25">
      <c r="A443" s="23" t="s">
        <v>1297</v>
      </c>
      <c r="B443" s="23" t="s">
        <v>1297</v>
      </c>
      <c r="C443" t="s">
        <v>209</v>
      </c>
      <c r="D443" t="s">
        <v>305</v>
      </c>
      <c r="E443" t="s">
        <v>209</v>
      </c>
      <c r="F443" t="s">
        <v>916</v>
      </c>
      <c r="G443" t="s">
        <v>916</v>
      </c>
      <c r="H443" s="1" t="s">
        <v>1326</v>
      </c>
      <c r="I443">
        <v>24</v>
      </c>
      <c r="J443" t="s">
        <v>546</v>
      </c>
      <c r="K443" s="2">
        <v>77.900000000000006</v>
      </c>
      <c r="L443" s="2">
        <v>579.9</v>
      </c>
      <c r="M443" s="2">
        <v>94.9</v>
      </c>
      <c r="N443" s="2">
        <f ca="1">Table1[[#This Row],[2026 (EUR)]]*(1-INDIRECT(Table1[[#This Row],[Discount Name]]))</f>
        <v>77.900000000000006</v>
      </c>
      <c r="O443" s="2">
        <f ca="1">Table1[[#This Row],[2026 (DKK)]]*(1-INDIRECT(Table1[[#This Row],[Discount Name]]))</f>
        <v>579.9</v>
      </c>
      <c r="P443" s="2" cm="1">
        <f t="array" aca="1" ref="P443" ca="1">Table1[[#This Row],[2026 (USD)]]*(1-INDIRECT(Table1[[#This Row],[Discount Name]]))</f>
        <v>94.9</v>
      </c>
      <c r="Q443" s="31">
        <f ca="1">INDIRECT(Table1[[#This Row],[Discount Name]])</f>
        <v>0</v>
      </c>
      <c r="S443" s="2">
        <f t="shared" ca="1" si="12"/>
        <v>77.900000000000006</v>
      </c>
      <c r="T443" s="2">
        <f t="shared" ca="1" si="13"/>
        <v>579.9</v>
      </c>
      <c r="U443" s="71" t="str">
        <f>IFERROR(VLOOKUP(Table1[[#This Row],[No_]],'Customer Net Price'!A:F,5,FALSE),"0")</f>
        <v>0</v>
      </c>
      <c r="V443" s="71" t="str">
        <f>IFERROR(VLOOKUP(Table1[[#This Row],[No_]],'Customer Net Price'!A:G,6,FALSE),"0")</f>
        <v>0</v>
      </c>
    </row>
    <row r="444" spans="1:22" x14ac:dyDescent="0.25">
      <c r="A444" s="23" t="s">
        <v>1302</v>
      </c>
      <c r="B444" s="23" t="s">
        <v>1302</v>
      </c>
      <c r="C444" t="s">
        <v>161</v>
      </c>
      <c r="D444" t="s">
        <v>305</v>
      </c>
      <c r="E444" t="s">
        <v>544</v>
      </c>
      <c r="F444" t="s">
        <v>916</v>
      </c>
      <c r="G444" t="s">
        <v>916</v>
      </c>
      <c r="H444" s="1" t="s">
        <v>1327</v>
      </c>
      <c r="I444">
        <v>48</v>
      </c>
      <c r="J444" t="s">
        <v>546</v>
      </c>
      <c r="K444" s="2">
        <v>71.900000000000006</v>
      </c>
      <c r="L444" s="2">
        <v>534.9</v>
      </c>
      <c r="M444" s="2">
        <v>86.9</v>
      </c>
      <c r="N444" s="2">
        <f ca="1">Table1[[#This Row],[2026 (EUR)]]*(1-INDIRECT(Table1[[#This Row],[Discount Name]]))</f>
        <v>71.900000000000006</v>
      </c>
      <c r="O444" s="2">
        <f ca="1">Table1[[#This Row],[2026 (DKK)]]*(1-INDIRECT(Table1[[#This Row],[Discount Name]]))</f>
        <v>534.9</v>
      </c>
      <c r="P444" s="2" cm="1">
        <f t="array" aca="1" ref="P444" ca="1">Table1[[#This Row],[2026 (USD)]]*(1-INDIRECT(Table1[[#This Row],[Discount Name]]))</f>
        <v>86.9</v>
      </c>
      <c r="Q444" s="31">
        <f ca="1">INDIRECT(Table1[[#This Row],[Discount Name]])</f>
        <v>0</v>
      </c>
      <c r="S444" s="2">
        <f t="shared" ca="1" si="12"/>
        <v>71.900000000000006</v>
      </c>
      <c r="T444" s="2">
        <f t="shared" ca="1" si="13"/>
        <v>534.9</v>
      </c>
      <c r="U444" s="71" t="str">
        <f>IFERROR(VLOOKUP(Table1[[#This Row],[No_]],'Customer Net Price'!A:F,5,FALSE),"0")</f>
        <v>0</v>
      </c>
      <c r="V444" s="71" t="str">
        <f>IFERROR(VLOOKUP(Table1[[#This Row],[No_]],'Customer Net Price'!A:G,6,FALSE),"0")</f>
        <v>0</v>
      </c>
    </row>
    <row r="445" spans="1:22" x14ac:dyDescent="0.25">
      <c r="A445" s="96" t="s">
        <v>1436</v>
      </c>
      <c r="B445" s="96" t="s">
        <v>1436</v>
      </c>
      <c r="C445" t="s">
        <v>1524</v>
      </c>
      <c r="D445" t="s">
        <v>1778</v>
      </c>
      <c r="E445" t="s">
        <v>546</v>
      </c>
      <c r="F445" t="s">
        <v>918</v>
      </c>
      <c r="G445" t="s">
        <v>923</v>
      </c>
      <c r="H445" s="1" t="s">
        <v>1523</v>
      </c>
      <c r="I445" t="s">
        <v>546</v>
      </c>
      <c r="J445" t="s">
        <v>546</v>
      </c>
      <c r="K445" s="2">
        <v>1.1000000000000001</v>
      </c>
      <c r="L445" s="2">
        <v>8.5</v>
      </c>
      <c r="M445" s="2">
        <v>1.3</v>
      </c>
      <c r="N445" s="2">
        <f ca="1">Table1[[#This Row],[2026 (EUR)]]*(1-INDIRECT(Table1[[#This Row],[Discount Name]]))</f>
        <v>1.1000000000000001</v>
      </c>
      <c r="O445" s="2">
        <f ca="1">Table1[[#This Row],[2026 (DKK)]]*(1-INDIRECT(Table1[[#This Row],[Discount Name]]))</f>
        <v>8.5</v>
      </c>
      <c r="P445" s="2" cm="1">
        <f t="array" aca="1" ref="P445" ca="1">Table1[[#This Row],[2026 (USD)]]*(1-INDIRECT(Table1[[#This Row],[Discount Name]]))</f>
        <v>1.3</v>
      </c>
      <c r="Q445" s="31">
        <f ca="1">INDIRECT(Table1[[#This Row],[Discount Name]])</f>
        <v>0</v>
      </c>
      <c r="S445" s="2">
        <f t="shared" ca="1" si="12"/>
        <v>1.1000000000000001</v>
      </c>
      <c r="T445" s="2">
        <f t="shared" ca="1" si="13"/>
        <v>8.5</v>
      </c>
      <c r="U445" s="71" t="str">
        <f>IFERROR(VLOOKUP(Table1[[#This Row],[No_]],'Customer Net Price'!A:F,5,FALSE),"0")</f>
        <v>0</v>
      </c>
      <c r="V445" s="71" t="str">
        <f>IFERROR(VLOOKUP(Table1[[#This Row],[No_]],'Customer Net Price'!A:G,6,FALSE),"0")</f>
        <v>0</v>
      </c>
    </row>
    <row r="446" spans="1:22" x14ac:dyDescent="0.25">
      <c r="A446" s="59" t="s">
        <v>1437</v>
      </c>
      <c r="B446" s="59" t="s">
        <v>1437</v>
      </c>
      <c r="C446" t="s">
        <v>1526</v>
      </c>
      <c r="D446" t="s">
        <v>1778</v>
      </c>
      <c r="E446" t="s">
        <v>546</v>
      </c>
      <c r="F446" t="s">
        <v>918</v>
      </c>
      <c r="G446" t="s">
        <v>923</v>
      </c>
      <c r="H446" s="1" t="s">
        <v>1525</v>
      </c>
      <c r="I446" t="s">
        <v>546</v>
      </c>
      <c r="J446" t="s">
        <v>546</v>
      </c>
      <c r="K446" s="2">
        <v>4.2</v>
      </c>
      <c r="L446" s="2">
        <v>31.5</v>
      </c>
      <c r="M446" s="2">
        <v>4.7</v>
      </c>
      <c r="N446" s="2">
        <f ca="1">Table1[[#This Row],[2026 (EUR)]]*(1-INDIRECT(Table1[[#This Row],[Discount Name]]))</f>
        <v>4.2</v>
      </c>
      <c r="O446" s="2">
        <f ca="1">Table1[[#This Row],[2026 (DKK)]]*(1-INDIRECT(Table1[[#This Row],[Discount Name]]))</f>
        <v>31.5</v>
      </c>
      <c r="P446" s="2" cm="1">
        <f t="array" aca="1" ref="P446" ca="1">Table1[[#This Row],[2026 (USD)]]*(1-INDIRECT(Table1[[#This Row],[Discount Name]]))</f>
        <v>4.7</v>
      </c>
      <c r="Q446" s="31">
        <f ca="1">INDIRECT(Table1[[#This Row],[Discount Name]])</f>
        <v>0</v>
      </c>
      <c r="S446" s="2">
        <f t="shared" ca="1" si="12"/>
        <v>4.2</v>
      </c>
      <c r="T446" s="2">
        <f t="shared" ca="1" si="13"/>
        <v>31.5</v>
      </c>
      <c r="U446" s="71" t="str">
        <f>IFERROR(VLOOKUP(Table1[[#This Row],[No_]],'Customer Net Price'!A:F,5,FALSE),"0")</f>
        <v>0</v>
      </c>
      <c r="V446" s="71" t="str">
        <f>IFERROR(VLOOKUP(Table1[[#This Row],[No_]],'Customer Net Price'!A:G,6,FALSE),"0")</f>
        <v>0</v>
      </c>
    </row>
    <row r="447" spans="1:22" x14ac:dyDescent="0.25">
      <c r="A447" s="59" t="s">
        <v>1438</v>
      </c>
      <c r="B447" s="59" t="s">
        <v>1438</v>
      </c>
      <c r="C447" t="s">
        <v>1528</v>
      </c>
      <c r="D447" t="s">
        <v>1778</v>
      </c>
      <c r="E447" t="s">
        <v>546</v>
      </c>
      <c r="F447" t="s">
        <v>918</v>
      </c>
      <c r="G447" t="s">
        <v>923</v>
      </c>
      <c r="H447" s="1" t="s">
        <v>1527</v>
      </c>
      <c r="I447" t="s">
        <v>546</v>
      </c>
      <c r="J447" t="s">
        <v>546</v>
      </c>
      <c r="K447" s="2">
        <v>3</v>
      </c>
      <c r="L447" s="2">
        <v>22.5</v>
      </c>
      <c r="M447" s="2">
        <v>3.3000000000000003</v>
      </c>
      <c r="N447" s="2">
        <f ca="1">Table1[[#This Row],[2026 (EUR)]]*(1-INDIRECT(Table1[[#This Row],[Discount Name]]))</f>
        <v>3</v>
      </c>
      <c r="O447" s="2">
        <f ca="1">Table1[[#This Row],[2026 (DKK)]]*(1-INDIRECT(Table1[[#This Row],[Discount Name]]))</f>
        <v>22.5</v>
      </c>
      <c r="P447" s="2" cm="1">
        <f t="array" aca="1" ref="P447" ca="1">Table1[[#This Row],[2026 (USD)]]*(1-INDIRECT(Table1[[#This Row],[Discount Name]]))</f>
        <v>3.3000000000000003</v>
      </c>
      <c r="Q447" s="31">
        <f ca="1">INDIRECT(Table1[[#This Row],[Discount Name]])</f>
        <v>0</v>
      </c>
      <c r="S447" s="2">
        <f t="shared" ca="1" si="12"/>
        <v>3</v>
      </c>
      <c r="T447" s="2">
        <f t="shared" ca="1" si="13"/>
        <v>22.5</v>
      </c>
      <c r="U447" s="71" t="str">
        <f>IFERROR(VLOOKUP(Table1[[#This Row],[No_]],'Customer Net Price'!A:F,5,FALSE),"0")</f>
        <v>0</v>
      </c>
      <c r="V447" s="71" t="str">
        <f>IFERROR(VLOOKUP(Table1[[#This Row],[No_]],'Customer Net Price'!A:G,6,FALSE),"0")</f>
        <v>0</v>
      </c>
    </row>
    <row r="448" spans="1:22" x14ac:dyDescent="0.25">
      <c r="A448" s="59" t="s">
        <v>1439</v>
      </c>
      <c r="B448" s="59" t="s">
        <v>1439</v>
      </c>
      <c r="C448" t="s">
        <v>708</v>
      </c>
      <c r="D448" t="s">
        <v>1778</v>
      </c>
      <c r="E448" t="s">
        <v>546</v>
      </c>
      <c r="F448" t="s">
        <v>918</v>
      </c>
      <c r="G448" t="s">
        <v>923</v>
      </c>
      <c r="H448" s="1" t="s">
        <v>1529</v>
      </c>
      <c r="I448" t="s">
        <v>546</v>
      </c>
      <c r="J448" t="s">
        <v>546</v>
      </c>
      <c r="K448" s="2">
        <v>1.7</v>
      </c>
      <c r="L448" s="2">
        <v>13</v>
      </c>
      <c r="M448" s="2">
        <v>1.9000000000000001</v>
      </c>
      <c r="N448" s="2">
        <f ca="1">Table1[[#This Row],[2026 (EUR)]]*(1-INDIRECT(Table1[[#This Row],[Discount Name]]))</f>
        <v>1.7</v>
      </c>
      <c r="O448" s="2">
        <f ca="1">Table1[[#This Row],[2026 (DKK)]]*(1-INDIRECT(Table1[[#This Row],[Discount Name]]))</f>
        <v>13</v>
      </c>
      <c r="P448" s="2" cm="1">
        <f t="array" aca="1" ref="P448" ca="1">Table1[[#This Row],[2026 (USD)]]*(1-INDIRECT(Table1[[#This Row],[Discount Name]]))</f>
        <v>1.9000000000000001</v>
      </c>
      <c r="Q448" s="31">
        <f ca="1">INDIRECT(Table1[[#This Row],[Discount Name]])</f>
        <v>0</v>
      </c>
      <c r="S448" s="2">
        <f t="shared" ref="S448:S511" ca="1" si="14">IF(MAX(U448:U448)=0,+N448,MAX(U448:U448))</f>
        <v>1.7</v>
      </c>
      <c r="T448" s="2">
        <f t="shared" ref="T448:T511" ca="1" si="15">IF(MAX(V448:V448)=0,+O448,MAX(V448:V448))</f>
        <v>13</v>
      </c>
      <c r="U448" s="71" t="str">
        <f>IFERROR(VLOOKUP(Table1[[#This Row],[No_]],'Customer Net Price'!A:F,5,FALSE),"0")</f>
        <v>0</v>
      </c>
      <c r="V448" s="71" t="str">
        <f>IFERROR(VLOOKUP(Table1[[#This Row],[No_]],'Customer Net Price'!A:G,6,FALSE),"0")</f>
        <v>0</v>
      </c>
    </row>
    <row r="449" spans="1:22" x14ac:dyDescent="0.25">
      <c r="A449" s="59" t="s">
        <v>1440</v>
      </c>
      <c r="B449" s="59" t="s">
        <v>1440</v>
      </c>
      <c r="C449" t="s">
        <v>1531</v>
      </c>
      <c r="D449" t="s">
        <v>1778</v>
      </c>
      <c r="E449" t="s">
        <v>546</v>
      </c>
      <c r="F449" t="s">
        <v>918</v>
      </c>
      <c r="G449" t="s">
        <v>923</v>
      </c>
      <c r="H449" s="1" t="s">
        <v>1530</v>
      </c>
      <c r="I449" t="s">
        <v>546</v>
      </c>
      <c r="J449" t="s">
        <v>546</v>
      </c>
      <c r="K449" s="2">
        <v>8.9</v>
      </c>
      <c r="L449" s="2">
        <v>66.5</v>
      </c>
      <c r="M449" s="2">
        <v>9.8000000000000007</v>
      </c>
      <c r="N449" s="2">
        <f ca="1">Table1[[#This Row],[2026 (EUR)]]*(1-INDIRECT(Table1[[#This Row],[Discount Name]]))</f>
        <v>8.9</v>
      </c>
      <c r="O449" s="2">
        <f ca="1">Table1[[#This Row],[2026 (DKK)]]*(1-INDIRECT(Table1[[#This Row],[Discount Name]]))</f>
        <v>66.5</v>
      </c>
      <c r="P449" s="2" cm="1">
        <f t="array" aca="1" ref="P449" ca="1">Table1[[#This Row],[2026 (USD)]]*(1-INDIRECT(Table1[[#This Row],[Discount Name]]))</f>
        <v>9.8000000000000007</v>
      </c>
      <c r="Q449" s="31">
        <f ca="1">INDIRECT(Table1[[#This Row],[Discount Name]])</f>
        <v>0</v>
      </c>
      <c r="S449" s="2">
        <f t="shared" ca="1" si="14"/>
        <v>8.9</v>
      </c>
      <c r="T449" s="2">
        <f t="shared" ca="1" si="15"/>
        <v>66.5</v>
      </c>
      <c r="U449" s="71" t="str">
        <f>IFERROR(VLOOKUP(Table1[[#This Row],[No_]],'Customer Net Price'!A:F,5,FALSE),"0")</f>
        <v>0</v>
      </c>
      <c r="V449" s="71" t="str">
        <f>IFERROR(VLOOKUP(Table1[[#This Row],[No_]],'Customer Net Price'!A:G,6,FALSE),"0")</f>
        <v>0</v>
      </c>
    </row>
    <row r="450" spans="1:22" x14ac:dyDescent="0.25">
      <c r="A450" s="59" t="s">
        <v>1441</v>
      </c>
      <c r="B450" s="59" t="s">
        <v>1441</v>
      </c>
      <c r="C450" t="s">
        <v>1533</v>
      </c>
      <c r="D450" t="s">
        <v>1778</v>
      </c>
      <c r="E450" t="s">
        <v>546</v>
      </c>
      <c r="F450" t="s">
        <v>918</v>
      </c>
      <c r="G450" t="s">
        <v>923</v>
      </c>
      <c r="H450" s="1" t="s">
        <v>1532</v>
      </c>
      <c r="I450" t="s">
        <v>546</v>
      </c>
      <c r="J450" t="s">
        <v>546</v>
      </c>
      <c r="K450" s="2">
        <v>9.6999999999999993</v>
      </c>
      <c r="L450" s="2">
        <v>72.5</v>
      </c>
      <c r="M450" s="2">
        <v>10.700000000000001</v>
      </c>
      <c r="N450" s="2">
        <f ca="1">Table1[[#This Row],[2026 (EUR)]]*(1-INDIRECT(Table1[[#This Row],[Discount Name]]))</f>
        <v>9.6999999999999993</v>
      </c>
      <c r="O450" s="2">
        <f ca="1">Table1[[#This Row],[2026 (DKK)]]*(1-INDIRECT(Table1[[#This Row],[Discount Name]]))</f>
        <v>72.5</v>
      </c>
      <c r="P450" s="2" cm="1">
        <f t="array" aca="1" ref="P450" ca="1">Table1[[#This Row],[2026 (USD)]]*(1-INDIRECT(Table1[[#This Row],[Discount Name]]))</f>
        <v>10.700000000000001</v>
      </c>
      <c r="Q450" s="31">
        <f ca="1">INDIRECT(Table1[[#This Row],[Discount Name]])</f>
        <v>0</v>
      </c>
      <c r="S450" s="2">
        <f t="shared" ca="1" si="14"/>
        <v>9.6999999999999993</v>
      </c>
      <c r="T450" s="2">
        <f t="shared" ca="1" si="15"/>
        <v>72.5</v>
      </c>
      <c r="U450" s="71" t="str">
        <f>IFERROR(VLOOKUP(Table1[[#This Row],[No_]],'Customer Net Price'!A:F,5,FALSE),"0")</f>
        <v>0</v>
      </c>
      <c r="V450" s="71" t="str">
        <f>IFERROR(VLOOKUP(Table1[[#This Row],[No_]],'Customer Net Price'!A:G,6,FALSE),"0")</f>
        <v>0</v>
      </c>
    </row>
    <row r="451" spans="1:22" x14ac:dyDescent="0.25">
      <c r="A451" s="59" t="s">
        <v>1442</v>
      </c>
      <c r="B451" s="59" t="s">
        <v>1442</v>
      </c>
      <c r="C451" t="s">
        <v>1535</v>
      </c>
      <c r="D451" t="s">
        <v>1778</v>
      </c>
      <c r="E451" t="s">
        <v>546</v>
      </c>
      <c r="F451" t="s">
        <v>918</v>
      </c>
      <c r="G451" t="s">
        <v>923</v>
      </c>
      <c r="H451" s="1" t="s">
        <v>1534</v>
      </c>
      <c r="I451" t="s">
        <v>546</v>
      </c>
      <c r="J451" t="s">
        <v>546</v>
      </c>
      <c r="K451" s="2">
        <v>9.3000000000000007</v>
      </c>
      <c r="L451" s="2">
        <v>69.5</v>
      </c>
      <c r="M451" s="2">
        <v>10.3</v>
      </c>
      <c r="N451" s="2">
        <f ca="1">Table1[[#This Row],[2026 (EUR)]]*(1-INDIRECT(Table1[[#This Row],[Discount Name]]))</f>
        <v>9.3000000000000007</v>
      </c>
      <c r="O451" s="2">
        <f ca="1">Table1[[#This Row],[2026 (DKK)]]*(1-INDIRECT(Table1[[#This Row],[Discount Name]]))</f>
        <v>69.5</v>
      </c>
      <c r="P451" s="2" cm="1">
        <f t="array" aca="1" ref="P451" ca="1">Table1[[#This Row],[2026 (USD)]]*(1-INDIRECT(Table1[[#This Row],[Discount Name]]))</f>
        <v>10.3</v>
      </c>
      <c r="Q451" s="31">
        <f ca="1">INDIRECT(Table1[[#This Row],[Discount Name]])</f>
        <v>0</v>
      </c>
      <c r="S451" s="2">
        <f t="shared" ca="1" si="14"/>
        <v>9.3000000000000007</v>
      </c>
      <c r="T451" s="2">
        <f t="shared" ca="1" si="15"/>
        <v>69.5</v>
      </c>
      <c r="U451" s="71" t="str">
        <f>IFERROR(VLOOKUP(Table1[[#This Row],[No_]],'Customer Net Price'!A:F,5,FALSE),"0")</f>
        <v>0</v>
      </c>
      <c r="V451" s="71" t="str">
        <f>IFERROR(VLOOKUP(Table1[[#This Row],[No_]],'Customer Net Price'!A:G,6,FALSE),"0")</f>
        <v>0</v>
      </c>
    </row>
    <row r="452" spans="1:22" x14ac:dyDescent="0.25">
      <c r="A452" s="59" t="s">
        <v>1443</v>
      </c>
      <c r="B452" s="59" t="s">
        <v>1443</v>
      </c>
      <c r="C452" t="s">
        <v>1537</v>
      </c>
      <c r="D452" t="s">
        <v>1778</v>
      </c>
      <c r="E452" t="s">
        <v>546</v>
      </c>
      <c r="F452" t="s">
        <v>918</v>
      </c>
      <c r="G452" t="s">
        <v>923</v>
      </c>
      <c r="H452" s="1" t="s">
        <v>1536</v>
      </c>
      <c r="I452" t="s">
        <v>546</v>
      </c>
      <c r="J452" t="s">
        <v>546</v>
      </c>
      <c r="K452" s="2">
        <v>0.5</v>
      </c>
      <c r="L452" s="2">
        <v>4</v>
      </c>
      <c r="M452" s="2">
        <v>0.60000000000000009</v>
      </c>
      <c r="N452" s="2">
        <f ca="1">Table1[[#This Row],[2026 (EUR)]]*(1-INDIRECT(Table1[[#This Row],[Discount Name]]))</f>
        <v>0.5</v>
      </c>
      <c r="O452" s="2">
        <f ca="1">Table1[[#This Row],[2026 (DKK)]]*(1-INDIRECT(Table1[[#This Row],[Discount Name]]))</f>
        <v>4</v>
      </c>
      <c r="P452" s="2" cm="1">
        <f t="array" aca="1" ref="P452" ca="1">Table1[[#This Row],[2026 (USD)]]*(1-INDIRECT(Table1[[#This Row],[Discount Name]]))</f>
        <v>0.60000000000000009</v>
      </c>
      <c r="Q452" s="31">
        <f ca="1">INDIRECT(Table1[[#This Row],[Discount Name]])</f>
        <v>0</v>
      </c>
      <c r="S452" s="2">
        <f t="shared" ca="1" si="14"/>
        <v>0.5</v>
      </c>
      <c r="T452" s="2">
        <f t="shared" ca="1" si="15"/>
        <v>4</v>
      </c>
      <c r="U452" s="71" t="str">
        <f>IFERROR(VLOOKUP(Table1[[#This Row],[No_]],'Customer Net Price'!A:F,5,FALSE),"0")</f>
        <v>0</v>
      </c>
      <c r="V452" s="71" t="str">
        <f>IFERROR(VLOOKUP(Table1[[#This Row],[No_]],'Customer Net Price'!A:G,6,FALSE),"0")</f>
        <v>0</v>
      </c>
    </row>
    <row r="453" spans="1:22" x14ac:dyDescent="0.25">
      <c r="A453" s="59" t="s">
        <v>1444</v>
      </c>
      <c r="B453" s="59" t="s">
        <v>1444</v>
      </c>
      <c r="C453" t="s">
        <v>1539</v>
      </c>
      <c r="D453" t="s">
        <v>1778</v>
      </c>
      <c r="E453" t="s">
        <v>546</v>
      </c>
      <c r="F453" t="s">
        <v>918</v>
      </c>
      <c r="G453" t="s">
        <v>923</v>
      </c>
      <c r="H453" s="1" t="s">
        <v>1538</v>
      </c>
      <c r="I453" t="s">
        <v>546</v>
      </c>
      <c r="J453" t="s">
        <v>546</v>
      </c>
      <c r="K453" s="2">
        <v>3</v>
      </c>
      <c r="L453" s="2">
        <v>22.5</v>
      </c>
      <c r="M453" s="2">
        <v>3.3000000000000003</v>
      </c>
      <c r="N453" s="2">
        <f ca="1">Table1[[#This Row],[2026 (EUR)]]*(1-INDIRECT(Table1[[#This Row],[Discount Name]]))</f>
        <v>3</v>
      </c>
      <c r="O453" s="2">
        <f ca="1">Table1[[#This Row],[2026 (DKK)]]*(1-INDIRECT(Table1[[#This Row],[Discount Name]]))</f>
        <v>22.5</v>
      </c>
      <c r="P453" s="2" cm="1">
        <f t="array" aca="1" ref="P453" ca="1">Table1[[#This Row],[2026 (USD)]]*(1-INDIRECT(Table1[[#This Row],[Discount Name]]))</f>
        <v>3.3000000000000003</v>
      </c>
      <c r="Q453" s="31">
        <f ca="1">INDIRECT(Table1[[#This Row],[Discount Name]])</f>
        <v>0</v>
      </c>
      <c r="S453" s="2">
        <f t="shared" ca="1" si="14"/>
        <v>3</v>
      </c>
      <c r="T453" s="2">
        <f t="shared" ca="1" si="15"/>
        <v>22.5</v>
      </c>
      <c r="U453" s="71" t="str">
        <f>IFERROR(VLOOKUP(Table1[[#This Row],[No_]],'Customer Net Price'!A:F,5,FALSE),"0")</f>
        <v>0</v>
      </c>
      <c r="V453" s="71" t="str">
        <f>IFERROR(VLOOKUP(Table1[[#This Row],[No_]],'Customer Net Price'!A:G,6,FALSE),"0")</f>
        <v>0</v>
      </c>
    </row>
    <row r="454" spans="1:22" x14ac:dyDescent="0.25">
      <c r="A454" s="59" t="s">
        <v>1445</v>
      </c>
      <c r="B454" s="59" t="s">
        <v>1445</v>
      </c>
      <c r="C454" t="s">
        <v>1524</v>
      </c>
      <c r="D454" t="s">
        <v>1778</v>
      </c>
      <c r="E454" t="s">
        <v>546</v>
      </c>
      <c r="F454" t="s">
        <v>918</v>
      </c>
      <c r="G454" t="s">
        <v>923</v>
      </c>
      <c r="H454" s="1" t="s">
        <v>1540</v>
      </c>
      <c r="I454" t="s">
        <v>546</v>
      </c>
      <c r="J454" t="s">
        <v>546</v>
      </c>
      <c r="K454" s="2">
        <v>1.7</v>
      </c>
      <c r="L454" s="2">
        <v>13</v>
      </c>
      <c r="M454" s="2">
        <v>1.9000000000000001</v>
      </c>
      <c r="N454" s="2">
        <f ca="1">Table1[[#This Row],[2026 (EUR)]]*(1-INDIRECT(Table1[[#This Row],[Discount Name]]))</f>
        <v>1.7</v>
      </c>
      <c r="O454" s="2">
        <f ca="1">Table1[[#This Row],[2026 (DKK)]]*(1-INDIRECT(Table1[[#This Row],[Discount Name]]))</f>
        <v>13</v>
      </c>
      <c r="P454" s="2" cm="1">
        <f t="array" aca="1" ref="P454" ca="1">Table1[[#This Row],[2026 (USD)]]*(1-INDIRECT(Table1[[#This Row],[Discount Name]]))</f>
        <v>1.9000000000000001</v>
      </c>
      <c r="Q454" s="31">
        <f ca="1">INDIRECT(Table1[[#This Row],[Discount Name]])</f>
        <v>0</v>
      </c>
      <c r="S454" s="2">
        <f t="shared" ca="1" si="14"/>
        <v>1.7</v>
      </c>
      <c r="T454" s="2">
        <f t="shared" ca="1" si="15"/>
        <v>13</v>
      </c>
      <c r="U454" s="71" t="str">
        <f>IFERROR(VLOOKUP(Table1[[#This Row],[No_]],'Customer Net Price'!A:F,5,FALSE),"0")</f>
        <v>0</v>
      </c>
      <c r="V454" s="71" t="str">
        <f>IFERROR(VLOOKUP(Table1[[#This Row],[No_]],'Customer Net Price'!A:G,6,FALSE),"0")</f>
        <v>0</v>
      </c>
    </row>
    <row r="455" spans="1:22" x14ac:dyDescent="0.25">
      <c r="A455" s="59" t="s">
        <v>1446</v>
      </c>
      <c r="B455" s="59" t="s">
        <v>1446</v>
      </c>
      <c r="C455" t="s">
        <v>1526</v>
      </c>
      <c r="D455" t="s">
        <v>1778</v>
      </c>
      <c r="E455" t="s">
        <v>546</v>
      </c>
      <c r="F455" t="s">
        <v>918</v>
      </c>
      <c r="G455" t="s">
        <v>923</v>
      </c>
      <c r="H455" s="1" t="s">
        <v>1541</v>
      </c>
      <c r="I455" t="s">
        <v>546</v>
      </c>
      <c r="J455" t="s">
        <v>546</v>
      </c>
      <c r="K455" s="2">
        <v>6.4</v>
      </c>
      <c r="L455" s="2">
        <v>48</v>
      </c>
      <c r="M455" s="2">
        <v>7.1000000000000005</v>
      </c>
      <c r="N455" s="2">
        <f ca="1">Table1[[#This Row],[2026 (EUR)]]*(1-INDIRECT(Table1[[#This Row],[Discount Name]]))</f>
        <v>6.4</v>
      </c>
      <c r="O455" s="2">
        <f ca="1">Table1[[#This Row],[2026 (DKK)]]*(1-INDIRECT(Table1[[#This Row],[Discount Name]]))</f>
        <v>48</v>
      </c>
      <c r="P455" s="2" cm="1">
        <f t="array" aca="1" ref="P455" ca="1">Table1[[#This Row],[2026 (USD)]]*(1-INDIRECT(Table1[[#This Row],[Discount Name]]))</f>
        <v>7.1000000000000005</v>
      </c>
      <c r="Q455" s="31">
        <f ca="1">INDIRECT(Table1[[#This Row],[Discount Name]])</f>
        <v>0</v>
      </c>
      <c r="S455" s="2">
        <f t="shared" ca="1" si="14"/>
        <v>6.4</v>
      </c>
      <c r="T455" s="2">
        <f t="shared" ca="1" si="15"/>
        <v>48</v>
      </c>
      <c r="U455" s="71" t="str">
        <f>IFERROR(VLOOKUP(Table1[[#This Row],[No_]],'Customer Net Price'!A:F,5,FALSE),"0")</f>
        <v>0</v>
      </c>
      <c r="V455" s="71" t="str">
        <f>IFERROR(VLOOKUP(Table1[[#This Row],[No_]],'Customer Net Price'!A:G,6,FALSE),"0")</f>
        <v>0</v>
      </c>
    </row>
    <row r="456" spans="1:22" x14ac:dyDescent="0.25">
      <c r="A456" s="59" t="s">
        <v>1447</v>
      </c>
      <c r="B456" s="59" t="s">
        <v>1447</v>
      </c>
      <c r="C456" t="s">
        <v>1528</v>
      </c>
      <c r="D456" t="s">
        <v>1778</v>
      </c>
      <c r="E456" t="s">
        <v>546</v>
      </c>
      <c r="F456" t="s">
        <v>918</v>
      </c>
      <c r="G456" t="s">
        <v>923</v>
      </c>
      <c r="H456" s="1" t="s">
        <v>1542</v>
      </c>
      <c r="I456" t="s">
        <v>546</v>
      </c>
      <c r="J456" t="s">
        <v>546</v>
      </c>
      <c r="K456" s="2">
        <v>4.7</v>
      </c>
      <c r="L456" s="2">
        <v>35</v>
      </c>
      <c r="M456" s="2">
        <v>5.2</v>
      </c>
      <c r="N456" s="2">
        <f ca="1">Table1[[#This Row],[2026 (EUR)]]*(1-INDIRECT(Table1[[#This Row],[Discount Name]]))</f>
        <v>4.7</v>
      </c>
      <c r="O456" s="2">
        <f ca="1">Table1[[#This Row],[2026 (DKK)]]*(1-INDIRECT(Table1[[#This Row],[Discount Name]]))</f>
        <v>35</v>
      </c>
      <c r="P456" s="2" cm="1">
        <f t="array" aca="1" ref="P456" ca="1">Table1[[#This Row],[2026 (USD)]]*(1-INDIRECT(Table1[[#This Row],[Discount Name]]))</f>
        <v>5.2</v>
      </c>
      <c r="Q456" s="31">
        <f ca="1">INDIRECT(Table1[[#This Row],[Discount Name]])</f>
        <v>0</v>
      </c>
      <c r="S456" s="2">
        <f t="shared" ca="1" si="14"/>
        <v>4.7</v>
      </c>
      <c r="T456" s="2">
        <f t="shared" ca="1" si="15"/>
        <v>35</v>
      </c>
      <c r="U456" s="71" t="str">
        <f>IFERROR(VLOOKUP(Table1[[#This Row],[No_]],'Customer Net Price'!A:F,5,FALSE),"0")</f>
        <v>0</v>
      </c>
      <c r="V456" s="71" t="str">
        <f>IFERROR(VLOOKUP(Table1[[#This Row],[No_]],'Customer Net Price'!A:G,6,FALSE),"0")</f>
        <v>0</v>
      </c>
    </row>
    <row r="457" spans="1:22" x14ac:dyDescent="0.25">
      <c r="A457" s="59" t="s">
        <v>1448</v>
      </c>
      <c r="B457" s="59" t="s">
        <v>1448</v>
      </c>
      <c r="C457" t="s">
        <v>708</v>
      </c>
      <c r="D457" t="s">
        <v>1778</v>
      </c>
      <c r="E457" t="s">
        <v>546</v>
      </c>
      <c r="F457" t="s">
        <v>918</v>
      </c>
      <c r="G457" t="s">
        <v>923</v>
      </c>
      <c r="H457" s="1" t="s">
        <v>1543</v>
      </c>
      <c r="I457" t="s">
        <v>546</v>
      </c>
      <c r="J457" t="s">
        <v>546</v>
      </c>
      <c r="K457" s="2">
        <v>3.4</v>
      </c>
      <c r="L457" s="2">
        <v>25.5</v>
      </c>
      <c r="M457" s="2">
        <v>3.8000000000000003</v>
      </c>
      <c r="N457" s="2">
        <f ca="1">Table1[[#This Row],[2026 (EUR)]]*(1-INDIRECT(Table1[[#This Row],[Discount Name]]))</f>
        <v>3.4</v>
      </c>
      <c r="O457" s="2">
        <f ca="1">Table1[[#This Row],[2026 (DKK)]]*(1-INDIRECT(Table1[[#This Row],[Discount Name]]))</f>
        <v>25.5</v>
      </c>
      <c r="P457" s="2" cm="1">
        <f t="array" aca="1" ref="P457" ca="1">Table1[[#This Row],[2026 (USD)]]*(1-INDIRECT(Table1[[#This Row],[Discount Name]]))</f>
        <v>3.8000000000000003</v>
      </c>
      <c r="Q457" s="31">
        <f ca="1">INDIRECT(Table1[[#This Row],[Discount Name]])</f>
        <v>0</v>
      </c>
      <c r="S457" s="2">
        <f t="shared" ca="1" si="14"/>
        <v>3.4</v>
      </c>
      <c r="T457" s="2">
        <f t="shared" ca="1" si="15"/>
        <v>25.5</v>
      </c>
      <c r="U457" s="71" t="str">
        <f>IFERROR(VLOOKUP(Table1[[#This Row],[No_]],'Customer Net Price'!A:F,5,FALSE),"0")</f>
        <v>0</v>
      </c>
      <c r="V457" s="71" t="str">
        <f>IFERROR(VLOOKUP(Table1[[#This Row],[No_]],'Customer Net Price'!A:G,6,FALSE),"0")</f>
        <v>0</v>
      </c>
    </row>
    <row r="458" spans="1:22" x14ac:dyDescent="0.25">
      <c r="A458" s="59" t="s">
        <v>1449</v>
      </c>
      <c r="B458" s="59" t="s">
        <v>1449</v>
      </c>
      <c r="C458" t="s">
        <v>1531</v>
      </c>
      <c r="D458" t="s">
        <v>1778</v>
      </c>
      <c r="E458" t="s">
        <v>546</v>
      </c>
      <c r="F458" t="s">
        <v>918</v>
      </c>
      <c r="G458" t="s">
        <v>923</v>
      </c>
      <c r="H458" s="1" t="s">
        <v>1544</v>
      </c>
      <c r="I458" t="s">
        <v>546</v>
      </c>
      <c r="J458" t="s">
        <v>546</v>
      </c>
      <c r="K458" s="2">
        <v>16.899999999999999</v>
      </c>
      <c r="L458" s="2">
        <v>126</v>
      </c>
      <c r="M458" s="2">
        <v>18.600000000000001</v>
      </c>
      <c r="N458" s="2">
        <f ca="1">Table1[[#This Row],[2026 (EUR)]]*(1-INDIRECT(Table1[[#This Row],[Discount Name]]))</f>
        <v>16.899999999999999</v>
      </c>
      <c r="O458" s="2">
        <f ca="1">Table1[[#This Row],[2026 (DKK)]]*(1-INDIRECT(Table1[[#This Row],[Discount Name]]))</f>
        <v>126</v>
      </c>
      <c r="P458" s="2" cm="1">
        <f t="array" aca="1" ref="P458" ca="1">Table1[[#This Row],[2026 (USD)]]*(1-INDIRECT(Table1[[#This Row],[Discount Name]]))</f>
        <v>18.600000000000001</v>
      </c>
      <c r="Q458" s="31">
        <f ca="1">INDIRECT(Table1[[#This Row],[Discount Name]])</f>
        <v>0</v>
      </c>
      <c r="S458" s="2">
        <f t="shared" ca="1" si="14"/>
        <v>16.899999999999999</v>
      </c>
      <c r="T458" s="2">
        <f t="shared" ca="1" si="15"/>
        <v>126</v>
      </c>
      <c r="U458" s="71" t="str">
        <f>IFERROR(VLOOKUP(Table1[[#This Row],[No_]],'Customer Net Price'!A:F,5,FALSE),"0")</f>
        <v>0</v>
      </c>
      <c r="V458" s="71" t="str">
        <f>IFERROR(VLOOKUP(Table1[[#This Row],[No_]],'Customer Net Price'!A:G,6,FALSE),"0")</f>
        <v>0</v>
      </c>
    </row>
    <row r="459" spans="1:22" x14ac:dyDescent="0.25">
      <c r="A459" s="59" t="s">
        <v>1450</v>
      </c>
      <c r="B459" s="59" t="s">
        <v>1450</v>
      </c>
      <c r="C459" t="s">
        <v>1546</v>
      </c>
      <c r="D459" t="s">
        <v>1778</v>
      </c>
      <c r="E459" t="s">
        <v>546</v>
      </c>
      <c r="F459" t="s">
        <v>918</v>
      </c>
      <c r="G459" t="s">
        <v>923</v>
      </c>
      <c r="H459" s="1" t="s">
        <v>1545</v>
      </c>
      <c r="I459" t="s">
        <v>546</v>
      </c>
      <c r="J459" t="s">
        <v>546</v>
      </c>
      <c r="K459" s="2">
        <v>3.6</v>
      </c>
      <c r="L459" s="2">
        <v>27</v>
      </c>
      <c r="M459" s="2">
        <v>4</v>
      </c>
      <c r="N459" s="2">
        <f ca="1">Table1[[#This Row],[2026 (EUR)]]*(1-INDIRECT(Table1[[#This Row],[Discount Name]]))</f>
        <v>3.6</v>
      </c>
      <c r="O459" s="2">
        <f ca="1">Table1[[#This Row],[2026 (DKK)]]*(1-INDIRECT(Table1[[#This Row],[Discount Name]]))</f>
        <v>27</v>
      </c>
      <c r="P459" s="2" cm="1">
        <f t="array" aca="1" ref="P459" ca="1">Table1[[#This Row],[2026 (USD)]]*(1-INDIRECT(Table1[[#This Row],[Discount Name]]))</f>
        <v>4</v>
      </c>
      <c r="Q459" s="31">
        <f ca="1">INDIRECT(Table1[[#This Row],[Discount Name]])</f>
        <v>0</v>
      </c>
      <c r="S459" s="2">
        <f t="shared" ca="1" si="14"/>
        <v>3.6</v>
      </c>
      <c r="T459" s="2">
        <f t="shared" ca="1" si="15"/>
        <v>27</v>
      </c>
      <c r="U459" s="71" t="str">
        <f>IFERROR(VLOOKUP(Table1[[#This Row],[No_]],'Customer Net Price'!A:F,5,FALSE),"0")</f>
        <v>0</v>
      </c>
      <c r="V459" s="71" t="str">
        <f>IFERROR(VLOOKUP(Table1[[#This Row],[No_]],'Customer Net Price'!A:G,6,FALSE),"0")</f>
        <v>0</v>
      </c>
    </row>
    <row r="460" spans="1:22" x14ac:dyDescent="0.25">
      <c r="A460" s="59" t="s">
        <v>1451</v>
      </c>
      <c r="B460" s="59" t="s">
        <v>1451</v>
      </c>
      <c r="C460" t="s">
        <v>1548</v>
      </c>
      <c r="D460" t="s">
        <v>1778</v>
      </c>
      <c r="E460" t="s">
        <v>546</v>
      </c>
      <c r="F460" t="s">
        <v>918</v>
      </c>
      <c r="G460" t="s">
        <v>923</v>
      </c>
      <c r="H460" s="1" t="s">
        <v>1547</v>
      </c>
      <c r="I460" t="s">
        <v>546</v>
      </c>
      <c r="J460" t="s">
        <v>546</v>
      </c>
      <c r="K460" s="2">
        <v>1.7</v>
      </c>
      <c r="L460" s="2">
        <v>13</v>
      </c>
      <c r="M460" s="2">
        <v>1.9000000000000001</v>
      </c>
      <c r="N460" s="2">
        <f ca="1">Table1[[#This Row],[2026 (EUR)]]*(1-INDIRECT(Table1[[#This Row],[Discount Name]]))</f>
        <v>1.7</v>
      </c>
      <c r="O460" s="2">
        <f ca="1">Table1[[#This Row],[2026 (DKK)]]*(1-INDIRECT(Table1[[#This Row],[Discount Name]]))</f>
        <v>13</v>
      </c>
      <c r="P460" s="2" cm="1">
        <f t="array" aca="1" ref="P460" ca="1">Table1[[#This Row],[2026 (USD)]]*(1-INDIRECT(Table1[[#This Row],[Discount Name]]))</f>
        <v>1.9000000000000001</v>
      </c>
      <c r="Q460" s="31">
        <f ca="1">INDIRECT(Table1[[#This Row],[Discount Name]])</f>
        <v>0</v>
      </c>
      <c r="S460" s="2">
        <f t="shared" ca="1" si="14"/>
        <v>1.7</v>
      </c>
      <c r="T460" s="2">
        <f t="shared" ca="1" si="15"/>
        <v>13</v>
      </c>
      <c r="U460" s="71" t="str">
        <f>IFERROR(VLOOKUP(Table1[[#This Row],[No_]],'Customer Net Price'!A:F,5,FALSE),"0")</f>
        <v>0</v>
      </c>
      <c r="V460" s="71" t="str">
        <f>IFERROR(VLOOKUP(Table1[[#This Row],[No_]],'Customer Net Price'!A:G,6,FALSE),"0")</f>
        <v>0</v>
      </c>
    </row>
    <row r="461" spans="1:22" x14ac:dyDescent="0.25">
      <c r="A461" s="59" t="s">
        <v>1452</v>
      </c>
      <c r="B461" s="59" t="s">
        <v>1452</v>
      </c>
      <c r="C461" t="s">
        <v>1533</v>
      </c>
      <c r="D461" t="s">
        <v>1778</v>
      </c>
      <c r="E461" t="s">
        <v>546</v>
      </c>
      <c r="F461" t="s">
        <v>918</v>
      </c>
      <c r="G461" t="s">
        <v>923</v>
      </c>
      <c r="H461" s="1" t="s">
        <v>1549</v>
      </c>
      <c r="I461" t="s">
        <v>546</v>
      </c>
      <c r="J461" t="s">
        <v>546</v>
      </c>
      <c r="K461" s="2">
        <v>18.600000000000001</v>
      </c>
      <c r="L461" s="2">
        <v>138.5</v>
      </c>
      <c r="M461" s="2">
        <v>20.5</v>
      </c>
      <c r="N461" s="2">
        <f ca="1">Table1[[#This Row],[2026 (EUR)]]*(1-INDIRECT(Table1[[#This Row],[Discount Name]]))</f>
        <v>18.600000000000001</v>
      </c>
      <c r="O461" s="2">
        <f ca="1">Table1[[#This Row],[2026 (DKK)]]*(1-INDIRECT(Table1[[#This Row],[Discount Name]]))</f>
        <v>138.5</v>
      </c>
      <c r="P461" s="2" cm="1">
        <f t="array" aca="1" ref="P461" ca="1">Table1[[#This Row],[2026 (USD)]]*(1-INDIRECT(Table1[[#This Row],[Discount Name]]))</f>
        <v>20.5</v>
      </c>
      <c r="Q461" s="31">
        <f ca="1">INDIRECT(Table1[[#This Row],[Discount Name]])</f>
        <v>0</v>
      </c>
      <c r="S461" s="2">
        <f t="shared" ca="1" si="14"/>
        <v>18.600000000000001</v>
      </c>
      <c r="T461" s="2">
        <f t="shared" ca="1" si="15"/>
        <v>138.5</v>
      </c>
      <c r="U461" s="71" t="str">
        <f>IFERROR(VLOOKUP(Table1[[#This Row],[No_]],'Customer Net Price'!A:F,5,FALSE),"0")</f>
        <v>0</v>
      </c>
      <c r="V461" s="71" t="str">
        <f>IFERROR(VLOOKUP(Table1[[#This Row],[No_]],'Customer Net Price'!A:G,6,FALSE),"0")</f>
        <v>0</v>
      </c>
    </row>
    <row r="462" spans="1:22" x14ac:dyDescent="0.25">
      <c r="A462" s="59" t="s">
        <v>1453</v>
      </c>
      <c r="B462" s="59" t="s">
        <v>1453</v>
      </c>
      <c r="C462" t="s">
        <v>1535</v>
      </c>
      <c r="D462" t="s">
        <v>1778</v>
      </c>
      <c r="E462" t="s">
        <v>546</v>
      </c>
      <c r="F462" t="s">
        <v>918</v>
      </c>
      <c r="G462" t="s">
        <v>923</v>
      </c>
      <c r="H462" s="1" t="s">
        <v>1550</v>
      </c>
      <c r="I462" t="s">
        <v>546</v>
      </c>
      <c r="J462" t="s">
        <v>546</v>
      </c>
      <c r="K462" s="2">
        <v>4.7</v>
      </c>
      <c r="L462" s="2">
        <v>35</v>
      </c>
      <c r="M462" s="2">
        <v>5.2</v>
      </c>
      <c r="N462" s="2">
        <f ca="1">Table1[[#This Row],[2026 (EUR)]]*(1-INDIRECT(Table1[[#This Row],[Discount Name]]))</f>
        <v>4.7</v>
      </c>
      <c r="O462" s="2">
        <f ca="1">Table1[[#This Row],[2026 (DKK)]]*(1-INDIRECT(Table1[[#This Row],[Discount Name]]))</f>
        <v>35</v>
      </c>
      <c r="P462" s="2" cm="1">
        <f t="array" aca="1" ref="P462" ca="1">Table1[[#This Row],[2026 (USD)]]*(1-INDIRECT(Table1[[#This Row],[Discount Name]]))</f>
        <v>5.2</v>
      </c>
      <c r="Q462" s="31">
        <f ca="1">INDIRECT(Table1[[#This Row],[Discount Name]])</f>
        <v>0</v>
      </c>
      <c r="S462" s="2">
        <f t="shared" ca="1" si="14"/>
        <v>4.7</v>
      </c>
      <c r="T462" s="2">
        <f t="shared" ca="1" si="15"/>
        <v>35</v>
      </c>
      <c r="U462" s="71" t="str">
        <f>IFERROR(VLOOKUP(Table1[[#This Row],[No_]],'Customer Net Price'!A:F,5,FALSE),"0")</f>
        <v>0</v>
      </c>
      <c r="V462" s="71" t="str">
        <f>IFERROR(VLOOKUP(Table1[[#This Row],[No_]],'Customer Net Price'!A:G,6,FALSE),"0")</f>
        <v>0</v>
      </c>
    </row>
    <row r="463" spans="1:22" x14ac:dyDescent="0.25">
      <c r="A463" s="59" t="s">
        <v>1454</v>
      </c>
      <c r="B463" s="59" t="s">
        <v>1454</v>
      </c>
      <c r="C463" t="s">
        <v>1537</v>
      </c>
      <c r="D463" t="s">
        <v>1778</v>
      </c>
      <c r="E463" t="s">
        <v>546</v>
      </c>
      <c r="F463" t="s">
        <v>918</v>
      </c>
      <c r="G463" t="s">
        <v>923</v>
      </c>
      <c r="H463" s="1" t="s">
        <v>1551</v>
      </c>
      <c r="I463" t="s">
        <v>546</v>
      </c>
      <c r="J463" t="s">
        <v>546</v>
      </c>
      <c r="K463" s="2">
        <v>0.5</v>
      </c>
      <c r="L463" s="2">
        <v>4</v>
      </c>
      <c r="M463" s="2">
        <v>0.60000000000000009</v>
      </c>
      <c r="N463" s="2">
        <f ca="1">Table1[[#This Row],[2026 (EUR)]]*(1-INDIRECT(Table1[[#This Row],[Discount Name]]))</f>
        <v>0.5</v>
      </c>
      <c r="O463" s="2">
        <f ca="1">Table1[[#This Row],[2026 (DKK)]]*(1-INDIRECT(Table1[[#This Row],[Discount Name]]))</f>
        <v>4</v>
      </c>
      <c r="P463" s="2" cm="1">
        <f t="array" aca="1" ref="P463" ca="1">Table1[[#This Row],[2026 (USD)]]*(1-INDIRECT(Table1[[#This Row],[Discount Name]]))</f>
        <v>0.60000000000000009</v>
      </c>
      <c r="Q463" s="31">
        <f ca="1">INDIRECT(Table1[[#This Row],[Discount Name]])</f>
        <v>0</v>
      </c>
      <c r="S463" s="2">
        <f t="shared" ca="1" si="14"/>
        <v>0.5</v>
      </c>
      <c r="T463" s="2">
        <f t="shared" ca="1" si="15"/>
        <v>4</v>
      </c>
      <c r="U463" s="71" t="str">
        <f>IFERROR(VLOOKUP(Table1[[#This Row],[No_]],'Customer Net Price'!A:F,5,FALSE),"0")</f>
        <v>0</v>
      </c>
      <c r="V463" s="71" t="str">
        <f>IFERROR(VLOOKUP(Table1[[#This Row],[No_]],'Customer Net Price'!A:G,6,FALSE),"0")</f>
        <v>0</v>
      </c>
    </row>
    <row r="464" spans="1:22" x14ac:dyDescent="0.25">
      <c r="A464" s="59" t="s">
        <v>1455</v>
      </c>
      <c r="B464" s="59" t="s">
        <v>1455</v>
      </c>
      <c r="C464" t="s">
        <v>1539</v>
      </c>
      <c r="D464" t="s">
        <v>1778</v>
      </c>
      <c r="E464" t="s">
        <v>546</v>
      </c>
      <c r="F464" t="s">
        <v>918</v>
      </c>
      <c r="G464" t="s">
        <v>923</v>
      </c>
      <c r="H464" s="1" t="s">
        <v>1552</v>
      </c>
      <c r="I464" t="s">
        <v>546</v>
      </c>
      <c r="J464" t="s">
        <v>546</v>
      </c>
      <c r="K464" s="2">
        <v>9.6999999999999993</v>
      </c>
      <c r="L464" s="2">
        <v>72.5</v>
      </c>
      <c r="M464" s="2">
        <v>10.700000000000001</v>
      </c>
      <c r="N464" s="2">
        <f ca="1">Table1[[#This Row],[2026 (EUR)]]*(1-INDIRECT(Table1[[#This Row],[Discount Name]]))</f>
        <v>9.6999999999999993</v>
      </c>
      <c r="O464" s="2">
        <f ca="1">Table1[[#This Row],[2026 (DKK)]]*(1-INDIRECT(Table1[[#This Row],[Discount Name]]))</f>
        <v>72.5</v>
      </c>
      <c r="P464" s="2" cm="1">
        <f t="array" aca="1" ref="P464" ca="1">Table1[[#This Row],[2026 (USD)]]*(1-INDIRECT(Table1[[#This Row],[Discount Name]]))</f>
        <v>10.700000000000001</v>
      </c>
      <c r="Q464" s="31">
        <f ca="1">INDIRECT(Table1[[#This Row],[Discount Name]])</f>
        <v>0</v>
      </c>
      <c r="S464" s="2">
        <f t="shared" ca="1" si="14"/>
        <v>9.6999999999999993</v>
      </c>
      <c r="T464" s="2">
        <f t="shared" ca="1" si="15"/>
        <v>72.5</v>
      </c>
      <c r="U464" s="71" t="str">
        <f>IFERROR(VLOOKUP(Table1[[#This Row],[No_]],'Customer Net Price'!A:F,5,FALSE),"0")</f>
        <v>0</v>
      </c>
      <c r="V464" s="71" t="str">
        <f>IFERROR(VLOOKUP(Table1[[#This Row],[No_]],'Customer Net Price'!A:G,6,FALSE),"0")</f>
        <v>0</v>
      </c>
    </row>
    <row r="465" spans="1:22" x14ac:dyDescent="0.25">
      <c r="A465" s="59" t="s">
        <v>1456</v>
      </c>
      <c r="B465" s="59" t="s">
        <v>1456</v>
      </c>
      <c r="C465" t="s">
        <v>1554</v>
      </c>
      <c r="D465" t="s">
        <v>1778</v>
      </c>
      <c r="E465" t="s">
        <v>546</v>
      </c>
      <c r="F465" t="s">
        <v>918</v>
      </c>
      <c r="G465" t="s">
        <v>923</v>
      </c>
      <c r="H465" s="1" t="s">
        <v>1553</v>
      </c>
      <c r="I465" t="s">
        <v>546</v>
      </c>
      <c r="J465" t="s">
        <v>546</v>
      </c>
      <c r="K465" s="2">
        <v>2.1</v>
      </c>
      <c r="L465" s="2">
        <v>16</v>
      </c>
      <c r="M465" s="2">
        <v>2.4000000000000004</v>
      </c>
      <c r="N465" s="2">
        <f ca="1">Table1[[#This Row],[2026 (EUR)]]*(1-INDIRECT(Table1[[#This Row],[Discount Name]]))</f>
        <v>2.1</v>
      </c>
      <c r="O465" s="2">
        <f ca="1">Table1[[#This Row],[2026 (DKK)]]*(1-INDIRECT(Table1[[#This Row],[Discount Name]]))</f>
        <v>16</v>
      </c>
      <c r="P465" s="2" cm="1">
        <f t="array" aca="1" ref="P465" ca="1">Table1[[#This Row],[2026 (USD)]]*(1-INDIRECT(Table1[[#This Row],[Discount Name]]))</f>
        <v>2.4000000000000004</v>
      </c>
      <c r="Q465" s="31">
        <f ca="1">INDIRECT(Table1[[#This Row],[Discount Name]])</f>
        <v>0</v>
      </c>
      <c r="S465" s="2">
        <f t="shared" ca="1" si="14"/>
        <v>2.1</v>
      </c>
      <c r="T465" s="2">
        <f t="shared" ca="1" si="15"/>
        <v>16</v>
      </c>
      <c r="U465" s="71" t="str">
        <f>IFERROR(VLOOKUP(Table1[[#This Row],[No_]],'Customer Net Price'!A:F,5,FALSE),"0")</f>
        <v>0</v>
      </c>
      <c r="V465" s="71" t="str">
        <f>IFERROR(VLOOKUP(Table1[[#This Row],[No_]],'Customer Net Price'!A:G,6,FALSE),"0")</f>
        <v>0</v>
      </c>
    </row>
    <row r="466" spans="1:22" x14ac:dyDescent="0.25">
      <c r="A466" s="59" t="s">
        <v>1457</v>
      </c>
      <c r="B466" s="59" t="s">
        <v>1457</v>
      </c>
      <c r="C466" t="s">
        <v>1526</v>
      </c>
      <c r="D466" t="s">
        <v>1778</v>
      </c>
      <c r="E466" t="s">
        <v>546</v>
      </c>
      <c r="F466" t="s">
        <v>918</v>
      </c>
      <c r="G466" t="s">
        <v>923</v>
      </c>
      <c r="H466" s="1" t="s">
        <v>1555</v>
      </c>
      <c r="I466" t="s">
        <v>546</v>
      </c>
      <c r="J466" t="s">
        <v>546</v>
      </c>
      <c r="K466" s="2">
        <v>8.5</v>
      </c>
      <c r="L466" s="2">
        <v>63.5</v>
      </c>
      <c r="M466" s="2">
        <v>9.4</v>
      </c>
      <c r="N466" s="2">
        <f ca="1">Table1[[#This Row],[2026 (EUR)]]*(1-INDIRECT(Table1[[#This Row],[Discount Name]]))</f>
        <v>8.5</v>
      </c>
      <c r="O466" s="2">
        <f ca="1">Table1[[#This Row],[2026 (DKK)]]*(1-INDIRECT(Table1[[#This Row],[Discount Name]]))</f>
        <v>63.5</v>
      </c>
      <c r="P466" s="2" cm="1">
        <f t="array" aca="1" ref="P466" ca="1">Table1[[#This Row],[2026 (USD)]]*(1-INDIRECT(Table1[[#This Row],[Discount Name]]))</f>
        <v>9.4</v>
      </c>
      <c r="Q466" s="31">
        <f ca="1">INDIRECT(Table1[[#This Row],[Discount Name]])</f>
        <v>0</v>
      </c>
      <c r="S466" s="2">
        <f t="shared" ca="1" si="14"/>
        <v>8.5</v>
      </c>
      <c r="T466" s="2">
        <f t="shared" ca="1" si="15"/>
        <v>63.5</v>
      </c>
      <c r="U466" s="71" t="str">
        <f>IFERROR(VLOOKUP(Table1[[#This Row],[No_]],'Customer Net Price'!A:F,5,FALSE),"0")</f>
        <v>0</v>
      </c>
      <c r="V466" s="71" t="str">
        <f>IFERROR(VLOOKUP(Table1[[#This Row],[No_]],'Customer Net Price'!A:G,6,FALSE),"0")</f>
        <v>0</v>
      </c>
    </row>
    <row r="467" spans="1:22" x14ac:dyDescent="0.25">
      <c r="A467" s="59" t="s">
        <v>1458</v>
      </c>
      <c r="B467" s="59" t="s">
        <v>1458</v>
      </c>
      <c r="C467" t="s">
        <v>1528</v>
      </c>
      <c r="D467" t="s">
        <v>1778</v>
      </c>
      <c r="E467" t="s">
        <v>546</v>
      </c>
      <c r="F467" t="s">
        <v>918</v>
      </c>
      <c r="G467" t="s">
        <v>923</v>
      </c>
      <c r="H467" s="1" t="s">
        <v>1556</v>
      </c>
      <c r="I467" t="s">
        <v>546</v>
      </c>
      <c r="J467" t="s">
        <v>546</v>
      </c>
      <c r="K467" s="2">
        <v>8.5</v>
      </c>
      <c r="L467" s="2">
        <v>63.5</v>
      </c>
      <c r="M467" s="2">
        <v>9.4</v>
      </c>
      <c r="N467" s="2">
        <f ca="1">Table1[[#This Row],[2026 (EUR)]]*(1-INDIRECT(Table1[[#This Row],[Discount Name]]))</f>
        <v>8.5</v>
      </c>
      <c r="O467" s="2">
        <f ca="1">Table1[[#This Row],[2026 (DKK)]]*(1-INDIRECT(Table1[[#This Row],[Discount Name]]))</f>
        <v>63.5</v>
      </c>
      <c r="P467" s="2" cm="1">
        <f t="array" aca="1" ref="P467" ca="1">Table1[[#This Row],[2026 (USD)]]*(1-INDIRECT(Table1[[#This Row],[Discount Name]]))</f>
        <v>9.4</v>
      </c>
      <c r="Q467" s="31">
        <f ca="1">INDIRECT(Table1[[#This Row],[Discount Name]])</f>
        <v>0</v>
      </c>
      <c r="S467" s="2">
        <f t="shared" ca="1" si="14"/>
        <v>8.5</v>
      </c>
      <c r="T467" s="2">
        <f t="shared" ca="1" si="15"/>
        <v>63.5</v>
      </c>
      <c r="U467" s="71" t="str">
        <f>IFERROR(VLOOKUP(Table1[[#This Row],[No_]],'Customer Net Price'!A:F,5,FALSE),"0")</f>
        <v>0</v>
      </c>
      <c r="V467" s="71" t="str">
        <f>IFERROR(VLOOKUP(Table1[[#This Row],[No_]],'Customer Net Price'!A:G,6,FALSE),"0")</f>
        <v>0</v>
      </c>
    </row>
    <row r="468" spans="1:22" x14ac:dyDescent="0.25">
      <c r="A468" s="59" t="s">
        <v>1459</v>
      </c>
      <c r="B468" s="59" t="s">
        <v>1459</v>
      </c>
      <c r="C468" t="s">
        <v>708</v>
      </c>
      <c r="D468" t="s">
        <v>1778</v>
      </c>
      <c r="E468" t="s">
        <v>546</v>
      </c>
      <c r="F468" t="s">
        <v>918</v>
      </c>
      <c r="G468" t="s">
        <v>923</v>
      </c>
      <c r="H468" s="1" t="s">
        <v>1557</v>
      </c>
      <c r="I468" t="s">
        <v>546</v>
      </c>
      <c r="J468" t="s">
        <v>546</v>
      </c>
      <c r="K468" s="2">
        <v>5.7</v>
      </c>
      <c r="L468" s="2">
        <v>42.5</v>
      </c>
      <c r="M468" s="2">
        <v>6.3000000000000007</v>
      </c>
      <c r="N468" s="2">
        <f ca="1">Table1[[#This Row],[2026 (EUR)]]*(1-INDIRECT(Table1[[#This Row],[Discount Name]]))</f>
        <v>5.7</v>
      </c>
      <c r="O468" s="2">
        <f ca="1">Table1[[#This Row],[2026 (DKK)]]*(1-INDIRECT(Table1[[#This Row],[Discount Name]]))</f>
        <v>42.5</v>
      </c>
      <c r="P468" s="2" cm="1">
        <f t="array" aca="1" ref="P468" ca="1">Table1[[#This Row],[2026 (USD)]]*(1-INDIRECT(Table1[[#This Row],[Discount Name]]))</f>
        <v>6.3000000000000007</v>
      </c>
      <c r="Q468" s="31">
        <f ca="1">INDIRECT(Table1[[#This Row],[Discount Name]])</f>
        <v>0</v>
      </c>
      <c r="S468" s="2">
        <f t="shared" ca="1" si="14"/>
        <v>5.7</v>
      </c>
      <c r="T468" s="2">
        <f t="shared" ca="1" si="15"/>
        <v>42.5</v>
      </c>
      <c r="U468" s="71" t="str">
        <f>IFERROR(VLOOKUP(Table1[[#This Row],[No_]],'Customer Net Price'!A:F,5,FALSE),"0")</f>
        <v>0</v>
      </c>
      <c r="V468" s="71" t="str">
        <f>IFERROR(VLOOKUP(Table1[[#This Row],[No_]],'Customer Net Price'!A:G,6,FALSE),"0")</f>
        <v>0</v>
      </c>
    </row>
    <row r="469" spans="1:22" x14ac:dyDescent="0.25">
      <c r="A469" s="59" t="s">
        <v>1460</v>
      </c>
      <c r="B469" s="59" t="s">
        <v>1460</v>
      </c>
      <c r="C469" t="s">
        <v>1539</v>
      </c>
      <c r="D469" t="s">
        <v>1778</v>
      </c>
      <c r="E469" t="s">
        <v>546</v>
      </c>
      <c r="F469" t="s">
        <v>918</v>
      </c>
      <c r="G469" t="s">
        <v>923</v>
      </c>
      <c r="H469" s="1" t="s">
        <v>1558</v>
      </c>
      <c r="I469" t="s">
        <v>546</v>
      </c>
      <c r="J469" t="s">
        <v>546</v>
      </c>
      <c r="K469" s="2">
        <v>8.9</v>
      </c>
      <c r="L469" s="2">
        <v>66.5</v>
      </c>
      <c r="M469" s="2">
        <v>9.8000000000000007</v>
      </c>
      <c r="N469" s="2">
        <f ca="1">Table1[[#This Row],[2026 (EUR)]]*(1-INDIRECT(Table1[[#This Row],[Discount Name]]))</f>
        <v>8.9</v>
      </c>
      <c r="O469" s="2">
        <f ca="1">Table1[[#This Row],[2026 (DKK)]]*(1-INDIRECT(Table1[[#This Row],[Discount Name]]))</f>
        <v>66.5</v>
      </c>
      <c r="P469" s="2" cm="1">
        <f t="array" aca="1" ref="P469" ca="1">Table1[[#This Row],[2026 (USD)]]*(1-INDIRECT(Table1[[#This Row],[Discount Name]]))</f>
        <v>9.8000000000000007</v>
      </c>
      <c r="Q469" s="31">
        <f ca="1">INDIRECT(Table1[[#This Row],[Discount Name]])</f>
        <v>0</v>
      </c>
      <c r="S469" s="2">
        <f t="shared" ca="1" si="14"/>
        <v>8.9</v>
      </c>
      <c r="T469" s="2">
        <f t="shared" ca="1" si="15"/>
        <v>66.5</v>
      </c>
      <c r="U469" s="71" t="str">
        <f>IFERROR(VLOOKUP(Table1[[#This Row],[No_]],'Customer Net Price'!A:F,5,FALSE),"0")</f>
        <v>0</v>
      </c>
      <c r="V469" s="71" t="str">
        <f>IFERROR(VLOOKUP(Table1[[#This Row],[No_]],'Customer Net Price'!A:G,6,FALSE),"0")</f>
        <v>0</v>
      </c>
    </row>
    <row r="470" spans="1:22" x14ac:dyDescent="0.25">
      <c r="A470" s="59" t="s">
        <v>1461</v>
      </c>
      <c r="B470" s="59" t="s">
        <v>1461</v>
      </c>
      <c r="C470" t="s">
        <v>1560</v>
      </c>
      <c r="D470" t="s">
        <v>1778</v>
      </c>
      <c r="E470" t="s">
        <v>546</v>
      </c>
      <c r="F470" t="s">
        <v>918</v>
      </c>
      <c r="G470" t="s">
        <v>923</v>
      </c>
      <c r="H470" s="1" t="s">
        <v>1559</v>
      </c>
      <c r="I470" t="s">
        <v>546</v>
      </c>
      <c r="J470" t="s">
        <v>546</v>
      </c>
      <c r="K470" s="2">
        <v>24.1</v>
      </c>
      <c r="L470" s="2">
        <v>179.5</v>
      </c>
      <c r="M470" s="2">
        <v>26.6</v>
      </c>
      <c r="N470" s="2">
        <f ca="1">Table1[[#This Row],[2026 (EUR)]]*(1-INDIRECT(Table1[[#This Row],[Discount Name]]))</f>
        <v>24.1</v>
      </c>
      <c r="O470" s="2">
        <f ca="1">Table1[[#This Row],[2026 (DKK)]]*(1-INDIRECT(Table1[[#This Row],[Discount Name]]))</f>
        <v>179.5</v>
      </c>
      <c r="P470" s="2" cm="1">
        <f t="array" aca="1" ref="P470" ca="1">Table1[[#This Row],[2026 (USD)]]*(1-INDIRECT(Table1[[#This Row],[Discount Name]]))</f>
        <v>26.6</v>
      </c>
      <c r="Q470" s="31">
        <f ca="1">INDIRECT(Table1[[#This Row],[Discount Name]])</f>
        <v>0</v>
      </c>
      <c r="S470" s="2">
        <f t="shared" ca="1" si="14"/>
        <v>24.1</v>
      </c>
      <c r="T470" s="2">
        <f t="shared" ca="1" si="15"/>
        <v>179.5</v>
      </c>
      <c r="U470" s="71" t="str">
        <f>IFERROR(VLOOKUP(Table1[[#This Row],[No_]],'Customer Net Price'!A:F,5,FALSE),"0")</f>
        <v>0</v>
      </c>
      <c r="V470" s="71" t="str">
        <f>IFERROR(VLOOKUP(Table1[[#This Row],[No_]],'Customer Net Price'!A:G,6,FALSE),"0")</f>
        <v>0</v>
      </c>
    </row>
    <row r="471" spans="1:22" x14ac:dyDescent="0.25">
      <c r="A471" s="59" t="s">
        <v>1462</v>
      </c>
      <c r="B471" s="59" t="s">
        <v>1462</v>
      </c>
      <c r="C471" t="s">
        <v>1535</v>
      </c>
      <c r="D471" t="s">
        <v>1778</v>
      </c>
      <c r="E471" t="s">
        <v>546</v>
      </c>
      <c r="F471" t="s">
        <v>918</v>
      </c>
      <c r="G471" t="s">
        <v>923</v>
      </c>
      <c r="H471" s="1" t="s">
        <v>1561</v>
      </c>
      <c r="I471" t="s">
        <v>546</v>
      </c>
      <c r="J471" t="s">
        <v>546</v>
      </c>
      <c r="K471" s="2">
        <v>8.5</v>
      </c>
      <c r="L471" s="2">
        <v>63.5</v>
      </c>
      <c r="M471" s="2">
        <v>9.4</v>
      </c>
      <c r="N471" s="2">
        <f ca="1">Table1[[#This Row],[2026 (EUR)]]*(1-INDIRECT(Table1[[#This Row],[Discount Name]]))</f>
        <v>8.5</v>
      </c>
      <c r="O471" s="2">
        <f ca="1">Table1[[#This Row],[2026 (DKK)]]*(1-INDIRECT(Table1[[#This Row],[Discount Name]]))</f>
        <v>63.5</v>
      </c>
      <c r="P471" s="2" cm="1">
        <f t="array" aca="1" ref="P471" ca="1">Table1[[#This Row],[2026 (USD)]]*(1-INDIRECT(Table1[[#This Row],[Discount Name]]))</f>
        <v>9.4</v>
      </c>
      <c r="Q471" s="31">
        <f ca="1">INDIRECT(Table1[[#This Row],[Discount Name]])</f>
        <v>0</v>
      </c>
      <c r="S471" s="2">
        <f t="shared" ca="1" si="14"/>
        <v>8.5</v>
      </c>
      <c r="T471" s="2">
        <f t="shared" ca="1" si="15"/>
        <v>63.5</v>
      </c>
      <c r="U471" s="71" t="str">
        <f>IFERROR(VLOOKUP(Table1[[#This Row],[No_]],'Customer Net Price'!A:F,5,FALSE),"0")</f>
        <v>0</v>
      </c>
      <c r="V471" s="71" t="str">
        <f>IFERROR(VLOOKUP(Table1[[#This Row],[No_]],'Customer Net Price'!A:G,6,FALSE),"0")</f>
        <v>0</v>
      </c>
    </row>
    <row r="472" spans="1:22" x14ac:dyDescent="0.25">
      <c r="A472" s="59" t="s">
        <v>1463</v>
      </c>
      <c r="B472" s="59" t="s">
        <v>1463</v>
      </c>
      <c r="C472" t="s">
        <v>1546</v>
      </c>
      <c r="D472" t="s">
        <v>1778</v>
      </c>
      <c r="E472" t="s">
        <v>546</v>
      </c>
      <c r="F472" t="s">
        <v>918</v>
      </c>
      <c r="G472" t="s">
        <v>923</v>
      </c>
      <c r="H472" s="1" t="s">
        <v>1562</v>
      </c>
      <c r="I472" t="s">
        <v>546</v>
      </c>
      <c r="J472" t="s">
        <v>546</v>
      </c>
      <c r="K472" s="2">
        <v>10.6</v>
      </c>
      <c r="L472" s="2">
        <v>79</v>
      </c>
      <c r="M472" s="2">
        <v>11.700000000000001</v>
      </c>
      <c r="N472" s="2">
        <f ca="1">Table1[[#This Row],[2026 (EUR)]]*(1-INDIRECT(Table1[[#This Row],[Discount Name]]))</f>
        <v>10.6</v>
      </c>
      <c r="O472" s="2">
        <f ca="1">Table1[[#This Row],[2026 (DKK)]]*(1-INDIRECT(Table1[[#This Row],[Discount Name]]))</f>
        <v>79</v>
      </c>
      <c r="P472" s="2" cm="1">
        <f t="array" aca="1" ref="P472" ca="1">Table1[[#This Row],[2026 (USD)]]*(1-INDIRECT(Table1[[#This Row],[Discount Name]]))</f>
        <v>11.700000000000001</v>
      </c>
      <c r="Q472" s="31">
        <f ca="1">INDIRECT(Table1[[#This Row],[Discount Name]])</f>
        <v>0</v>
      </c>
      <c r="S472" s="2">
        <f t="shared" ca="1" si="14"/>
        <v>10.6</v>
      </c>
      <c r="T472" s="2">
        <f t="shared" ca="1" si="15"/>
        <v>79</v>
      </c>
      <c r="U472" s="71" t="str">
        <f>IFERROR(VLOOKUP(Table1[[#This Row],[No_]],'Customer Net Price'!A:F,5,FALSE),"0")</f>
        <v>0</v>
      </c>
      <c r="V472" s="71" t="str">
        <f>IFERROR(VLOOKUP(Table1[[#This Row],[No_]],'Customer Net Price'!A:G,6,FALSE),"0")</f>
        <v>0</v>
      </c>
    </row>
    <row r="473" spans="1:22" x14ac:dyDescent="0.25">
      <c r="A473" s="59" t="s">
        <v>1464</v>
      </c>
      <c r="B473" s="59" t="s">
        <v>1464</v>
      </c>
      <c r="C473" t="s">
        <v>1564</v>
      </c>
      <c r="D473" t="s">
        <v>1778</v>
      </c>
      <c r="E473" t="s">
        <v>546</v>
      </c>
      <c r="F473" t="s">
        <v>918</v>
      </c>
      <c r="G473" t="s">
        <v>923</v>
      </c>
      <c r="H473" s="1" t="s">
        <v>1563</v>
      </c>
      <c r="I473" t="s">
        <v>546</v>
      </c>
      <c r="J473" t="s">
        <v>546</v>
      </c>
      <c r="K473" s="2">
        <v>1.2</v>
      </c>
      <c r="L473" s="2">
        <v>9</v>
      </c>
      <c r="M473" s="2">
        <v>1.4000000000000001</v>
      </c>
      <c r="N473" s="2">
        <f ca="1">Table1[[#This Row],[2026 (EUR)]]*(1-INDIRECT(Table1[[#This Row],[Discount Name]]))</f>
        <v>1.2</v>
      </c>
      <c r="O473" s="2">
        <f ca="1">Table1[[#This Row],[2026 (DKK)]]*(1-INDIRECT(Table1[[#This Row],[Discount Name]]))</f>
        <v>9</v>
      </c>
      <c r="P473" s="2" cm="1">
        <f t="array" aca="1" ref="P473" ca="1">Table1[[#This Row],[2026 (USD)]]*(1-INDIRECT(Table1[[#This Row],[Discount Name]]))</f>
        <v>1.4000000000000001</v>
      </c>
      <c r="Q473" s="31">
        <f ca="1">INDIRECT(Table1[[#This Row],[Discount Name]])</f>
        <v>0</v>
      </c>
      <c r="S473" s="2">
        <f t="shared" ca="1" si="14"/>
        <v>1.2</v>
      </c>
      <c r="T473" s="2">
        <f t="shared" ca="1" si="15"/>
        <v>9</v>
      </c>
      <c r="U473" s="71" t="str">
        <f>IFERROR(VLOOKUP(Table1[[#This Row],[No_]],'Customer Net Price'!A:F,5,FALSE),"0")</f>
        <v>0</v>
      </c>
      <c r="V473" s="71" t="str">
        <f>IFERROR(VLOOKUP(Table1[[#This Row],[No_]],'Customer Net Price'!A:G,6,FALSE),"0")</f>
        <v>0</v>
      </c>
    </row>
    <row r="474" spans="1:22" x14ac:dyDescent="0.25">
      <c r="A474" s="59" t="s">
        <v>1465</v>
      </c>
      <c r="B474" s="59" t="s">
        <v>1465</v>
      </c>
      <c r="C474" t="s">
        <v>1566</v>
      </c>
      <c r="D474" t="s">
        <v>1778</v>
      </c>
      <c r="E474" t="s">
        <v>546</v>
      </c>
      <c r="F474" t="s">
        <v>918</v>
      </c>
      <c r="G474" t="s">
        <v>923</v>
      </c>
      <c r="H474" s="1" t="s">
        <v>1565</v>
      </c>
      <c r="I474" t="s">
        <v>546</v>
      </c>
      <c r="J474" t="s">
        <v>546</v>
      </c>
      <c r="K474" s="2">
        <v>1.7</v>
      </c>
      <c r="L474" s="2">
        <v>13</v>
      </c>
      <c r="M474" s="2">
        <v>1.9000000000000001</v>
      </c>
      <c r="N474" s="2">
        <f ca="1">Table1[[#This Row],[2026 (EUR)]]*(1-INDIRECT(Table1[[#This Row],[Discount Name]]))</f>
        <v>1.7</v>
      </c>
      <c r="O474" s="2">
        <f ca="1">Table1[[#This Row],[2026 (DKK)]]*(1-INDIRECT(Table1[[#This Row],[Discount Name]]))</f>
        <v>13</v>
      </c>
      <c r="P474" s="2" cm="1">
        <f t="array" aca="1" ref="P474" ca="1">Table1[[#This Row],[2026 (USD)]]*(1-INDIRECT(Table1[[#This Row],[Discount Name]]))</f>
        <v>1.9000000000000001</v>
      </c>
      <c r="Q474" s="31">
        <f ca="1">INDIRECT(Table1[[#This Row],[Discount Name]])</f>
        <v>0</v>
      </c>
      <c r="S474" s="2">
        <f t="shared" ca="1" si="14"/>
        <v>1.7</v>
      </c>
      <c r="T474" s="2">
        <f t="shared" ca="1" si="15"/>
        <v>13</v>
      </c>
      <c r="U474" s="71" t="str">
        <f>IFERROR(VLOOKUP(Table1[[#This Row],[No_]],'Customer Net Price'!A:F,5,FALSE),"0")</f>
        <v>0</v>
      </c>
      <c r="V474" s="71" t="str">
        <f>IFERROR(VLOOKUP(Table1[[#This Row],[No_]],'Customer Net Price'!A:G,6,FALSE),"0")</f>
        <v>0</v>
      </c>
    </row>
    <row r="475" spans="1:22" x14ac:dyDescent="0.25">
      <c r="A475" s="59" t="s">
        <v>1466</v>
      </c>
      <c r="B475" s="59" t="s">
        <v>1466</v>
      </c>
      <c r="C475" t="s">
        <v>1568</v>
      </c>
      <c r="D475" t="s">
        <v>1778</v>
      </c>
      <c r="E475" t="s">
        <v>546</v>
      </c>
      <c r="F475" t="s">
        <v>918</v>
      </c>
      <c r="G475" t="s">
        <v>923</v>
      </c>
      <c r="H475" s="1" t="s">
        <v>1567</v>
      </c>
      <c r="I475" t="s">
        <v>546</v>
      </c>
      <c r="J475" t="s">
        <v>546</v>
      </c>
      <c r="K475" s="2">
        <v>22</v>
      </c>
      <c r="L475" s="2">
        <v>164</v>
      </c>
      <c r="M475" s="2">
        <v>24.200000000000003</v>
      </c>
      <c r="N475" s="2">
        <f ca="1">Table1[[#This Row],[2026 (EUR)]]*(1-INDIRECT(Table1[[#This Row],[Discount Name]]))</f>
        <v>22</v>
      </c>
      <c r="O475" s="2">
        <f ca="1">Table1[[#This Row],[2026 (DKK)]]*(1-INDIRECT(Table1[[#This Row],[Discount Name]]))</f>
        <v>164</v>
      </c>
      <c r="P475" s="2" cm="1">
        <f t="array" aca="1" ref="P475" ca="1">Table1[[#This Row],[2026 (USD)]]*(1-INDIRECT(Table1[[#This Row],[Discount Name]]))</f>
        <v>24.200000000000003</v>
      </c>
      <c r="Q475" s="31">
        <f ca="1">INDIRECT(Table1[[#This Row],[Discount Name]])</f>
        <v>0</v>
      </c>
      <c r="S475" s="2">
        <f t="shared" ca="1" si="14"/>
        <v>22</v>
      </c>
      <c r="T475" s="2">
        <f t="shared" ca="1" si="15"/>
        <v>164</v>
      </c>
      <c r="U475" s="71" t="str">
        <f>IFERROR(VLOOKUP(Table1[[#This Row],[No_]],'Customer Net Price'!A:F,5,FALSE),"0")</f>
        <v>0</v>
      </c>
      <c r="V475" s="71" t="str">
        <f>IFERROR(VLOOKUP(Table1[[#This Row],[No_]],'Customer Net Price'!A:G,6,FALSE),"0")</f>
        <v>0</v>
      </c>
    </row>
    <row r="476" spans="1:22" x14ac:dyDescent="0.25">
      <c r="A476" s="59" t="s">
        <v>1467</v>
      </c>
      <c r="B476" s="59" t="s">
        <v>1467</v>
      </c>
      <c r="C476" t="s">
        <v>1570</v>
      </c>
      <c r="D476" t="s">
        <v>1778</v>
      </c>
      <c r="E476" t="s">
        <v>546</v>
      </c>
      <c r="F476" t="s">
        <v>918</v>
      </c>
      <c r="G476" t="s">
        <v>923</v>
      </c>
      <c r="H476" s="1" t="s">
        <v>1569</v>
      </c>
      <c r="I476" t="s">
        <v>546</v>
      </c>
      <c r="J476" t="s">
        <v>546</v>
      </c>
      <c r="K476" s="2">
        <v>1</v>
      </c>
      <c r="L476" s="2">
        <v>7.5</v>
      </c>
      <c r="M476" s="2">
        <v>1.1000000000000001</v>
      </c>
      <c r="N476" s="2">
        <f ca="1">Table1[[#This Row],[2026 (EUR)]]*(1-INDIRECT(Table1[[#This Row],[Discount Name]]))</f>
        <v>1</v>
      </c>
      <c r="O476" s="2">
        <f ca="1">Table1[[#This Row],[2026 (DKK)]]*(1-INDIRECT(Table1[[#This Row],[Discount Name]]))</f>
        <v>7.5</v>
      </c>
      <c r="P476" s="2" cm="1">
        <f t="array" aca="1" ref="P476" ca="1">Table1[[#This Row],[2026 (USD)]]*(1-INDIRECT(Table1[[#This Row],[Discount Name]]))</f>
        <v>1.1000000000000001</v>
      </c>
      <c r="Q476" s="31">
        <f ca="1">INDIRECT(Table1[[#This Row],[Discount Name]])</f>
        <v>0</v>
      </c>
      <c r="S476" s="2">
        <f t="shared" ca="1" si="14"/>
        <v>1</v>
      </c>
      <c r="T476" s="2">
        <f t="shared" ca="1" si="15"/>
        <v>7.5</v>
      </c>
      <c r="U476" s="71" t="str">
        <f>IFERROR(VLOOKUP(Table1[[#This Row],[No_]],'Customer Net Price'!A:F,5,FALSE),"0")</f>
        <v>0</v>
      </c>
      <c r="V476" s="71" t="str">
        <f>IFERROR(VLOOKUP(Table1[[#This Row],[No_]],'Customer Net Price'!A:G,6,FALSE),"0")</f>
        <v>0</v>
      </c>
    </row>
    <row r="477" spans="1:22" x14ac:dyDescent="0.25">
      <c r="A477" s="59" t="s">
        <v>1468</v>
      </c>
      <c r="B477" s="59" t="s">
        <v>1468</v>
      </c>
      <c r="C477" t="s">
        <v>1554</v>
      </c>
      <c r="D477" t="s">
        <v>1778</v>
      </c>
      <c r="E477" t="s">
        <v>546</v>
      </c>
      <c r="F477" t="s">
        <v>918</v>
      </c>
      <c r="G477" t="s">
        <v>923</v>
      </c>
      <c r="H477" s="1" t="s">
        <v>1571</v>
      </c>
      <c r="I477" t="s">
        <v>546</v>
      </c>
      <c r="J477" t="s">
        <v>546</v>
      </c>
      <c r="K477" s="2">
        <v>2.2999999999999998</v>
      </c>
      <c r="L477" s="2">
        <v>17.5</v>
      </c>
      <c r="M477" s="2">
        <v>2.6</v>
      </c>
      <c r="N477" s="2">
        <f ca="1">Table1[[#This Row],[2026 (EUR)]]*(1-INDIRECT(Table1[[#This Row],[Discount Name]]))</f>
        <v>2.2999999999999998</v>
      </c>
      <c r="O477" s="2">
        <f ca="1">Table1[[#This Row],[2026 (DKK)]]*(1-INDIRECT(Table1[[#This Row],[Discount Name]]))</f>
        <v>17.5</v>
      </c>
      <c r="P477" s="2" cm="1">
        <f t="array" aca="1" ref="P477" ca="1">Table1[[#This Row],[2026 (USD)]]*(1-INDIRECT(Table1[[#This Row],[Discount Name]]))</f>
        <v>2.6</v>
      </c>
      <c r="Q477" s="31">
        <f ca="1">INDIRECT(Table1[[#This Row],[Discount Name]])</f>
        <v>0</v>
      </c>
      <c r="S477" s="2">
        <f t="shared" ca="1" si="14"/>
        <v>2.2999999999999998</v>
      </c>
      <c r="T477" s="2">
        <f t="shared" ca="1" si="15"/>
        <v>17.5</v>
      </c>
      <c r="U477" s="71" t="str">
        <f>IFERROR(VLOOKUP(Table1[[#This Row],[No_]],'Customer Net Price'!A:F,5,FALSE),"0")</f>
        <v>0</v>
      </c>
      <c r="V477" s="71" t="str">
        <f>IFERROR(VLOOKUP(Table1[[#This Row],[No_]],'Customer Net Price'!A:G,6,FALSE),"0")</f>
        <v>0</v>
      </c>
    </row>
    <row r="478" spans="1:22" x14ac:dyDescent="0.25">
      <c r="A478" s="59" t="s">
        <v>1469</v>
      </c>
      <c r="B478" s="59" t="s">
        <v>1469</v>
      </c>
      <c r="C478" t="s">
        <v>1526</v>
      </c>
      <c r="D478" t="s">
        <v>1778</v>
      </c>
      <c r="E478" t="s">
        <v>546</v>
      </c>
      <c r="F478" t="s">
        <v>918</v>
      </c>
      <c r="G478" t="s">
        <v>923</v>
      </c>
      <c r="H478" s="1" t="s">
        <v>1572</v>
      </c>
      <c r="I478" t="s">
        <v>546</v>
      </c>
      <c r="J478" t="s">
        <v>546</v>
      </c>
      <c r="K478" s="2">
        <v>11.4</v>
      </c>
      <c r="L478" s="2">
        <v>85</v>
      </c>
      <c r="M478" s="2">
        <v>12.600000000000001</v>
      </c>
      <c r="N478" s="2">
        <f ca="1">Table1[[#This Row],[2026 (EUR)]]*(1-INDIRECT(Table1[[#This Row],[Discount Name]]))</f>
        <v>11.4</v>
      </c>
      <c r="O478" s="2">
        <f ca="1">Table1[[#This Row],[2026 (DKK)]]*(1-INDIRECT(Table1[[#This Row],[Discount Name]]))</f>
        <v>85</v>
      </c>
      <c r="P478" s="2" cm="1">
        <f t="array" aca="1" ref="P478" ca="1">Table1[[#This Row],[2026 (USD)]]*(1-INDIRECT(Table1[[#This Row],[Discount Name]]))</f>
        <v>12.600000000000001</v>
      </c>
      <c r="Q478" s="31">
        <f ca="1">INDIRECT(Table1[[#This Row],[Discount Name]])</f>
        <v>0</v>
      </c>
      <c r="S478" s="2">
        <f t="shared" ca="1" si="14"/>
        <v>11.4</v>
      </c>
      <c r="T478" s="2">
        <f t="shared" ca="1" si="15"/>
        <v>85</v>
      </c>
      <c r="U478" s="71" t="str">
        <f>IFERROR(VLOOKUP(Table1[[#This Row],[No_]],'Customer Net Price'!A:F,5,FALSE),"0")</f>
        <v>0</v>
      </c>
      <c r="V478" s="71" t="str">
        <f>IFERROR(VLOOKUP(Table1[[#This Row],[No_]],'Customer Net Price'!A:G,6,FALSE),"0")</f>
        <v>0</v>
      </c>
    </row>
    <row r="479" spans="1:22" x14ac:dyDescent="0.25">
      <c r="A479" s="59" t="s">
        <v>1470</v>
      </c>
      <c r="B479" s="59" t="s">
        <v>1470</v>
      </c>
      <c r="C479" t="s">
        <v>1528</v>
      </c>
      <c r="D479" t="s">
        <v>1778</v>
      </c>
      <c r="E479" t="s">
        <v>546</v>
      </c>
      <c r="F479" t="s">
        <v>918</v>
      </c>
      <c r="G479" t="s">
        <v>923</v>
      </c>
      <c r="H479" s="1" t="s">
        <v>1573</v>
      </c>
      <c r="I479" t="s">
        <v>546</v>
      </c>
      <c r="J479" t="s">
        <v>546</v>
      </c>
      <c r="K479" s="2">
        <v>10.6</v>
      </c>
      <c r="L479" s="2">
        <v>79</v>
      </c>
      <c r="M479" s="2">
        <v>11.700000000000001</v>
      </c>
      <c r="N479" s="2">
        <f ca="1">Table1[[#This Row],[2026 (EUR)]]*(1-INDIRECT(Table1[[#This Row],[Discount Name]]))</f>
        <v>10.6</v>
      </c>
      <c r="O479" s="2">
        <f ca="1">Table1[[#This Row],[2026 (DKK)]]*(1-INDIRECT(Table1[[#This Row],[Discount Name]]))</f>
        <v>79</v>
      </c>
      <c r="P479" s="2" cm="1">
        <f t="array" aca="1" ref="P479" ca="1">Table1[[#This Row],[2026 (USD)]]*(1-INDIRECT(Table1[[#This Row],[Discount Name]]))</f>
        <v>11.700000000000001</v>
      </c>
      <c r="Q479" s="31">
        <f ca="1">INDIRECT(Table1[[#This Row],[Discount Name]])</f>
        <v>0</v>
      </c>
      <c r="S479" s="2">
        <f t="shared" ca="1" si="14"/>
        <v>10.6</v>
      </c>
      <c r="T479" s="2">
        <f t="shared" ca="1" si="15"/>
        <v>79</v>
      </c>
      <c r="U479" s="71" t="str">
        <f>IFERROR(VLOOKUP(Table1[[#This Row],[No_]],'Customer Net Price'!A:F,5,FALSE),"0")</f>
        <v>0</v>
      </c>
      <c r="V479" s="71" t="str">
        <f>IFERROR(VLOOKUP(Table1[[#This Row],[No_]],'Customer Net Price'!A:G,6,FALSE),"0")</f>
        <v>0</v>
      </c>
    </row>
    <row r="480" spans="1:22" x14ac:dyDescent="0.25">
      <c r="A480" s="59" t="s">
        <v>1471</v>
      </c>
      <c r="B480" s="59" t="s">
        <v>1471</v>
      </c>
      <c r="C480" t="s">
        <v>708</v>
      </c>
      <c r="D480" t="s">
        <v>1778</v>
      </c>
      <c r="E480" t="s">
        <v>546</v>
      </c>
      <c r="F480" t="s">
        <v>918</v>
      </c>
      <c r="G480" t="s">
        <v>923</v>
      </c>
      <c r="H480" s="1" t="s">
        <v>1574</v>
      </c>
      <c r="I480" t="s">
        <v>546</v>
      </c>
      <c r="J480" t="s">
        <v>546</v>
      </c>
      <c r="K480" s="2">
        <v>9.3000000000000007</v>
      </c>
      <c r="L480" s="2">
        <v>69.5</v>
      </c>
      <c r="M480" s="2">
        <v>10.3</v>
      </c>
      <c r="N480" s="2">
        <f ca="1">Table1[[#This Row],[2026 (EUR)]]*(1-INDIRECT(Table1[[#This Row],[Discount Name]]))</f>
        <v>9.3000000000000007</v>
      </c>
      <c r="O480" s="2">
        <f ca="1">Table1[[#This Row],[2026 (DKK)]]*(1-INDIRECT(Table1[[#This Row],[Discount Name]]))</f>
        <v>69.5</v>
      </c>
      <c r="P480" s="2" cm="1">
        <f t="array" aca="1" ref="P480" ca="1">Table1[[#This Row],[2026 (USD)]]*(1-INDIRECT(Table1[[#This Row],[Discount Name]]))</f>
        <v>10.3</v>
      </c>
      <c r="Q480" s="31">
        <f ca="1">INDIRECT(Table1[[#This Row],[Discount Name]])</f>
        <v>0</v>
      </c>
      <c r="S480" s="2">
        <f t="shared" ca="1" si="14"/>
        <v>9.3000000000000007</v>
      </c>
      <c r="T480" s="2">
        <f t="shared" ca="1" si="15"/>
        <v>69.5</v>
      </c>
      <c r="U480" s="71" t="str">
        <f>IFERROR(VLOOKUP(Table1[[#This Row],[No_]],'Customer Net Price'!A:F,5,FALSE),"0")</f>
        <v>0</v>
      </c>
      <c r="V480" s="71" t="str">
        <f>IFERROR(VLOOKUP(Table1[[#This Row],[No_]],'Customer Net Price'!A:G,6,FALSE),"0")</f>
        <v>0</v>
      </c>
    </row>
    <row r="481" spans="1:22" x14ac:dyDescent="0.25">
      <c r="A481" s="59" t="s">
        <v>1472</v>
      </c>
      <c r="B481" s="59" t="s">
        <v>1472</v>
      </c>
      <c r="C481" t="s">
        <v>1539</v>
      </c>
      <c r="D481" t="s">
        <v>1778</v>
      </c>
      <c r="E481" t="s">
        <v>546</v>
      </c>
      <c r="F481" t="s">
        <v>918</v>
      </c>
      <c r="G481" t="s">
        <v>923</v>
      </c>
      <c r="H481" s="1" t="s">
        <v>1575</v>
      </c>
      <c r="I481" t="s">
        <v>546</v>
      </c>
      <c r="J481" t="s">
        <v>546</v>
      </c>
      <c r="K481" s="2">
        <v>10.199999999999999</v>
      </c>
      <c r="L481" s="2">
        <v>76</v>
      </c>
      <c r="M481" s="2">
        <v>11.3</v>
      </c>
      <c r="N481" s="2">
        <f ca="1">Table1[[#This Row],[2026 (EUR)]]*(1-INDIRECT(Table1[[#This Row],[Discount Name]]))</f>
        <v>10.199999999999999</v>
      </c>
      <c r="O481" s="2">
        <f ca="1">Table1[[#This Row],[2026 (DKK)]]*(1-INDIRECT(Table1[[#This Row],[Discount Name]]))</f>
        <v>76</v>
      </c>
      <c r="P481" s="2" cm="1">
        <f t="array" aca="1" ref="P481" ca="1">Table1[[#This Row],[2026 (USD)]]*(1-INDIRECT(Table1[[#This Row],[Discount Name]]))</f>
        <v>11.3</v>
      </c>
      <c r="Q481" s="31">
        <f ca="1">INDIRECT(Table1[[#This Row],[Discount Name]])</f>
        <v>0</v>
      </c>
      <c r="S481" s="2">
        <f t="shared" ca="1" si="14"/>
        <v>10.199999999999999</v>
      </c>
      <c r="T481" s="2">
        <f t="shared" ca="1" si="15"/>
        <v>76</v>
      </c>
      <c r="U481" s="71" t="str">
        <f>IFERROR(VLOOKUP(Table1[[#This Row],[No_]],'Customer Net Price'!A:F,5,FALSE),"0")</f>
        <v>0</v>
      </c>
      <c r="V481" s="71" t="str">
        <f>IFERROR(VLOOKUP(Table1[[#This Row],[No_]],'Customer Net Price'!A:G,6,FALSE),"0")</f>
        <v>0</v>
      </c>
    </row>
    <row r="482" spans="1:22" x14ac:dyDescent="0.25">
      <c r="A482" s="59" t="s">
        <v>1473</v>
      </c>
      <c r="B482" s="59" t="s">
        <v>1473</v>
      </c>
      <c r="C482" t="s">
        <v>1560</v>
      </c>
      <c r="D482" t="s">
        <v>1778</v>
      </c>
      <c r="E482" t="s">
        <v>546</v>
      </c>
      <c r="F482" t="s">
        <v>918</v>
      </c>
      <c r="G482" t="s">
        <v>923</v>
      </c>
      <c r="H482" s="1" t="s">
        <v>1576</v>
      </c>
      <c r="I482" t="s">
        <v>546</v>
      </c>
      <c r="J482" t="s">
        <v>546</v>
      </c>
      <c r="K482" s="2">
        <v>26.7</v>
      </c>
      <c r="L482" s="2">
        <v>199</v>
      </c>
      <c r="M482" s="2">
        <v>29.400000000000002</v>
      </c>
      <c r="N482" s="2">
        <f ca="1">Table1[[#This Row],[2026 (EUR)]]*(1-INDIRECT(Table1[[#This Row],[Discount Name]]))</f>
        <v>26.7</v>
      </c>
      <c r="O482" s="2">
        <f ca="1">Table1[[#This Row],[2026 (DKK)]]*(1-INDIRECT(Table1[[#This Row],[Discount Name]]))</f>
        <v>199</v>
      </c>
      <c r="P482" s="2" cm="1">
        <f t="array" aca="1" ref="P482" ca="1">Table1[[#This Row],[2026 (USD)]]*(1-INDIRECT(Table1[[#This Row],[Discount Name]]))</f>
        <v>29.400000000000002</v>
      </c>
      <c r="Q482" s="31">
        <f ca="1">INDIRECT(Table1[[#This Row],[Discount Name]])</f>
        <v>0</v>
      </c>
      <c r="S482" s="2">
        <f t="shared" ca="1" si="14"/>
        <v>26.7</v>
      </c>
      <c r="T482" s="2">
        <f t="shared" ca="1" si="15"/>
        <v>199</v>
      </c>
      <c r="U482" s="71" t="str">
        <f>IFERROR(VLOOKUP(Table1[[#This Row],[No_]],'Customer Net Price'!A:F,5,FALSE),"0")</f>
        <v>0</v>
      </c>
      <c r="V482" s="71" t="str">
        <f>IFERROR(VLOOKUP(Table1[[#This Row],[No_]],'Customer Net Price'!A:G,6,FALSE),"0")</f>
        <v>0</v>
      </c>
    </row>
    <row r="483" spans="1:22" x14ac:dyDescent="0.25">
      <c r="A483" s="59" t="s">
        <v>1474</v>
      </c>
      <c r="B483" s="59" t="s">
        <v>1474</v>
      </c>
      <c r="C483" t="s">
        <v>1546</v>
      </c>
      <c r="D483" t="s">
        <v>1778</v>
      </c>
      <c r="E483" t="s">
        <v>546</v>
      </c>
      <c r="F483" t="s">
        <v>918</v>
      </c>
      <c r="G483" t="s">
        <v>923</v>
      </c>
      <c r="H483" s="1" t="s">
        <v>1577</v>
      </c>
      <c r="I483" t="s">
        <v>546</v>
      </c>
      <c r="J483" t="s">
        <v>546</v>
      </c>
      <c r="K483" s="2">
        <v>10.6</v>
      </c>
      <c r="L483" s="2">
        <v>79</v>
      </c>
      <c r="M483" s="2">
        <v>11.700000000000001</v>
      </c>
      <c r="N483" s="2">
        <f ca="1">Table1[[#This Row],[2026 (EUR)]]*(1-INDIRECT(Table1[[#This Row],[Discount Name]]))</f>
        <v>10.6</v>
      </c>
      <c r="O483" s="2">
        <f ca="1">Table1[[#This Row],[2026 (DKK)]]*(1-INDIRECT(Table1[[#This Row],[Discount Name]]))</f>
        <v>79</v>
      </c>
      <c r="P483" s="2" cm="1">
        <f t="array" aca="1" ref="P483" ca="1">Table1[[#This Row],[2026 (USD)]]*(1-INDIRECT(Table1[[#This Row],[Discount Name]]))</f>
        <v>11.700000000000001</v>
      </c>
      <c r="Q483" s="31">
        <f ca="1">INDIRECT(Table1[[#This Row],[Discount Name]])</f>
        <v>0</v>
      </c>
      <c r="S483" s="2">
        <f t="shared" ca="1" si="14"/>
        <v>10.6</v>
      </c>
      <c r="T483" s="2">
        <f t="shared" ca="1" si="15"/>
        <v>79</v>
      </c>
      <c r="U483" s="71" t="str">
        <f>IFERROR(VLOOKUP(Table1[[#This Row],[No_]],'Customer Net Price'!A:F,5,FALSE),"0")</f>
        <v>0</v>
      </c>
      <c r="V483" s="71" t="str">
        <f>IFERROR(VLOOKUP(Table1[[#This Row],[No_]],'Customer Net Price'!A:G,6,FALSE),"0")</f>
        <v>0</v>
      </c>
    </row>
    <row r="484" spans="1:22" x14ac:dyDescent="0.25">
      <c r="A484" s="59" t="s">
        <v>1475</v>
      </c>
      <c r="B484" s="59" t="s">
        <v>1475</v>
      </c>
      <c r="C484" t="s">
        <v>1535</v>
      </c>
      <c r="D484" t="s">
        <v>1778</v>
      </c>
      <c r="E484" t="s">
        <v>546</v>
      </c>
      <c r="F484" t="s">
        <v>918</v>
      </c>
      <c r="G484" t="s">
        <v>923</v>
      </c>
      <c r="H484" s="1" t="s">
        <v>1578</v>
      </c>
      <c r="I484" t="s">
        <v>546</v>
      </c>
      <c r="J484" t="s">
        <v>546</v>
      </c>
      <c r="K484" s="2">
        <v>9.6999999999999993</v>
      </c>
      <c r="L484" s="2">
        <v>72.5</v>
      </c>
      <c r="M484" s="2">
        <v>10.700000000000001</v>
      </c>
      <c r="N484" s="2">
        <f ca="1">Table1[[#This Row],[2026 (EUR)]]*(1-INDIRECT(Table1[[#This Row],[Discount Name]]))</f>
        <v>9.6999999999999993</v>
      </c>
      <c r="O484" s="2">
        <f ca="1">Table1[[#This Row],[2026 (DKK)]]*(1-INDIRECT(Table1[[#This Row],[Discount Name]]))</f>
        <v>72.5</v>
      </c>
      <c r="P484" s="2" cm="1">
        <f t="array" aca="1" ref="P484" ca="1">Table1[[#This Row],[2026 (USD)]]*(1-INDIRECT(Table1[[#This Row],[Discount Name]]))</f>
        <v>10.700000000000001</v>
      </c>
      <c r="Q484" s="31">
        <f ca="1">INDIRECT(Table1[[#This Row],[Discount Name]])</f>
        <v>0</v>
      </c>
      <c r="S484" s="2">
        <f t="shared" ca="1" si="14"/>
        <v>9.6999999999999993</v>
      </c>
      <c r="T484" s="2">
        <f t="shared" ca="1" si="15"/>
        <v>72.5</v>
      </c>
      <c r="U484" s="71" t="str">
        <f>IFERROR(VLOOKUP(Table1[[#This Row],[No_]],'Customer Net Price'!A:F,5,FALSE),"0")</f>
        <v>0</v>
      </c>
      <c r="V484" s="71" t="str">
        <f>IFERROR(VLOOKUP(Table1[[#This Row],[No_]],'Customer Net Price'!A:G,6,FALSE),"0")</f>
        <v>0</v>
      </c>
    </row>
    <row r="485" spans="1:22" x14ac:dyDescent="0.25">
      <c r="A485" s="59" t="s">
        <v>1476</v>
      </c>
      <c r="B485" s="59" t="s">
        <v>1476</v>
      </c>
      <c r="C485" t="s">
        <v>1533</v>
      </c>
      <c r="D485" t="s">
        <v>1778</v>
      </c>
      <c r="E485" t="s">
        <v>546</v>
      </c>
      <c r="F485" t="s">
        <v>918</v>
      </c>
      <c r="G485" t="s">
        <v>923</v>
      </c>
      <c r="H485" s="1" t="s">
        <v>1579</v>
      </c>
      <c r="I485" t="s">
        <v>546</v>
      </c>
      <c r="J485" t="s">
        <v>546</v>
      </c>
      <c r="K485" s="2">
        <v>36.799999999999997</v>
      </c>
      <c r="L485" s="2">
        <v>274</v>
      </c>
      <c r="M485" s="2">
        <v>40.5</v>
      </c>
      <c r="N485" s="2">
        <f ca="1">Table1[[#This Row],[2026 (EUR)]]*(1-INDIRECT(Table1[[#This Row],[Discount Name]]))</f>
        <v>36.799999999999997</v>
      </c>
      <c r="O485" s="2">
        <f ca="1">Table1[[#This Row],[2026 (DKK)]]*(1-INDIRECT(Table1[[#This Row],[Discount Name]]))</f>
        <v>274</v>
      </c>
      <c r="P485" s="2" cm="1">
        <f t="array" aca="1" ref="P485" ca="1">Table1[[#This Row],[2026 (USD)]]*(1-INDIRECT(Table1[[#This Row],[Discount Name]]))</f>
        <v>40.5</v>
      </c>
      <c r="Q485" s="31">
        <f ca="1">INDIRECT(Table1[[#This Row],[Discount Name]])</f>
        <v>0</v>
      </c>
      <c r="S485" s="2">
        <f t="shared" ca="1" si="14"/>
        <v>36.799999999999997</v>
      </c>
      <c r="T485" s="2">
        <f t="shared" ca="1" si="15"/>
        <v>274</v>
      </c>
      <c r="U485" s="71" t="str">
        <f>IFERROR(VLOOKUP(Table1[[#This Row],[No_]],'Customer Net Price'!A:F,5,FALSE),"0")</f>
        <v>0</v>
      </c>
      <c r="V485" s="71" t="str">
        <f>IFERROR(VLOOKUP(Table1[[#This Row],[No_]],'Customer Net Price'!A:G,6,FALSE),"0")</f>
        <v>0</v>
      </c>
    </row>
    <row r="486" spans="1:22" x14ac:dyDescent="0.25">
      <c r="A486" s="59" t="s">
        <v>1477</v>
      </c>
      <c r="B486" s="59" t="s">
        <v>1477</v>
      </c>
      <c r="C486" t="s">
        <v>1535</v>
      </c>
      <c r="D486" t="s">
        <v>1778</v>
      </c>
      <c r="E486" t="s">
        <v>546</v>
      </c>
      <c r="F486" t="s">
        <v>918</v>
      </c>
      <c r="G486" t="s">
        <v>923</v>
      </c>
      <c r="H486" s="1" t="s">
        <v>1580</v>
      </c>
      <c r="I486" t="s">
        <v>546</v>
      </c>
      <c r="J486" t="s">
        <v>546</v>
      </c>
      <c r="K486" s="2">
        <v>10.199999999999999</v>
      </c>
      <c r="L486" s="2">
        <v>76</v>
      </c>
      <c r="M486" s="2">
        <v>11.3</v>
      </c>
      <c r="N486" s="2">
        <f ca="1">Table1[[#This Row],[2026 (EUR)]]*(1-INDIRECT(Table1[[#This Row],[Discount Name]]))</f>
        <v>10.199999999999999</v>
      </c>
      <c r="O486" s="2">
        <f ca="1">Table1[[#This Row],[2026 (DKK)]]*(1-INDIRECT(Table1[[#This Row],[Discount Name]]))</f>
        <v>76</v>
      </c>
      <c r="P486" s="2" cm="1">
        <f t="array" aca="1" ref="P486" ca="1">Table1[[#This Row],[2026 (USD)]]*(1-INDIRECT(Table1[[#This Row],[Discount Name]]))</f>
        <v>11.3</v>
      </c>
      <c r="Q486" s="31">
        <f ca="1">INDIRECT(Table1[[#This Row],[Discount Name]])</f>
        <v>0</v>
      </c>
      <c r="S486" s="2">
        <f t="shared" ca="1" si="14"/>
        <v>10.199999999999999</v>
      </c>
      <c r="T486" s="2">
        <f t="shared" ca="1" si="15"/>
        <v>76</v>
      </c>
      <c r="U486" s="71" t="str">
        <f>IFERROR(VLOOKUP(Table1[[#This Row],[No_]],'Customer Net Price'!A:F,5,FALSE),"0")</f>
        <v>0</v>
      </c>
      <c r="V486" s="71" t="str">
        <f>IFERROR(VLOOKUP(Table1[[#This Row],[No_]],'Customer Net Price'!A:G,6,FALSE),"0")</f>
        <v>0</v>
      </c>
    </row>
    <row r="487" spans="1:22" x14ac:dyDescent="0.25">
      <c r="A487" s="59" t="s">
        <v>1478</v>
      </c>
      <c r="B487" s="59" t="s">
        <v>1478</v>
      </c>
      <c r="C487" t="s">
        <v>1582</v>
      </c>
      <c r="D487" t="s">
        <v>1778</v>
      </c>
      <c r="E487" t="s">
        <v>546</v>
      </c>
      <c r="F487" t="s">
        <v>918</v>
      </c>
      <c r="G487" t="s">
        <v>923</v>
      </c>
      <c r="H487" s="1" t="s">
        <v>1581</v>
      </c>
      <c r="I487" t="s">
        <v>546</v>
      </c>
      <c r="J487" t="s">
        <v>546</v>
      </c>
      <c r="K487" s="2">
        <v>19.899999999999999</v>
      </c>
      <c r="L487" s="2">
        <v>148.5</v>
      </c>
      <c r="M487" s="2">
        <v>21.900000000000002</v>
      </c>
      <c r="N487" s="2">
        <f ca="1">Table1[[#This Row],[2026 (EUR)]]*(1-INDIRECT(Table1[[#This Row],[Discount Name]]))</f>
        <v>19.899999999999999</v>
      </c>
      <c r="O487" s="2">
        <f ca="1">Table1[[#This Row],[2026 (DKK)]]*(1-INDIRECT(Table1[[#This Row],[Discount Name]]))</f>
        <v>148.5</v>
      </c>
      <c r="P487" s="2" cm="1">
        <f t="array" aca="1" ref="P487" ca="1">Table1[[#This Row],[2026 (USD)]]*(1-INDIRECT(Table1[[#This Row],[Discount Name]]))</f>
        <v>21.900000000000002</v>
      </c>
      <c r="Q487" s="31">
        <f ca="1">INDIRECT(Table1[[#This Row],[Discount Name]])</f>
        <v>0</v>
      </c>
      <c r="S487" s="2">
        <f t="shared" ca="1" si="14"/>
        <v>19.899999999999999</v>
      </c>
      <c r="T487" s="2">
        <f t="shared" ca="1" si="15"/>
        <v>148.5</v>
      </c>
      <c r="U487" s="71" t="str">
        <f>IFERROR(VLOOKUP(Table1[[#This Row],[No_]],'Customer Net Price'!A:F,5,FALSE),"0")</f>
        <v>0</v>
      </c>
      <c r="V487" s="71" t="str">
        <f>IFERROR(VLOOKUP(Table1[[#This Row],[No_]],'Customer Net Price'!A:G,6,FALSE),"0")</f>
        <v>0</v>
      </c>
    </row>
    <row r="488" spans="1:22" x14ac:dyDescent="0.25">
      <c r="A488" s="59" t="s">
        <v>1480</v>
      </c>
      <c r="B488" s="59" t="s">
        <v>1480</v>
      </c>
      <c r="C488" t="s">
        <v>1586</v>
      </c>
      <c r="D488" t="s">
        <v>1778</v>
      </c>
      <c r="E488" t="s">
        <v>546</v>
      </c>
      <c r="F488" t="s">
        <v>918</v>
      </c>
      <c r="G488" t="s">
        <v>923</v>
      </c>
      <c r="H488" s="1" t="s">
        <v>1585</v>
      </c>
      <c r="I488" t="s">
        <v>546</v>
      </c>
      <c r="J488" t="s">
        <v>546</v>
      </c>
      <c r="K488" s="2">
        <v>1.4</v>
      </c>
      <c r="L488" s="2">
        <v>10.5</v>
      </c>
      <c r="M488" s="2">
        <v>1.6</v>
      </c>
      <c r="N488" s="2">
        <f ca="1">Table1[[#This Row],[2026 (EUR)]]*(1-INDIRECT(Table1[[#This Row],[Discount Name]]))</f>
        <v>1.4</v>
      </c>
      <c r="O488" s="2">
        <f ca="1">Table1[[#This Row],[2026 (DKK)]]*(1-INDIRECT(Table1[[#This Row],[Discount Name]]))</f>
        <v>10.5</v>
      </c>
      <c r="P488" s="2" cm="1">
        <f t="array" aca="1" ref="P488" ca="1">Table1[[#This Row],[2026 (USD)]]*(1-INDIRECT(Table1[[#This Row],[Discount Name]]))</f>
        <v>1.6</v>
      </c>
      <c r="Q488" s="31">
        <f ca="1">INDIRECT(Table1[[#This Row],[Discount Name]])</f>
        <v>0</v>
      </c>
      <c r="S488" s="2">
        <f t="shared" ca="1" si="14"/>
        <v>1.4</v>
      </c>
      <c r="T488" s="2">
        <f t="shared" ca="1" si="15"/>
        <v>10.5</v>
      </c>
      <c r="U488" s="71" t="str">
        <f>IFERROR(VLOOKUP(Table1[[#This Row],[No_]],'Customer Net Price'!A:F,5,FALSE),"0")</f>
        <v>0</v>
      </c>
      <c r="V488" s="71" t="str">
        <f>IFERROR(VLOOKUP(Table1[[#This Row],[No_]],'Customer Net Price'!A:G,6,FALSE),"0")</f>
        <v>0</v>
      </c>
    </row>
    <row r="489" spans="1:22" x14ac:dyDescent="0.25">
      <c r="A489" s="59" t="s">
        <v>1481</v>
      </c>
      <c r="B489" s="59" t="s">
        <v>1481</v>
      </c>
      <c r="C489" t="s">
        <v>1533</v>
      </c>
      <c r="D489" t="s">
        <v>1778</v>
      </c>
      <c r="E489" t="s">
        <v>546</v>
      </c>
      <c r="F489" t="s">
        <v>918</v>
      </c>
      <c r="G489" t="s">
        <v>923</v>
      </c>
      <c r="H489" s="1" t="s">
        <v>1587</v>
      </c>
      <c r="I489" t="s">
        <v>546</v>
      </c>
      <c r="J489" t="s">
        <v>546</v>
      </c>
      <c r="K489" s="2">
        <v>44.9</v>
      </c>
      <c r="L489" s="2">
        <v>334.5</v>
      </c>
      <c r="M489" s="2">
        <v>49.400000000000006</v>
      </c>
      <c r="N489" s="2">
        <f ca="1">Table1[[#This Row],[2026 (EUR)]]*(1-INDIRECT(Table1[[#This Row],[Discount Name]]))</f>
        <v>44.9</v>
      </c>
      <c r="O489" s="2">
        <f ca="1">Table1[[#This Row],[2026 (DKK)]]*(1-INDIRECT(Table1[[#This Row],[Discount Name]]))</f>
        <v>334.5</v>
      </c>
      <c r="P489" s="2" cm="1">
        <f t="array" aca="1" ref="P489" ca="1">Table1[[#This Row],[2026 (USD)]]*(1-INDIRECT(Table1[[#This Row],[Discount Name]]))</f>
        <v>49.400000000000006</v>
      </c>
      <c r="Q489" s="31">
        <f ca="1">INDIRECT(Table1[[#This Row],[Discount Name]])</f>
        <v>0</v>
      </c>
      <c r="S489" s="2">
        <f t="shared" ca="1" si="14"/>
        <v>44.9</v>
      </c>
      <c r="T489" s="2">
        <f t="shared" ca="1" si="15"/>
        <v>334.5</v>
      </c>
      <c r="U489" s="71" t="str">
        <f>IFERROR(VLOOKUP(Table1[[#This Row],[No_]],'Customer Net Price'!A:F,5,FALSE),"0")</f>
        <v>0</v>
      </c>
      <c r="V489" s="71" t="str">
        <f>IFERROR(VLOOKUP(Table1[[#This Row],[No_]],'Customer Net Price'!A:G,6,FALSE),"0")</f>
        <v>0</v>
      </c>
    </row>
    <row r="490" spans="1:22" x14ac:dyDescent="0.25">
      <c r="A490" s="59" t="s">
        <v>1482</v>
      </c>
      <c r="B490" s="59" t="s">
        <v>1482</v>
      </c>
      <c r="C490" t="s">
        <v>1582</v>
      </c>
      <c r="D490" t="s">
        <v>1778</v>
      </c>
      <c r="E490" t="s">
        <v>546</v>
      </c>
      <c r="F490" t="s">
        <v>918</v>
      </c>
      <c r="G490" t="s">
        <v>923</v>
      </c>
      <c r="H490" s="1" t="s">
        <v>1588</v>
      </c>
      <c r="I490" t="s">
        <v>546</v>
      </c>
      <c r="J490" t="s">
        <v>546</v>
      </c>
      <c r="K490" s="2">
        <v>22</v>
      </c>
      <c r="L490" s="2">
        <v>164</v>
      </c>
      <c r="M490" s="2">
        <v>24.200000000000003</v>
      </c>
      <c r="N490" s="2">
        <f ca="1">Table1[[#This Row],[2026 (EUR)]]*(1-INDIRECT(Table1[[#This Row],[Discount Name]]))</f>
        <v>22</v>
      </c>
      <c r="O490" s="2">
        <f ca="1">Table1[[#This Row],[2026 (DKK)]]*(1-INDIRECT(Table1[[#This Row],[Discount Name]]))</f>
        <v>164</v>
      </c>
      <c r="P490" s="2" cm="1">
        <f t="array" aca="1" ref="P490" ca="1">Table1[[#This Row],[2026 (USD)]]*(1-INDIRECT(Table1[[#This Row],[Discount Name]]))</f>
        <v>24.200000000000003</v>
      </c>
      <c r="Q490" s="31">
        <f ca="1">INDIRECT(Table1[[#This Row],[Discount Name]])</f>
        <v>0</v>
      </c>
      <c r="S490" s="2">
        <f t="shared" ca="1" si="14"/>
        <v>22</v>
      </c>
      <c r="T490" s="2">
        <f t="shared" ca="1" si="15"/>
        <v>164</v>
      </c>
      <c r="U490" s="71" t="str">
        <f>IFERROR(VLOOKUP(Table1[[#This Row],[No_]],'Customer Net Price'!A:F,5,FALSE),"0")</f>
        <v>0</v>
      </c>
      <c r="V490" s="71" t="str">
        <f>IFERROR(VLOOKUP(Table1[[#This Row],[No_]],'Customer Net Price'!A:G,6,FALSE),"0")</f>
        <v>0</v>
      </c>
    </row>
    <row r="491" spans="1:22" x14ac:dyDescent="0.25">
      <c r="A491" s="59" t="s">
        <v>1484</v>
      </c>
      <c r="B491" s="59" t="s">
        <v>1484</v>
      </c>
      <c r="C491" t="s">
        <v>1554</v>
      </c>
      <c r="D491" t="s">
        <v>1778</v>
      </c>
      <c r="E491" t="s">
        <v>546</v>
      </c>
      <c r="F491" t="s">
        <v>918</v>
      </c>
      <c r="G491" t="s">
        <v>923</v>
      </c>
      <c r="H491" s="1" t="s">
        <v>1591</v>
      </c>
      <c r="I491" t="s">
        <v>546</v>
      </c>
      <c r="J491" t="s">
        <v>546</v>
      </c>
      <c r="K491" s="2">
        <v>4</v>
      </c>
      <c r="L491" s="2">
        <v>30</v>
      </c>
      <c r="M491" s="2">
        <v>4.4000000000000004</v>
      </c>
      <c r="N491" s="2">
        <f ca="1">Table1[[#This Row],[2026 (EUR)]]*(1-INDIRECT(Table1[[#This Row],[Discount Name]]))</f>
        <v>4</v>
      </c>
      <c r="O491" s="2">
        <f ca="1">Table1[[#This Row],[2026 (DKK)]]*(1-INDIRECT(Table1[[#This Row],[Discount Name]]))</f>
        <v>30</v>
      </c>
      <c r="P491" s="2" cm="1">
        <f t="array" aca="1" ref="P491" ca="1">Table1[[#This Row],[2026 (USD)]]*(1-INDIRECT(Table1[[#This Row],[Discount Name]]))</f>
        <v>4.4000000000000004</v>
      </c>
      <c r="Q491" s="31">
        <f ca="1">INDIRECT(Table1[[#This Row],[Discount Name]])</f>
        <v>0</v>
      </c>
      <c r="S491" s="2">
        <f t="shared" ca="1" si="14"/>
        <v>4</v>
      </c>
      <c r="T491" s="2">
        <f t="shared" ca="1" si="15"/>
        <v>30</v>
      </c>
      <c r="U491" s="71" t="str">
        <f>IFERROR(VLOOKUP(Table1[[#This Row],[No_]],'Customer Net Price'!A:F,5,FALSE),"0")</f>
        <v>0</v>
      </c>
      <c r="V491" s="71" t="str">
        <f>IFERROR(VLOOKUP(Table1[[#This Row],[No_]],'Customer Net Price'!A:G,6,FALSE),"0")</f>
        <v>0</v>
      </c>
    </row>
    <row r="492" spans="1:22" x14ac:dyDescent="0.25">
      <c r="A492" s="59" t="s">
        <v>1485</v>
      </c>
      <c r="B492" s="59" t="s">
        <v>1485</v>
      </c>
      <c r="C492" t="s">
        <v>1526</v>
      </c>
      <c r="D492" t="s">
        <v>1778</v>
      </c>
      <c r="E492" t="s">
        <v>546</v>
      </c>
      <c r="F492" t="s">
        <v>918</v>
      </c>
      <c r="G492" t="s">
        <v>923</v>
      </c>
      <c r="H492" s="1" t="s">
        <v>1592</v>
      </c>
      <c r="I492" t="s">
        <v>546</v>
      </c>
      <c r="J492" t="s">
        <v>546</v>
      </c>
      <c r="K492" s="2">
        <v>16.100000000000001</v>
      </c>
      <c r="L492" s="2">
        <v>120</v>
      </c>
      <c r="M492" s="2">
        <v>17.8</v>
      </c>
      <c r="N492" s="2">
        <f ca="1">Table1[[#This Row],[2026 (EUR)]]*(1-INDIRECT(Table1[[#This Row],[Discount Name]]))</f>
        <v>16.100000000000001</v>
      </c>
      <c r="O492" s="2">
        <f ca="1">Table1[[#This Row],[2026 (DKK)]]*(1-INDIRECT(Table1[[#This Row],[Discount Name]]))</f>
        <v>120</v>
      </c>
      <c r="P492" s="2" cm="1">
        <f t="array" aca="1" ref="P492" ca="1">Table1[[#This Row],[2026 (USD)]]*(1-INDIRECT(Table1[[#This Row],[Discount Name]]))</f>
        <v>17.8</v>
      </c>
      <c r="Q492" s="31">
        <f ca="1">INDIRECT(Table1[[#This Row],[Discount Name]])</f>
        <v>0</v>
      </c>
      <c r="S492" s="2">
        <f t="shared" ca="1" si="14"/>
        <v>16.100000000000001</v>
      </c>
      <c r="T492" s="2">
        <f t="shared" ca="1" si="15"/>
        <v>120</v>
      </c>
      <c r="U492" s="71" t="str">
        <f>IFERROR(VLOOKUP(Table1[[#This Row],[No_]],'Customer Net Price'!A:F,5,FALSE),"0")</f>
        <v>0</v>
      </c>
      <c r="V492" s="71" t="str">
        <f>IFERROR(VLOOKUP(Table1[[#This Row],[No_]],'Customer Net Price'!A:G,6,FALSE),"0")</f>
        <v>0</v>
      </c>
    </row>
    <row r="493" spans="1:22" x14ac:dyDescent="0.25">
      <c r="A493" s="59" t="s">
        <v>1486</v>
      </c>
      <c r="B493" s="59" t="s">
        <v>1486</v>
      </c>
      <c r="C493" t="s">
        <v>1528</v>
      </c>
      <c r="D493" t="s">
        <v>1778</v>
      </c>
      <c r="E493" t="s">
        <v>546</v>
      </c>
      <c r="F493" t="s">
        <v>918</v>
      </c>
      <c r="G493" t="s">
        <v>923</v>
      </c>
      <c r="H493" s="1" t="s">
        <v>1593</v>
      </c>
      <c r="I493" t="s">
        <v>546</v>
      </c>
      <c r="J493" t="s">
        <v>546</v>
      </c>
      <c r="K493" s="2">
        <v>16.899999999999999</v>
      </c>
      <c r="L493" s="2">
        <v>126</v>
      </c>
      <c r="M493" s="2">
        <v>18.600000000000001</v>
      </c>
      <c r="N493" s="2">
        <f ca="1">Table1[[#This Row],[2026 (EUR)]]*(1-INDIRECT(Table1[[#This Row],[Discount Name]]))</f>
        <v>16.899999999999999</v>
      </c>
      <c r="O493" s="2">
        <f ca="1">Table1[[#This Row],[2026 (DKK)]]*(1-INDIRECT(Table1[[#This Row],[Discount Name]]))</f>
        <v>126</v>
      </c>
      <c r="P493" s="2" cm="1">
        <f t="array" aca="1" ref="P493" ca="1">Table1[[#This Row],[2026 (USD)]]*(1-INDIRECT(Table1[[#This Row],[Discount Name]]))</f>
        <v>18.600000000000001</v>
      </c>
      <c r="Q493" s="31">
        <f ca="1">INDIRECT(Table1[[#This Row],[Discount Name]])</f>
        <v>0</v>
      </c>
      <c r="S493" s="2">
        <f t="shared" ca="1" si="14"/>
        <v>16.899999999999999</v>
      </c>
      <c r="T493" s="2">
        <f t="shared" ca="1" si="15"/>
        <v>126</v>
      </c>
      <c r="U493" s="71" t="str">
        <f>IFERROR(VLOOKUP(Table1[[#This Row],[No_]],'Customer Net Price'!A:F,5,FALSE),"0")</f>
        <v>0</v>
      </c>
      <c r="V493" s="71" t="str">
        <f>IFERROR(VLOOKUP(Table1[[#This Row],[No_]],'Customer Net Price'!A:G,6,FALSE),"0")</f>
        <v>0</v>
      </c>
    </row>
    <row r="494" spans="1:22" x14ac:dyDescent="0.25">
      <c r="A494" s="59" t="s">
        <v>1487</v>
      </c>
      <c r="B494" s="59" t="s">
        <v>1487</v>
      </c>
      <c r="C494" t="s">
        <v>708</v>
      </c>
      <c r="D494" t="s">
        <v>1778</v>
      </c>
      <c r="E494" t="s">
        <v>546</v>
      </c>
      <c r="F494" t="s">
        <v>918</v>
      </c>
      <c r="G494" t="s">
        <v>923</v>
      </c>
      <c r="H494" s="1" t="s">
        <v>1594</v>
      </c>
      <c r="I494" t="s">
        <v>546</v>
      </c>
      <c r="J494" t="s">
        <v>546</v>
      </c>
      <c r="K494" s="2">
        <v>14</v>
      </c>
      <c r="L494" s="2">
        <v>104.5</v>
      </c>
      <c r="M494" s="2">
        <v>15.4</v>
      </c>
      <c r="N494" s="2">
        <f ca="1">Table1[[#This Row],[2026 (EUR)]]*(1-INDIRECT(Table1[[#This Row],[Discount Name]]))</f>
        <v>14</v>
      </c>
      <c r="O494" s="2">
        <f ca="1">Table1[[#This Row],[2026 (DKK)]]*(1-INDIRECT(Table1[[#This Row],[Discount Name]]))</f>
        <v>104.5</v>
      </c>
      <c r="P494" s="2" cm="1">
        <f t="array" aca="1" ref="P494" ca="1">Table1[[#This Row],[2026 (USD)]]*(1-INDIRECT(Table1[[#This Row],[Discount Name]]))</f>
        <v>15.4</v>
      </c>
      <c r="Q494" s="31">
        <f ca="1">INDIRECT(Table1[[#This Row],[Discount Name]])</f>
        <v>0</v>
      </c>
      <c r="S494" s="2">
        <f t="shared" ca="1" si="14"/>
        <v>14</v>
      </c>
      <c r="T494" s="2">
        <f t="shared" ca="1" si="15"/>
        <v>104.5</v>
      </c>
      <c r="U494" s="71" t="str">
        <f>IFERROR(VLOOKUP(Table1[[#This Row],[No_]],'Customer Net Price'!A:F,5,FALSE),"0")</f>
        <v>0</v>
      </c>
      <c r="V494" s="71" t="str">
        <f>IFERROR(VLOOKUP(Table1[[#This Row],[No_]],'Customer Net Price'!A:G,6,FALSE),"0")</f>
        <v>0</v>
      </c>
    </row>
    <row r="495" spans="1:22" x14ac:dyDescent="0.25">
      <c r="A495" s="59" t="s">
        <v>1488</v>
      </c>
      <c r="B495" s="59" t="s">
        <v>1488</v>
      </c>
      <c r="C495" t="s">
        <v>1539</v>
      </c>
      <c r="D495" t="s">
        <v>1778</v>
      </c>
      <c r="E495" t="s">
        <v>546</v>
      </c>
      <c r="F495" t="s">
        <v>918</v>
      </c>
      <c r="G495" t="s">
        <v>923</v>
      </c>
      <c r="H495" s="1" t="s">
        <v>1595</v>
      </c>
      <c r="I495" t="s">
        <v>546</v>
      </c>
      <c r="J495" t="s">
        <v>546</v>
      </c>
      <c r="K495" s="2">
        <v>14.4</v>
      </c>
      <c r="L495" s="2">
        <v>107.5</v>
      </c>
      <c r="M495" s="2">
        <v>15.9</v>
      </c>
      <c r="N495" s="2">
        <f ca="1">Table1[[#This Row],[2026 (EUR)]]*(1-INDIRECT(Table1[[#This Row],[Discount Name]]))</f>
        <v>14.4</v>
      </c>
      <c r="O495" s="2">
        <f ca="1">Table1[[#This Row],[2026 (DKK)]]*(1-INDIRECT(Table1[[#This Row],[Discount Name]]))</f>
        <v>107.5</v>
      </c>
      <c r="P495" s="2" cm="1">
        <f t="array" aca="1" ref="P495" ca="1">Table1[[#This Row],[2026 (USD)]]*(1-INDIRECT(Table1[[#This Row],[Discount Name]]))</f>
        <v>15.9</v>
      </c>
      <c r="Q495" s="31">
        <f ca="1">INDIRECT(Table1[[#This Row],[Discount Name]])</f>
        <v>0</v>
      </c>
      <c r="S495" s="2">
        <f t="shared" ca="1" si="14"/>
        <v>14.4</v>
      </c>
      <c r="T495" s="2">
        <f t="shared" ca="1" si="15"/>
        <v>107.5</v>
      </c>
      <c r="U495" s="71" t="str">
        <f>IFERROR(VLOOKUP(Table1[[#This Row],[No_]],'Customer Net Price'!A:F,5,FALSE),"0")</f>
        <v>0</v>
      </c>
      <c r="V495" s="71" t="str">
        <f>IFERROR(VLOOKUP(Table1[[#This Row],[No_]],'Customer Net Price'!A:G,6,FALSE),"0")</f>
        <v>0</v>
      </c>
    </row>
    <row r="496" spans="1:22" x14ac:dyDescent="0.25">
      <c r="A496" s="59" t="s">
        <v>1489</v>
      </c>
      <c r="B496" s="59" t="s">
        <v>1489</v>
      </c>
      <c r="C496" t="s">
        <v>1560</v>
      </c>
      <c r="D496" t="s">
        <v>1778</v>
      </c>
      <c r="E496" t="s">
        <v>546</v>
      </c>
      <c r="F496" t="s">
        <v>918</v>
      </c>
      <c r="G496" t="s">
        <v>923</v>
      </c>
      <c r="H496" s="1" t="s">
        <v>1596</v>
      </c>
      <c r="I496" t="s">
        <v>546</v>
      </c>
      <c r="J496" t="s">
        <v>546</v>
      </c>
      <c r="K496" s="2">
        <v>36</v>
      </c>
      <c r="L496" s="2">
        <v>268</v>
      </c>
      <c r="M496" s="2">
        <v>39.6</v>
      </c>
      <c r="N496" s="2">
        <f ca="1">Table1[[#This Row],[2026 (EUR)]]*(1-INDIRECT(Table1[[#This Row],[Discount Name]]))</f>
        <v>36</v>
      </c>
      <c r="O496" s="2">
        <f ca="1">Table1[[#This Row],[2026 (DKK)]]*(1-INDIRECT(Table1[[#This Row],[Discount Name]]))</f>
        <v>268</v>
      </c>
      <c r="P496" s="2" cm="1">
        <f t="array" aca="1" ref="P496" ca="1">Table1[[#This Row],[2026 (USD)]]*(1-INDIRECT(Table1[[#This Row],[Discount Name]]))</f>
        <v>39.6</v>
      </c>
      <c r="Q496" s="31">
        <f ca="1">INDIRECT(Table1[[#This Row],[Discount Name]])</f>
        <v>0</v>
      </c>
      <c r="S496" s="2">
        <f t="shared" ca="1" si="14"/>
        <v>36</v>
      </c>
      <c r="T496" s="2">
        <f t="shared" ca="1" si="15"/>
        <v>268</v>
      </c>
      <c r="U496" s="71" t="str">
        <f>IFERROR(VLOOKUP(Table1[[#This Row],[No_]],'Customer Net Price'!A:F,5,FALSE),"0")</f>
        <v>0</v>
      </c>
      <c r="V496" s="71" t="str">
        <f>IFERROR(VLOOKUP(Table1[[#This Row],[No_]],'Customer Net Price'!A:G,6,FALSE),"0")</f>
        <v>0</v>
      </c>
    </row>
    <row r="497" spans="1:22" x14ac:dyDescent="0.25">
      <c r="A497" s="59" t="s">
        <v>1490</v>
      </c>
      <c r="B497" s="59" t="s">
        <v>1490</v>
      </c>
      <c r="C497" t="s">
        <v>1546</v>
      </c>
      <c r="D497" t="s">
        <v>1778</v>
      </c>
      <c r="E497" t="s">
        <v>546</v>
      </c>
      <c r="F497" t="s">
        <v>918</v>
      </c>
      <c r="G497" t="s">
        <v>923</v>
      </c>
      <c r="H497" s="1" t="s">
        <v>1597</v>
      </c>
      <c r="I497" t="s">
        <v>546</v>
      </c>
      <c r="J497" t="s">
        <v>546</v>
      </c>
      <c r="K497" s="2">
        <v>13.5</v>
      </c>
      <c r="L497" s="2">
        <v>100.5</v>
      </c>
      <c r="M497" s="2">
        <v>14.9</v>
      </c>
      <c r="N497" s="2">
        <f ca="1">Table1[[#This Row],[2026 (EUR)]]*(1-INDIRECT(Table1[[#This Row],[Discount Name]]))</f>
        <v>13.5</v>
      </c>
      <c r="O497" s="2">
        <f ca="1">Table1[[#This Row],[2026 (DKK)]]*(1-INDIRECT(Table1[[#This Row],[Discount Name]]))</f>
        <v>100.5</v>
      </c>
      <c r="P497" s="2" cm="1">
        <f t="array" aca="1" ref="P497" ca="1">Table1[[#This Row],[2026 (USD)]]*(1-INDIRECT(Table1[[#This Row],[Discount Name]]))</f>
        <v>14.9</v>
      </c>
      <c r="Q497" s="31">
        <f ca="1">INDIRECT(Table1[[#This Row],[Discount Name]])</f>
        <v>0</v>
      </c>
      <c r="S497" s="2">
        <f t="shared" ca="1" si="14"/>
        <v>13.5</v>
      </c>
      <c r="T497" s="2">
        <f t="shared" ca="1" si="15"/>
        <v>100.5</v>
      </c>
      <c r="U497" s="71" t="str">
        <f>IFERROR(VLOOKUP(Table1[[#This Row],[No_]],'Customer Net Price'!A:F,5,FALSE),"0")</f>
        <v>0</v>
      </c>
      <c r="V497" s="71" t="str">
        <f>IFERROR(VLOOKUP(Table1[[#This Row],[No_]],'Customer Net Price'!A:G,6,FALSE),"0")</f>
        <v>0</v>
      </c>
    </row>
    <row r="498" spans="1:22" x14ac:dyDescent="0.25">
      <c r="A498" s="59" t="s">
        <v>1491</v>
      </c>
      <c r="B498" s="59" t="s">
        <v>1491</v>
      </c>
      <c r="C498" t="s">
        <v>1535</v>
      </c>
      <c r="D498" t="s">
        <v>1778</v>
      </c>
      <c r="E498" t="s">
        <v>546</v>
      </c>
      <c r="F498" t="s">
        <v>918</v>
      </c>
      <c r="G498" t="s">
        <v>923</v>
      </c>
      <c r="H498" s="1" t="s">
        <v>1598</v>
      </c>
      <c r="I498" t="s">
        <v>546</v>
      </c>
      <c r="J498" t="s">
        <v>546</v>
      </c>
      <c r="K498" s="2">
        <v>12.1</v>
      </c>
      <c r="L498" s="2">
        <v>90.5</v>
      </c>
      <c r="M498" s="2">
        <v>13.4</v>
      </c>
      <c r="N498" s="2">
        <f ca="1">Table1[[#This Row],[2026 (EUR)]]*(1-INDIRECT(Table1[[#This Row],[Discount Name]]))</f>
        <v>12.1</v>
      </c>
      <c r="O498" s="2">
        <f ca="1">Table1[[#This Row],[2026 (DKK)]]*(1-INDIRECT(Table1[[#This Row],[Discount Name]]))</f>
        <v>90.5</v>
      </c>
      <c r="P498" s="2" cm="1">
        <f t="array" aca="1" ref="P498" ca="1">Table1[[#This Row],[2026 (USD)]]*(1-INDIRECT(Table1[[#This Row],[Discount Name]]))</f>
        <v>13.4</v>
      </c>
      <c r="Q498" s="31">
        <f ca="1">INDIRECT(Table1[[#This Row],[Discount Name]])</f>
        <v>0</v>
      </c>
      <c r="S498" s="2">
        <f t="shared" ca="1" si="14"/>
        <v>12.1</v>
      </c>
      <c r="T498" s="2">
        <f t="shared" ca="1" si="15"/>
        <v>90.5</v>
      </c>
      <c r="U498" s="71" t="str">
        <f>IFERROR(VLOOKUP(Table1[[#This Row],[No_]],'Customer Net Price'!A:F,5,FALSE),"0")</f>
        <v>0</v>
      </c>
      <c r="V498" s="71" t="str">
        <f>IFERROR(VLOOKUP(Table1[[#This Row],[No_]],'Customer Net Price'!A:G,6,FALSE),"0")</f>
        <v>0</v>
      </c>
    </row>
    <row r="499" spans="1:22" x14ac:dyDescent="0.25">
      <c r="A499" s="59" t="s">
        <v>1492</v>
      </c>
      <c r="B499" s="59" t="s">
        <v>1492</v>
      </c>
      <c r="C499" t="s">
        <v>1600</v>
      </c>
      <c r="D499" t="s">
        <v>1778</v>
      </c>
      <c r="E499" t="s">
        <v>546</v>
      </c>
      <c r="F499" t="s">
        <v>918</v>
      </c>
      <c r="G499" t="s">
        <v>923</v>
      </c>
      <c r="H499" s="1" t="s">
        <v>1599</v>
      </c>
      <c r="I499" t="s">
        <v>546</v>
      </c>
      <c r="J499" t="s">
        <v>546</v>
      </c>
      <c r="K499" s="2">
        <v>4.2</v>
      </c>
      <c r="L499" s="2">
        <v>31.5</v>
      </c>
      <c r="M499" s="2">
        <v>4.7</v>
      </c>
      <c r="N499" s="2">
        <f ca="1">Table1[[#This Row],[2026 (EUR)]]*(1-INDIRECT(Table1[[#This Row],[Discount Name]]))</f>
        <v>4.2</v>
      </c>
      <c r="O499" s="2">
        <f ca="1">Table1[[#This Row],[2026 (DKK)]]*(1-INDIRECT(Table1[[#This Row],[Discount Name]]))</f>
        <v>31.5</v>
      </c>
      <c r="P499" s="2" cm="1">
        <f t="array" aca="1" ref="P499" ca="1">Table1[[#This Row],[2026 (USD)]]*(1-INDIRECT(Table1[[#This Row],[Discount Name]]))</f>
        <v>4.7</v>
      </c>
      <c r="Q499" s="31">
        <f ca="1">INDIRECT(Table1[[#This Row],[Discount Name]])</f>
        <v>0</v>
      </c>
      <c r="S499" s="2">
        <f t="shared" ca="1" si="14"/>
        <v>4.2</v>
      </c>
      <c r="T499" s="2">
        <f t="shared" ca="1" si="15"/>
        <v>31.5</v>
      </c>
      <c r="U499" s="71" t="str">
        <f>IFERROR(VLOOKUP(Table1[[#This Row],[No_]],'Customer Net Price'!A:F,5,FALSE),"0")</f>
        <v>0</v>
      </c>
      <c r="V499" s="71" t="str">
        <f>IFERROR(VLOOKUP(Table1[[#This Row],[No_]],'Customer Net Price'!A:G,6,FALSE),"0")</f>
        <v>0</v>
      </c>
    </row>
    <row r="500" spans="1:22" x14ac:dyDescent="0.25">
      <c r="A500" s="59" t="s">
        <v>1493</v>
      </c>
      <c r="B500" s="59" t="s">
        <v>1493</v>
      </c>
      <c r="C500" t="s">
        <v>1537</v>
      </c>
      <c r="D500" t="s">
        <v>1778</v>
      </c>
      <c r="E500" t="s">
        <v>546</v>
      </c>
      <c r="F500" t="s">
        <v>918</v>
      </c>
      <c r="G500" t="s">
        <v>923</v>
      </c>
      <c r="H500" s="1" t="s">
        <v>1601</v>
      </c>
      <c r="I500" t="s">
        <v>546</v>
      </c>
      <c r="J500" t="s">
        <v>546</v>
      </c>
      <c r="K500" s="2">
        <v>0.8</v>
      </c>
      <c r="L500" s="2">
        <v>6</v>
      </c>
      <c r="M500" s="2">
        <v>0.9</v>
      </c>
      <c r="N500" s="2">
        <f ca="1">Table1[[#This Row],[2026 (EUR)]]*(1-INDIRECT(Table1[[#This Row],[Discount Name]]))</f>
        <v>0.8</v>
      </c>
      <c r="O500" s="2">
        <f ca="1">Table1[[#This Row],[2026 (DKK)]]*(1-INDIRECT(Table1[[#This Row],[Discount Name]]))</f>
        <v>6</v>
      </c>
      <c r="P500" s="2" cm="1">
        <f t="array" aca="1" ref="P500" ca="1">Table1[[#This Row],[2026 (USD)]]*(1-INDIRECT(Table1[[#This Row],[Discount Name]]))</f>
        <v>0.9</v>
      </c>
      <c r="Q500" s="31">
        <f ca="1">INDIRECT(Table1[[#This Row],[Discount Name]])</f>
        <v>0</v>
      </c>
      <c r="S500" s="2">
        <f t="shared" ca="1" si="14"/>
        <v>0.8</v>
      </c>
      <c r="T500" s="2">
        <f t="shared" ca="1" si="15"/>
        <v>6</v>
      </c>
      <c r="U500" s="71" t="str">
        <f>IFERROR(VLOOKUP(Table1[[#This Row],[No_]],'Customer Net Price'!A:F,5,FALSE),"0")</f>
        <v>0</v>
      </c>
      <c r="V500" s="71" t="str">
        <f>IFERROR(VLOOKUP(Table1[[#This Row],[No_]],'Customer Net Price'!A:G,6,FALSE),"0")</f>
        <v>0</v>
      </c>
    </row>
    <row r="501" spans="1:22" x14ac:dyDescent="0.25">
      <c r="A501" s="59" t="s">
        <v>1494</v>
      </c>
      <c r="B501" s="59" t="s">
        <v>1494</v>
      </c>
      <c r="C501" t="s">
        <v>1531</v>
      </c>
      <c r="D501" t="s">
        <v>1778</v>
      </c>
      <c r="E501" t="s">
        <v>546</v>
      </c>
      <c r="F501" t="s">
        <v>918</v>
      </c>
      <c r="G501" t="s">
        <v>923</v>
      </c>
      <c r="H501" s="1" t="s">
        <v>1602</v>
      </c>
      <c r="I501" t="s">
        <v>546</v>
      </c>
      <c r="J501" t="s">
        <v>546</v>
      </c>
      <c r="K501" s="2">
        <v>11.4</v>
      </c>
      <c r="L501" s="2">
        <v>85</v>
      </c>
      <c r="M501" s="2">
        <v>12.600000000000001</v>
      </c>
      <c r="N501" s="2">
        <f ca="1">Table1[[#This Row],[2026 (EUR)]]*(1-INDIRECT(Table1[[#This Row],[Discount Name]]))</f>
        <v>11.4</v>
      </c>
      <c r="O501" s="2">
        <f ca="1">Table1[[#This Row],[2026 (DKK)]]*(1-INDIRECT(Table1[[#This Row],[Discount Name]]))</f>
        <v>85</v>
      </c>
      <c r="P501" s="2" cm="1">
        <f t="array" aca="1" ref="P501" ca="1">Table1[[#This Row],[2026 (USD)]]*(1-INDIRECT(Table1[[#This Row],[Discount Name]]))</f>
        <v>12.600000000000001</v>
      </c>
      <c r="Q501" s="31">
        <f ca="1">INDIRECT(Table1[[#This Row],[Discount Name]])</f>
        <v>0</v>
      </c>
      <c r="S501" s="2">
        <f t="shared" ca="1" si="14"/>
        <v>11.4</v>
      </c>
      <c r="T501" s="2">
        <f t="shared" ca="1" si="15"/>
        <v>85</v>
      </c>
      <c r="U501" s="71" t="str">
        <f>IFERROR(VLOOKUP(Table1[[#This Row],[No_]],'Customer Net Price'!A:F,5,FALSE),"0")</f>
        <v>0</v>
      </c>
      <c r="V501" s="71" t="str">
        <f>IFERROR(VLOOKUP(Table1[[#This Row],[No_]],'Customer Net Price'!A:G,6,FALSE),"0")</f>
        <v>0</v>
      </c>
    </row>
    <row r="502" spans="1:22" x14ac:dyDescent="0.25">
      <c r="A502" s="59" t="s">
        <v>1495</v>
      </c>
      <c r="B502" s="59" t="s">
        <v>1495</v>
      </c>
      <c r="C502" t="s">
        <v>1539</v>
      </c>
      <c r="D502" t="s">
        <v>1778</v>
      </c>
      <c r="E502" t="s">
        <v>546</v>
      </c>
      <c r="F502" t="s">
        <v>918</v>
      </c>
      <c r="G502" t="s">
        <v>923</v>
      </c>
      <c r="H502" s="1" t="s">
        <v>1603</v>
      </c>
      <c r="I502" t="s">
        <v>546</v>
      </c>
      <c r="J502" t="s">
        <v>546</v>
      </c>
      <c r="K502" s="2">
        <v>5.3</v>
      </c>
      <c r="L502" s="2">
        <v>39.5</v>
      </c>
      <c r="M502" s="2">
        <v>5.9</v>
      </c>
      <c r="N502" s="2">
        <f ca="1">Table1[[#This Row],[2026 (EUR)]]*(1-INDIRECT(Table1[[#This Row],[Discount Name]]))</f>
        <v>5.3</v>
      </c>
      <c r="O502" s="2">
        <f ca="1">Table1[[#This Row],[2026 (DKK)]]*(1-INDIRECT(Table1[[#This Row],[Discount Name]]))</f>
        <v>39.5</v>
      </c>
      <c r="P502" s="2" cm="1">
        <f t="array" aca="1" ref="P502" ca="1">Table1[[#This Row],[2026 (USD)]]*(1-INDIRECT(Table1[[#This Row],[Discount Name]]))</f>
        <v>5.9</v>
      </c>
      <c r="Q502" s="31">
        <f ca="1">INDIRECT(Table1[[#This Row],[Discount Name]])</f>
        <v>0</v>
      </c>
      <c r="S502" s="2">
        <f t="shared" ca="1" si="14"/>
        <v>5.3</v>
      </c>
      <c r="T502" s="2">
        <f t="shared" ca="1" si="15"/>
        <v>39.5</v>
      </c>
      <c r="U502" s="71" t="str">
        <f>IFERROR(VLOOKUP(Table1[[#This Row],[No_]],'Customer Net Price'!A:F,5,FALSE),"0")</f>
        <v>0</v>
      </c>
      <c r="V502" s="71" t="str">
        <f>IFERROR(VLOOKUP(Table1[[#This Row],[No_]],'Customer Net Price'!A:G,6,FALSE),"0")</f>
        <v>0</v>
      </c>
    </row>
    <row r="503" spans="1:22" x14ac:dyDescent="0.25">
      <c r="A503" s="59" t="s">
        <v>1496</v>
      </c>
      <c r="B503" s="59" t="s">
        <v>1496</v>
      </c>
      <c r="C503" t="s">
        <v>1533</v>
      </c>
      <c r="D503" t="s">
        <v>1778</v>
      </c>
      <c r="E503" t="s">
        <v>546</v>
      </c>
      <c r="F503" t="s">
        <v>918</v>
      </c>
      <c r="G503" t="s">
        <v>923</v>
      </c>
      <c r="H503" s="1" t="s">
        <v>1604</v>
      </c>
      <c r="I503" t="s">
        <v>546</v>
      </c>
      <c r="J503" t="s">
        <v>546</v>
      </c>
      <c r="K503" s="2">
        <v>5.9</v>
      </c>
      <c r="L503" s="2">
        <v>44</v>
      </c>
      <c r="M503" s="2">
        <v>6.5</v>
      </c>
      <c r="N503" s="2">
        <f ca="1">Table1[[#This Row],[2026 (EUR)]]*(1-INDIRECT(Table1[[#This Row],[Discount Name]]))</f>
        <v>5.9</v>
      </c>
      <c r="O503" s="2">
        <f ca="1">Table1[[#This Row],[2026 (DKK)]]*(1-INDIRECT(Table1[[#This Row],[Discount Name]]))</f>
        <v>44</v>
      </c>
      <c r="P503" s="2" cm="1">
        <f t="array" aca="1" ref="P503" ca="1">Table1[[#This Row],[2026 (USD)]]*(1-INDIRECT(Table1[[#This Row],[Discount Name]]))</f>
        <v>6.5</v>
      </c>
      <c r="Q503" s="31">
        <f ca="1">INDIRECT(Table1[[#This Row],[Discount Name]])</f>
        <v>0</v>
      </c>
      <c r="S503" s="2">
        <f t="shared" ca="1" si="14"/>
        <v>5.9</v>
      </c>
      <c r="T503" s="2">
        <f t="shared" ca="1" si="15"/>
        <v>44</v>
      </c>
      <c r="U503" s="71" t="str">
        <f>IFERROR(VLOOKUP(Table1[[#This Row],[No_]],'Customer Net Price'!A:F,5,FALSE),"0")</f>
        <v>0</v>
      </c>
      <c r="V503" s="71" t="str">
        <f>IFERROR(VLOOKUP(Table1[[#This Row],[No_]],'Customer Net Price'!A:G,6,FALSE),"0")</f>
        <v>0</v>
      </c>
    </row>
    <row r="504" spans="1:22" x14ac:dyDescent="0.25">
      <c r="A504" s="59" t="s">
        <v>1497</v>
      </c>
      <c r="B504" s="59" t="s">
        <v>1497</v>
      </c>
      <c r="C504" t="s">
        <v>1606</v>
      </c>
      <c r="D504" t="s">
        <v>1778</v>
      </c>
      <c r="E504" t="s">
        <v>546</v>
      </c>
      <c r="F504" t="s">
        <v>918</v>
      </c>
      <c r="G504" t="s">
        <v>923</v>
      </c>
      <c r="H504" s="1" t="s">
        <v>1605</v>
      </c>
      <c r="I504" t="s">
        <v>546</v>
      </c>
      <c r="J504" t="s">
        <v>546</v>
      </c>
      <c r="K504" s="2">
        <v>16.5</v>
      </c>
      <c r="L504" s="2">
        <v>123</v>
      </c>
      <c r="M504" s="2">
        <v>18.2</v>
      </c>
      <c r="N504" s="2">
        <f ca="1">Table1[[#This Row],[2026 (EUR)]]*(1-INDIRECT(Table1[[#This Row],[Discount Name]]))</f>
        <v>16.5</v>
      </c>
      <c r="O504" s="2">
        <f ca="1">Table1[[#This Row],[2026 (DKK)]]*(1-INDIRECT(Table1[[#This Row],[Discount Name]]))</f>
        <v>123</v>
      </c>
      <c r="P504" s="2" cm="1">
        <f t="array" aca="1" ref="P504" ca="1">Table1[[#This Row],[2026 (USD)]]*(1-INDIRECT(Table1[[#This Row],[Discount Name]]))</f>
        <v>18.2</v>
      </c>
      <c r="Q504" s="31">
        <f ca="1">INDIRECT(Table1[[#This Row],[Discount Name]])</f>
        <v>0</v>
      </c>
      <c r="S504" s="2">
        <f t="shared" ca="1" si="14"/>
        <v>16.5</v>
      </c>
      <c r="T504" s="2">
        <f t="shared" ca="1" si="15"/>
        <v>123</v>
      </c>
      <c r="U504" s="71" t="str">
        <f>IFERROR(VLOOKUP(Table1[[#This Row],[No_]],'Customer Net Price'!A:F,5,FALSE),"0")</f>
        <v>0</v>
      </c>
      <c r="V504" s="71" t="str">
        <f>IFERROR(VLOOKUP(Table1[[#This Row],[No_]],'Customer Net Price'!A:G,6,FALSE),"0")</f>
        <v>0</v>
      </c>
    </row>
    <row r="505" spans="1:22" x14ac:dyDescent="0.25">
      <c r="A505" s="59" t="s">
        <v>1498</v>
      </c>
      <c r="B505" s="59" t="s">
        <v>1498</v>
      </c>
      <c r="C505" t="s">
        <v>1608</v>
      </c>
      <c r="D505" t="s">
        <v>1778</v>
      </c>
      <c r="E505" t="s">
        <v>546</v>
      </c>
      <c r="F505" t="s">
        <v>918</v>
      </c>
      <c r="G505" t="s">
        <v>923</v>
      </c>
      <c r="H505" s="1" t="s">
        <v>1607</v>
      </c>
      <c r="I505" t="s">
        <v>546</v>
      </c>
      <c r="J505" t="s">
        <v>546</v>
      </c>
      <c r="K505" s="2">
        <v>17.399999999999999</v>
      </c>
      <c r="L505" s="2">
        <v>129.5</v>
      </c>
      <c r="M505" s="2">
        <v>19.200000000000003</v>
      </c>
      <c r="N505" s="2">
        <f ca="1">Table1[[#This Row],[2026 (EUR)]]*(1-INDIRECT(Table1[[#This Row],[Discount Name]]))</f>
        <v>17.399999999999999</v>
      </c>
      <c r="O505" s="2">
        <f ca="1">Table1[[#This Row],[2026 (DKK)]]*(1-INDIRECT(Table1[[#This Row],[Discount Name]]))</f>
        <v>129.5</v>
      </c>
      <c r="P505" s="2" cm="1">
        <f t="array" aca="1" ref="P505" ca="1">Table1[[#This Row],[2026 (USD)]]*(1-INDIRECT(Table1[[#This Row],[Discount Name]]))</f>
        <v>19.200000000000003</v>
      </c>
      <c r="Q505" s="31">
        <f ca="1">INDIRECT(Table1[[#This Row],[Discount Name]])</f>
        <v>0</v>
      </c>
      <c r="S505" s="2">
        <f t="shared" ca="1" si="14"/>
        <v>17.399999999999999</v>
      </c>
      <c r="T505" s="2">
        <f t="shared" ca="1" si="15"/>
        <v>129.5</v>
      </c>
      <c r="U505" s="71" t="str">
        <f>IFERROR(VLOOKUP(Table1[[#This Row],[No_]],'Customer Net Price'!A:F,5,FALSE),"0")</f>
        <v>0</v>
      </c>
      <c r="V505" s="71" t="str">
        <f>IFERROR(VLOOKUP(Table1[[#This Row],[No_]],'Customer Net Price'!A:G,6,FALSE),"0")</f>
        <v>0</v>
      </c>
    </row>
    <row r="506" spans="1:22" x14ac:dyDescent="0.25">
      <c r="A506" s="59" t="s">
        <v>1499</v>
      </c>
      <c r="B506" s="59" t="s">
        <v>1499</v>
      </c>
      <c r="C506" t="s">
        <v>1610</v>
      </c>
      <c r="D506" t="s">
        <v>1778</v>
      </c>
      <c r="E506" t="s">
        <v>546</v>
      </c>
      <c r="F506" t="s">
        <v>918</v>
      </c>
      <c r="G506" t="s">
        <v>923</v>
      </c>
      <c r="H506" s="1" t="s">
        <v>1609</v>
      </c>
      <c r="I506" t="s">
        <v>546</v>
      </c>
      <c r="J506" t="s">
        <v>546</v>
      </c>
      <c r="K506" s="2">
        <v>1.1000000000000001</v>
      </c>
      <c r="L506" s="2">
        <v>8.5</v>
      </c>
      <c r="M506" s="2">
        <v>1.3</v>
      </c>
      <c r="N506" s="2">
        <f ca="1">Table1[[#This Row],[2026 (EUR)]]*(1-INDIRECT(Table1[[#This Row],[Discount Name]]))</f>
        <v>1.1000000000000001</v>
      </c>
      <c r="O506" s="2">
        <f ca="1">Table1[[#This Row],[2026 (DKK)]]*(1-INDIRECT(Table1[[#This Row],[Discount Name]]))</f>
        <v>8.5</v>
      </c>
      <c r="P506" s="2" cm="1">
        <f t="array" aca="1" ref="P506" ca="1">Table1[[#This Row],[2026 (USD)]]*(1-INDIRECT(Table1[[#This Row],[Discount Name]]))</f>
        <v>1.3</v>
      </c>
      <c r="Q506" s="31">
        <f ca="1">INDIRECT(Table1[[#This Row],[Discount Name]])</f>
        <v>0</v>
      </c>
      <c r="S506" s="2">
        <f t="shared" ca="1" si="14"/>
        <v>1.1000000000000001</v>
      </c>
      <c r="T506" s="2">
        <f t="shared" ca="1" si="15"/>
        <v>8.5</v>
      </c>
      <c r="U506" s="71" t="str">
        <f>IFERROR(VLOOKUP(Table1[[#This Row],[No_]],'Customer Net Price'!A:F,5,FALSE),"0")</f>
        <v>0</v>
      </c>
      <c r="V506" s="71" t="str">
        <f>IFERROR(VLOOKUP(Table1[[#This Row],[No_]],'Customer Net Price'!A:G,6,FALSE),"0")</f>
        <v>0</v>
      </c>
    </row>
    <row r="507" spans="1:22" x14ac:dyDescent="0.25">
      <c r="A507" s="59" t="s">
        <v>1500</v>
      </c>
      <c r="B507" s="59" t="s">
        <v>1500</v>
      </c>
      <c r="C507" t="s">
        <v>1612</v>
      </c>
      <c r="D507" t="s">
        <v>1778</v>
      </c>
      <c r="E507" t="s">
        <v>546</v>
      </c>
      <c r="F507" t="s">
        <v>918</v>
      </c>
      <c r="G507" t="s">
        <v>923</v>
      </c>
      <c r="H507" s="1" t="s">
        <v>1611</v>
      </c>
      <c r="I507" t="s">
        <v>546</v>
      </c>
      <c r="J507" t="s">
        <v>546</v>
      </c>
      <c r="K507" s="2">
        <v>6.8</v>
      </c>
      <c r="L507" s="2">
        <v>51</v>
      </c>
      <c r="M507" s="2">
        <v>7.5</v>
      </c>
      <c r="N507" s="2">
        <f ca="1">Table1[[#This Row],[2026 (EUR)]]*(1-INDIRECT(Table1[[#This Row],[Discount Name]]))</f>
        <v>6.8</v>
      </c>
      <c r="O507" s="2">
        <f ca="1">Table1[[#This Row],[2026 (DKK)]]*(1-INDIRECT(Table1[[#This Row],[Discount Name]]))</f>
        <v>51</v>
      </c>
      <c r="P507" s="2" cm="1">
        <f t="array" aca="1" ref="P507" ca="1">Table1[[#This Row],[2026 (USD)]]*(1-INDIRECT(Table1[[#This Row],[Discount Name]]))</f>
        <v>7.5</v>
      </c>
      <c r="Q507" s="31">
        <f ca="1">INDIRECT(Table1[[#This Row],[Discount Name]])</f>
        <v>0</v>
      </c>
      <c r="S507" s="2">
        <f t="shared" ca="1" si="14"/>
        <v>6.8</v>
      </c>
      <c r="T507" s="2">
        <f t="shared" ca="1" si="15"/>
        <v>51</v>
      </c>
      <c r="U507" s="71" t="str">
        <f>IFERROR(VLOOKUP(Table1[[#This Row],[No_]],'Customer Net Price'!A:F,5,FALSE),"0")</f>
        <v>0</v>
      </c>
      <c r="V507" s="71" t="str">
        <f>IFERROR(VLOOKUP(Table1[[#This Row],[No_]],'Customer Net Price'!A:G,6,FALSE),"0")</f>
        <v>0</v>
      </c>
    </row>
    <row r="508" spans="1:22" x14ac:dyDescent="0.25">
      <c r="A508" s="59" t="s">
        <v>1501</v>
      </c>
      <c r="B508" s="59" t="s">
        <v>1501</v>
      </c>
      <c r="C508" t="s">
        <v>1533</v>
      </c>
      <c r="D508" t="s">
        <v>1778</v>
      </c>
      <c r="E508" t="s">
        <v>546</v>
      </c>
      <c r="F508" t="s">
        <v>918</v>
      </c>
      <c r="G508" t="s">
        <v>923</v>
      </c>
      <c r="H508" s="1" t="s">
        <v>1613</v>
      </c>
      <c r="I508" t="s">
        <v>546</v>
      </c>
      <c r="J508" t="s">
        <v>546</v>
      </c>
      <c r="K508" s="2">
        <v>7.8</v>
      </c>
      <c r="L508" s="2">
        <v>58.5</v>
      </c>
      <c r="M508" s="2">
        <v>8.6</v>
      </c>
      <c r="N508" s="2">
        <f ca="1">Table1[[#This Row],[2026 (EUR)]]*(1-INDIRECT(Table1[[#This Row],[Discount Name]]))</f>
        <v>7.8</v>
      </c>
      <c r="O508" s="2">
        <f ca="1">Table1[[#This Row],[2026 (DKK)]]*(1-INDIRECT(Table1[[#This Row],[Discount Name]]))</f>
        <v>58.5</v>
      </c>
      <c r="P508" s="2" cm="1">
        <f t="array" aca="1" ref="P508" ca="1">Table1[[#This Row],[2026 (USD)]]*(1-INDIRECT(Table1[[#This Row],[Discount Name]]))</f>
        <v>8.6</v>
      </c>
      <c r="Q508" s="31">
        <f ca="1">INDIRECT(Table1[[#This Row],[Discount Name]])</f>
        <v>0</v>
      </c>
      <c r="S508" s="2">
        <f t="shared" ca="1" si="14"/>
        <v>7.8</v>
      </c>
      <c r="T508" s="2">
        <f t="shared" ca="1" si="15"/>
        <v>58.5</v>
      </c>
      <c r="U508" s="71" t="str">
        <f>IFERROR(VLOOKUP(Table1[[#This Row],[No_]],'Customer Net Price'!A:F,5,FALSE),"0")</f>
        <v>0</v>
      </c>
      <c r="V508" s="71" t="str">
        <f>IFERROR(VLOOKUP(Table1[[#This Row],[No_]],'Customer Net Price'!A:G,6,FALSE),"0")</f>
        <v>0</v>
      </c>
    </row>
    <row r="509" spans="1:22" x14ac:dyDescent="0.25">
      <c r="A509" s="59" t="s">
        <v>1502</v>
      </c>
      <c r="B509" s="59" t="s">
        <v>1502</v>
      </c>
      <c r="C509" t="s">
        <v>1537</v>
      </c>
      <c r="D509" t="s">
        <v>1778</v>
      </c>
      <c r="E509" t="s">
        <v>546</v>
      </c>
      <c r="F509" t="s">
        <v>918</v>
      </c>
      <c r="G509" t="s">
        <v>923</v>
      </c>
      <c r="H509" s="1" t="s">
        <v>1614</v>
      </c>
      <c r="I509" t="s">
        <v>546</v>
      </c>
      <c r="J509" t="s">
        <v>546</v>
      </c>
      <c r="K509" s="2">
        <v>0.8</v>
      </c>
      <c r="L509" s="2">
        <v>6</v>
      </c>
      <c r="M509" s="2">
        <v>0.9</v>
      </c>
      <c r="N509" s="2">
        <f ca="1">Table1[[#This Row],[2026 (EUR)]]*(1-INDIRECT(Table1[[#This Row],[Discount Name]]))</f>
        <v>0.8</v>
      </c>
      <c r="O509" s="2">
        <f ca="1">Table1[[#This Row],[2026 (DKK)]]*(1-INDIRECT(Table1[[#This Row],[Discount Name]]))</f>
        <v>6</v>
      </c>
      <c r="P509" s="2" cm="1">
        <f t="array" aca="1" ref="P509" ca="1">Table1[[#This Row],[2026 (USD)]]*(1-INDIRECT(Table1[[#This Row],[Discount Name]]))</f>
        <v>0.9</v>
      </c>
      <c r="Q509" s="31">
        <f ca="1">INDIRECT(Table1[[#This Row],[Discount Name]])</f>
        <v>0</v>
      </c>
      <c r="S509" s="2">
        <f t="shared" ca="1" si="14"/>
        <v>0.8</v>
      </c>
      <c r="T509" s="2">
        <f t="shared" ca="1" si="15"/>
        <v>6</v>
      </c>
      <c r="U509" s="71" t="str">
        <f>IFERROR(VLOOKUP(Table1[[#This Row],[No_]],'Customer Net Price'!A:F,5,FALSE),"0")</f>
        <v>0</v>
      </c>
      <c r="V509" s="71" t="str">
        <f>IFERROR(VLOOKUP(Table1[[#This Row],[No_]],'Customer Net Price'!A:G,6,FALSE),"0")</f>
        <v>0</v>
      </c>
    </row>
    <row r="510" spans="1:22" x14ac:dyDescent="0.25">
      <c r="A510" s="59" t="s">
        <v>1503</v>
      </c>
      <c r="B510" s="59" t="s">
        <v>1503</v>
      </c>
      <c r="C510" t="s">
        <v>1606</v>
      </c>
      <c r="D510" t="s">
        <v>1778</v>
      </c>
      <c r="E510" t="s">
        <v>546</v>
      </c>
      <c r="F510" t="s">
        <v>918</v>
      </c>
      <c r="G510" t="s">
        <v>923</v>
      </c>
      <c r="H510" s="1" t="s">
        <v>1615</v>
      </c>
      <c r="I510" t="s">
        <v>546</v>
      </c>
      <c r="J510" t="s">
        <v>546</v>
      </c>
      <c r="K510" s="2">
        <v>8.5</v>
      </c>
      <c r="L510" s="2">
        <v>63.5</v>
      </c>
      <c r="M510" s="2">
        <v>9.4</v>
      </c>
      <c r="N510" s="2">
        <f ca="1">Table1[[#This Row],[2026 (EUR)]]*(1-INDIRECT(Table1[[#This Row],[Discount Name]]))</f>
        <v>8.5</v>
      </c>
      <c r="O510" s="2">
        <f ca="1">Table1[[#This Row],[2026 (DKK)]]*(1-INDIRECT(Table1[[#This Row],[Discount Name]]))</f>
        <v>63.5</v>
      </c>
      <c r="P510" s="2" cm="1">
        <f t="array" aca="1" ref="P510" ca="1">Table1[[#This Row],[2026 (USD)]]*(1-INDIRECT(Table1[[#This Row],[Discount Name]]))</f>
        <v>9.4</v>
      </c>
      <c r="Q510" s="31">
        <f ca="1">INDIRECT(Table1[[#This Row],[Discount Name]])</f>
        <v>0</v>
      </c>
      <c r="S510" s="2">
        <f t="shared" ca="1" si="14"/>
        <v>8.5</v>
      </c>
      <c r="T510" s="2">
        <f t="shared" ca="1" si="15"/>
        <v>63.5</v>
      </c>
      <c r="U510" s="71" t="str">
        <f>IFERROR(VLOOKUP(Table1[[#This Row],[No_]],'Customer Net Price'!A:F,5,FALSE),"0")</f>
        <v>0</v>
      </c>
      <c r="V510" s="71" t="str">
        <f>IFERROR(VLOOKUP(Table1[[#This Row],[No_]],'Customer Net Price'!A:G,6,FALSE),"0")</f>
        <v>0</v>
      </c>
    </row>
    <row r="511" spans="1:22" x14ac:dyDescent="0.25">
      <c r="A511" s="59" t="s">
        <v>1504</v>
      </c>
      <c r="B511" s="59" t="s">
        <v>1504</v>
      </c>
      <c r="C511" t="s">
        <v>175</v>
      </c>
      <c r="D511" t="s">
        <v>1778</v>
      </c>
      <c r="E511" t="s">
        <v>546</v>
      </c>
      <c r="F511" t="s">
        <v>918</v>
      </c>
      <c r="G511" t="s">
        <v>923</v>
      </c>
      <c r="H511" s="1" t="s">
        <v>1616</v>
      </c>
      <c r="I511" t="s">
        <v>546</v>
      </c>
      <c r="J511" t="s">
        <v>546</v>
      </c>
      <c r="K511" s="2">
        <v>0.8</v>
      </c>
      <c r="L511" s="2">
        <v>6</v>
      </c>
      <c r="M511" s="2">
        <v>0.9</v>
      </c>
      <c r="N511" s="2">
        <f ca="1">Table1[[#This Row],[2026 (EUR)]]*(1-INDIRECT(Table1[[#This Row],[Discount Name]]))</f>
        <v>0.8</v>
      </c>
      <c r="O511" s="2">
        <f ca="1">Table1[[#This Row],[2026 (DKK)]]*(1-INDIRECT(Table1[[#This Row],[Discount Name]]))</f>
        <v>6</v>
      </c>
      <c r="P511" s="2" cm="1">
        <f t="array" aca="1" ref="P511" ca="1">Table1[[#This Row],[2026 (USD)]]*(1-INDIRECT(Table1[[#This Row],[Discount Name]]))</f>
        <v>0.9</v>
      </c>
      <c r="Q511" s="31">
        <f ca="1">INDIRECT(Table1[[#This Row],[Discount Name]])</f>
        <v>0</v>
      </c>
      <c r="S511" s="2">
        <f t="shared" ca="1" si="14"/>
        <v>0.8</v>
      </c>
      <c r="T511" s="2">
        <f t="shared" ca="1" si="15"/>
        <v>6</v>
      </c>
      <c r="U511" s="71" t="str">
        <f>IFERROR(VLOOKUP(Table1[[#This Row],[No_]],'Customer Net Price'!A:F,5,FALSE),"0")</f>
        <v>0</v>
      </c>
      <c r="V511" s="71" t="str">
        <f>IFERROR(VLOOKUP(Table1[[#This Row],[No_]],'Customer Net Price'!A:G,6,FALSE),"0")</f>
        <v>0</v>
      </c>
    </row>
    <row r="512" spans="1:22" x14ac:dyDescent="0.25">
      <c r="A512" s="59" t="s">
        <v>1505</v>
      </c>
      <c r="B512" s="59" t="s">
        <v>1505</v>
      </c>
      <c r="C512" t="s">
        <v>1608</v>
      </c>
      <c r="D512" t="s">
        <v>1778</v>
      </c>
      <c r="E512" t="s">
        <v>546</v>
      </c>
      <c r="F512" t="s">
        <v>918</v>
      </c>
      <c r="G512" t="s">
        <v>923</v>
      </c>
      <c r="H512" s="1" t="s">
        <v>1617</v>
      </c>
      <c r="I512" t="s">
        <v>546</v>
      </c>
      <c r="J512" t="s">
        <v>546</v>
      </c>
      <c r="K512" s="2">
        <v>11.9</v>
      </c>
      <c r="L512" s="2">
        <v>89</v>
      </c>
      <c r="M512" s="2">
        <v>13.100000000000001</v>
      </c>
      <c r="N512" s="2">
        <f ca="1">Table1[[#This Row],[2026 (EUR)]]*(1-INDIRECT(Table1[[#This Row],[Discount Name]]))</f>
        <v>11.9</v>
      </c>
      <c r="O512" s="2">
        <f ca="1">Table1[[#This Row],[2026 (DKK)]]*(1-INDIRECT(Table1[[#This Row],[Discount Name]]))</f>
        <v>89</v>
      </c>
      <c r="P512" s="2" cm="1">
        <f t="array" aca="1" ref="P512" ca="1">Table1[[#This Row],[2026 (USD)]]*(1-INDIRECT(Table1[[#This Row],[Discount Name]]))</f>
        <v>13.100000000000001</v>
      </c>
      <c r="Q512" s="31">
        <f ca="1">INDIRECT(Table1[[#This Row],[Discount Name]])</f>
        <v>0</v>
      </c>
      <c r="S512" s="2">
        <f t="shared" ref="S512:S575" ca="1" si="16">IF(MAX(U512:U512)=0,+N512,MAX(U512:U512))</f>
        <v>11.9</v>
      </c>
      <c r="T512" s="2">
        <f t="shared" ref="T512:T575" ca="1" si="17">IF(MAX(V512:V512)=0,+O512,MAX(V512:V512))</f>
        <v>89</v>
      </c>
      <c r="U512" s="71" t="str">
        <f>IFERROR(VLOOKUP(Table1[[#This Row],[No_]],'Customer Net Price'!A:F,5,FALSE),"0")</f>
        <v>0</v>
      </c>
      <c r="V512" s="71" t="str">
        <f>IFERROR(VLOOKUP(Table1[[#This Row],[No_]],'Customer Net Price'!A:G,6,FALSE),"0")</f>
        <v>0</v>
      </c>
    </row>
    <row r="513" spans="1:22" x14ac:dyDescent="0.25">
      <c r="A513" s="59" t="s">
        <v>1506</v>
      </c>
      <c r="B513" s="59" t="s">
        <v>1506</v>
      </c>
      <c r="C513" t="s">
        <v>1533</v>
      </c>
      <c r="D513" t="s">
        <v>1778</v>
      </c>
      <c r="E513" t="s">
        <v>546</v>
      </c>
      <c r="F513" t="s">
        <v>918</v>
      </c>
      <c r="G513" t="s">
        <v>923</v>
      </c>
      <c r="H513" s="1" t="s">
        <v>1618</v>
      </c>
      <c r="I513" t="s">
        <v>546</v>
      </c>
      <c r="J513" t="s">
        <v>546</v>
      </c>
      <c r="K513" s="2">
        <v>6.1</v>
      </c>
      <c r="L513" s="2">
        <v>45.5</v>
      </c>
      <c r="M513" s="2">
        <v>6.8000000000000007</v>
      </c>
      <c r="N513" s="2">
        <f ca="1">Table1[[#This Row],[2026 (EUR)]]*(1-INDIRECT(Table1[[#This Row],[Discount Name]]))</f>
        <v>6.1</v>
      </c>
      <c r="O513" s="2">
        <f ca="1">Table1[[#This Row],[2026 (DKK)]]*(1-INDIRECT(Table1[[#This Row],[Discount Name]]))</f>
        <v>45.5</v>
      </c>
      <c r="P513" s="2" cm="1">
        <f t="array" aca="1" ref="P513" ca="1">Table1[[#This Row],[2026 (USD)]]*(1-INDIRECT(Table1[[#This Row],[Discount Name]]))</f>
        <v>6.8000000000000007</v>
      </c>
      <c r="Q513" s="31">
        <f ca="1">INDIRECT(Table1[[#This Row],[Discount Name]])</f>
        <v>0</v>
      </c>
      <c r="S513" s="2">
        <f t="shared" ca="1" si="16"/>
        <v>6.1</v>
      </c>
      <c r="T513" s="2">
        <f t="shared" ca="1" si="17"/>
        <v>45.5</v>
      </c>
      <c r="U513" s="71" t="str">
        <f>IFERROR(VLOOKUP(Table1[[#This Row],[No_]],'Customer Net Price'!A:F,5,FALSE),"0")</f>
        <v>0</v>
      </c>
      <c r="V513" s="71" t="str">
        <f>IFERROR(VLOOKUP(Table1[[#This Row],[No_]],'Customer Net Price'!A:G,6,FALSE),"0")</f>
        <v>0</v>
      </c>
    </row>
    <row r="514" spans="1:22" x14ac:dyDescent="0.25">
      <c r="A514" s="59" t="s">
        <v>1507</v>
      </c>
      <c r="B514" s="59" t="s">
        <v>1507</v>
      </c>
      <c r="C514" t="s">
        <v>1620</v>
      </c>
      <c r="D514" t="s">
        <v>1778</v>
      </c>
      <c r="E514" t="s">
        <v>546</v>
      </c>
      <c r="F514" t="s">
        <v>918</v>
      </c>
      <c r="G514" t="s">
        <v>923</v>
      </c>
      <c r="H514" s="1" t="s">
        <v>1619</v>
      </c>
      <c r="I514" t="s">
        <v>546</v>
      </c>
      <c r="J514" t="s">
        <v>546</v>
      </c>
      <c r="K514" s="2">
        <v>1.7</v>
      </c>
      <c r="L514" s="2">
        <v>13</v>
      </c>
      <c r="M514" s="2">
        <v>1.9000000000000001</v>
      </c>
      <c r="N514" s="2">
        <f ca="1">Table1[[#This Row],[2026 (EUR)]]*(1-INDIRECT(Table1[[#This Row],[Discount Name]]))</f>
        <v>1.7</v>
      </c>
      <c r="O514" s="2">
        <f ca="1">Table1[[#This Row],[2026 (DKK)]]*(1-INDIRECT(Table1[[#This Row],[Discount Name]]))</f>
        <v>13</v>
      </c>
      <c r="P514" s="2" cm="1">
        <f t="array" aca="1" ref="P514" ca="1">Table1[[#This Row],[2026 (USD)]]*(1-INDIRECT(Table1[[#This Row],[Discount Name]]))</f>
        <v>1.9000000000000001</v>
      </c>
      <c r="Q514" s="31">
        <f ca="1">INDIRECT(Table1[[#This Row],[Discount Name]])</f>
        <v>0</v>
      </c>
      <c r="S514" s="2">
        <f t="shared" ca="1" si="16"/>
        <v>1.7</v>
      </c>
      <c r="T514" s="2">
        <f t="shared" ca="1" si="17"/>
        <v>13</v>
      </c>
      <c r="U514" s="71" t="str">
        <f>IFERROR(VLOOKUP(Table1[[#This Row],[No_]],'Customer Net Price'!A:F,5,FALSE),"0")</f>
        <v>0</v>
      </c>
      <c r="V514" s="71" t="str">
        <f>IFERROR(VLOOKUP(Table1[[#This Row],[No_]],'Customer Net Price'!A:G,6,FALSE),"0")</f>
        <v>0</v>
      </c>
    </row>
    <row r="515" spans="1:22" x14ac:dyDescent="0.25">
      <c r="A515" s="59" t="s">
        <v>1508</v>
      </c>
      <c r="B515" s="59" t="s">
        <v>1508</v>
      </c>
      <c r="C515" t="s">
        <v>1622</v>
      </c>
      <c r="D515" t="s">
        <v>1778</v>
      </c>
      <c r="E515" t="s">
        <v>546</v>
      </c>
      <c r="F515" t="s">
        <v>918</v>
      </c>
      <c r="G515" t="s">
        <v>923</v>
      </c>
      <c r="H515" s="1" t="s">
        <v>1621</v>
      </c>
      <c r="I515" t="s">
        <v>546</v>
      </c>
      <c r="J515" t="s">
        <v>546</v>
      </c>
      <c r="K515" s="2">
        <v>0.5</v>
      </c>
      <c r="L515" s="2">
        <v>4</v>
      </c>
      <c r="M515" s="2">
        <v>0.60000000000000009</v>
      </c>
      <c r="N515" s="2">
        <f ca="1">Table1[[#This Row],[2026 (EUR)]]*(1-INDIRECT(Table1[[#This Row],[Discount Name]]))</f>
        <v>0.5</v>
      </c>
      <c r="O515" s="2">
        <f ca="1">Table1[[#This Row],[2026 (DKK)]]*(1-INDIRECT(Table1[[#This Row],[Discount Name]]))</f>
        <v>4</v>
      </c>
      <c r="P515" s="2" cm="1">
        <f t="array" aca="1" ref="P515" ca="1">Table1[[#This Row],[2026 (USD)]]*(1-INDIRECT(Table1[[#This Row],[Discount Name]]))</f>
        <v>0.60000000000000009</v>
      </c>
      <c r="Q515" s="31">
        <f ca="1">INDIRECT(Table1[[#This Row],[Discount Name]])</f>
        <v>0</v>
      </c>
      <c r="S515" s="2">
        <f t="shared" ca="1" si="16"/>
        <v>0.5</v>
      </c>
      <c r="T515" s="2">
        <f t="shared" ca="1" si="17"/>
        <v>4</v>
      </c>
      <c r="U515" s="71" t="str">
        <f>IFERROR(VLOOKUP(Table1[[#This Row],[No_]],'Customer Net Price'!A:F,5,FALSE),"0")</f>
        <v>0</v>
      </c>
      <c r="V515" s="71" t="str">
        <f>IFERROR(VLOOKUP(Table1[[#This Row],[No_]],'Customer Net Price'!A:G,6,FALSE),"0")</f>
        <v>0</v>
      </c>
    </row>
    <row r="516" spans="1:22" x14ac:dyDescent="0.25">
      <c r="A516" s="59" t="s">
        <v>1509</v>
      </c>
      <c r="B516" s="59" t="s">
        <v>1509</v>
      </c>
      <c r="C516" t="s">
        <v>1531</v>
      </c>
      <c r="D516" t="s">
        <v>1778</v>
      </c>
      <c r="E516" t="s">
        <v>546</v>
      </c>
      <c r="F516" t="s">
        <v>918</v>
      </c>
      <c r="G516" t="s">
        <v>923</v>
      </c>
      <c r="H516" s="1" t="s">
        <v>1623</v>
      </c>
      <c r="I516" t="s">
        <v>546</v>
      </c>
      <c r="J516" t="s">
        <v>546</v>
      </c>
      <c r="K516" s="2">
        <v>10.4</v>
      </c>
      <c r="L516" s="2">
        <v>77.5</v>
      </c>
      <c r="M516" s="2">
        <v>11.5</v>
      </c>
      <c r="N516" s="2">
        <f ca="1">Table1[[#This Row],[2026 (EUR)]]*(1-INDIRECT(Table1[[#This Row],[Discount Name]]))</f>
        <v>10.4</v>
      </c>
      <c r="O516" s="2">
        <f ca="1">Table1[[#This Row],[2026 (DKK)]]*(1-INDIRECT(Table1[[#This Row],[Discount Name]]))</f>
        <v>77.5</v>
      </c>
      <c r="P516" s="2" cm="1">
        <f t="array" aca="1" ref="P516" ca="1">Table1[[#This Row],[2026 (USD)]]*(1-INDIRECT(Table1[[#This Row],[Discount Name]]))</f>
        <v>11.5</v>
      </c>
      <c r="Q516" s="31">
        <f ca="1">INDIRECT(Table1[[#This Row],[Discount Name]])</f>
        <v>0</v>
      </c>
      <c r="S516" s="2">
        <f t="shared" ca="1" si="16"/>
        <v>10.4</v>
      </c>
      <c r="T516" s="2">
        <f t="shared" ca="1" si="17"/>
        <v>77.5</v>
      </c>
      <c r="U516" s="71" t="str">
        <f>IFERROR(VLOOKUP(Table1[[#This Row],[No_]],'Customer Net Price'!A:F,5,FALSE),"0")</f>
        <v>0</v>
      </c>
      <c r="V516" s="71" t="str">
        <f>IFERROR(VLOOKUP(Table1[[#This Row],[No_]],'Customer Net Price'!A:G,6,FALSE),"0")</f>
        <v>0</v>
      </c>
    </row>
    <row r="517" spans="1:22" x14ac:dyDescent="0.25">
      <c r="A517" s="59" t="s">
        <v>1510</v>
      </c>
      <c r="B517" s="59" t="s">
        <v>1510</v>
      </c>
      <c r="C517" t="s">
        <v>1533</v>
      </c>
      <c r="D517" t="s">
        <v>1778</v>
      </c>
      <c r="E517" t="s">
        <v>546</v>
      </c>
      <c r="F517" t="s">
        <v>918</v>
      </c>
      <c r="G517" t="s">
        <v>923</v>
      </c>
      <c r="H517" s="1" t="s">
        <v>1624</v>
      </c>
      <c r="I517" t="s">
        <v>546</v>
      </c>
      <c r="J517" t="s">
        <v>546</v>
      </c>
      <c r="K517" s="2">
        <v>5.9</v>
      </c>
      <c r="L517" s="2">
        <v>44</v>
      </c>
      <c r="M517" s="2">
        <v>6.5</v>
      </c>
      <c r="N517" s="2">
        <f ca="1">Table1[[#This Row],[2026 (EUR)]]*(1-INDIRECT(Table1[[#This Row],[Discount Name]]))</f>
        <v>5.9</v>
      </c>
      <c r="O517" s="2">
        <f ca="1">Table1[[#This Row],[2026 (DKK)]]*(1-INDIRECT(Table1[[#This Row],[Discount Name]]))</f>
        <v>44</v>
      </c>
      <c r="P517" s="2" cm="1">
        <f t="array" aca="1" ref="P517" ca="1">Table1[[#This Row],[2026 (USD)]]*(1-INDIRECT(Table1[[#This Row],[Discount Name]]))</f>
        <v>6.5</v>
      </c>
      <c r="Q517" s="31">
        <f ca="1">INDIRECT(Table1[[#This Row],[Discount Name]])</f>
        <v>0</v>
      </c>
      <c r="S517" s="2">
        <f t="shared" ca="1" si="16"/>
        <v>5.9</v>
      </c>
      <c r="T517" s="2">
        <f t="shared" ca="1" si="17"/>
        <v>44</v>
      </c>
      <c r="U517" s="71" t="str">
        <f>IFERROR(VLOOKUP(Table1[[#This Row],[No_]],'Customer Net Price'!A:F,5,FALSE),"0")</f>
        <v>0</v>
      </c>
      <c r="V517" s="71" t="str">
        <f>IFERROR(VLOOKUP(Table1[[#This Row],[No_]],'Customer Net Price'!A:G,6,FALSE),"0")</f>
        <v>0</v>
      </c>
    </row>
    <row r="518" spans="1:22" x14ac:dyDescent="0.25">
      <c r="A518" s="59" t="s">
        <v>1511</v>
      </c>
      <c r="B518" s="59" t="s">
        <v>1511</v>
      </c>
      <c r="C518" t="s">
        <v>1626</v>
      </c>
      <c r="D518" t="s">
        <v>1778</v>
      </c>
      <c r="E518" t="s">
        <v>546</v>
      </c>
      <c r="F518" t="s">
        <v>918</v>
      </c>
      <c r="G518" t="s">
        <v>923</v>
      </c>
      <c r="H518" s="1" t="s">
        <v>1625</v>
      </c>
      <c r="I518" t="s">
        <v>546</v>
      </c>
      <c r="J518" t="s">
        <v>546</v>
      </c>
      <c r="K518" s="2">
        <v>10.6</v>
      </c>
      <c r="L518" s="2">
        <v>79</v>
      </c>
      <c r="M518" s="2">
        <v>11.700000000000001</v>
      </c>
      <c r="N518" s="2">
        <f ca="1">Table1[[#This Row],[2026 (EUR)]]*(1-INDIRECT(Table1[[#This Row],[Discount Name]]))</f>
        <v>10.6</v>
      </c>
      <c r="O518" s="2">
        <f ca="1">Table1[[#This Row],[2026 (DKK)]]*(1-INDIRECT(Table1[[#This Row],[Discount Name]]))</f>
        <v>79</v>
      </c>
      <c r="P518" s="2" cm="1">
        <f t="array" aca="1" ref="P518" ca="1">Table1[[#This Row],[2026 (USD)]]*(1-INDIRECT(Table1[[#This Row],[Discount Name]]))</f>
        <v>11.700000000000001</v>
      </c>
      <c r="Q518" s="31">
        <f ca="1">INDIRECT(Table1[[#This Row],[Discount Name]])</f>
        <v>0</v>
      </c>
      <c r="S518" s="2">
        <f t="shared" ca="1" si="16"/>
        <v>10.6</v>
      </c>
      <c r="T518" s="2">
        <f t="shared" ca="1" si="17"/>
        <v>79</v>
      </c>
      <c r="U518" s="71" t="str">
        <f>IFERROR(VLOOKUP(Table1[[#This Row],[No_]],'Customer Net Price'!A:F,5,FALSE),"0")</f>
        <v>0</v>
      </c>
      <c r="V518" s="71" t="str">
        <f>IFERROR(VLOOKUP(Table1[[#This Row],[No_]],'Customer Net Price'!A:G,6,FALSE),"0")</f>
        <v>0</v>
      </c>
    </row>
    <row r="519" spans="1:22" x14ac:dyDescent="0.25">
      <c r="A519" s="59" t="s">
        <v>1512</v>
      </c>
      <c r="B519" s="59" t="s">
        <v>1512</v>
      </c>
      <c r="C519" t="s">
        <v>1620</v>
      </c>
      <c r="D519" t="s">
        <v>1778</v>
      </c>
      <c r="E519" t="s">
        <v>546</v>
      </c>
      <c r="F519" t="s">
        <v>918</v>
      </c>
      <c r="G519" t="s">
        <v>923</v>
      </c>
      <c r="H519" s="1" t="s">
        <v>1627</v>
      </c>
      <c r="I519" t="s">
        <v>546</v>
      </c>
      <c r="J519" t="s">
        <v>546</v>
      </c>
      <c r="K519" s="2">
        <v>2.1</v>
      </c>
      <c r="L519" s="2">
        <v>16</v>
      </c>
      <c r="M519" s="2">
        <v>2.4000000000000004</v>
      </c>
      <c r="N519" s="2">
        <f ca="1">Table1[[#This Row],[2026 (EUR)]]*(1-INDIRECT(Table1[[#This Row],[Discount Name]]))</f>
        <v>2.1</v>
      </c>
      <c r="O519" s="2">
        <f ca="1">Table1[[#This Row],[2026 (DKK)]]*(1-INDIRECT(Table1[[#This Row],[Discount Name]]))</f>
        <v>16</v>
      </c>
      <c r="P519" s="2" cm="1">
        <f t="array" aca="1" ref="P519" ca="1">Table1[[#This Row],[2026 (USD)]]*(1-INDIRECT(Table1[[#This Row],[Discount Name]]))</f>
        <v>2.4000000000000004</v>
      </c>
      <c r="Q519" s="31">
        <f ca="1">INDIRECT(Table1[[#This Row],[Discount Name]])</f>
        <v>0</v>
      </c>
      <c r="S519" s="2">
        <f t="shared" ca="1" si="16"/>
        <v>2.1</v>
      </c>
      <c r="T519" s="2">
        <f t="shared" ca="1" si="17"/>
        <v>16</v>
      </c>
      <c r="U519" s="71" t="str">
        <f>IFERROR(VLOOKUP(Table1[[#This Row],[No_]],'Customer Net Price'!A:F,5,FALSE),"0")</f>
        <v>0</v>
      </c>
      <c r="V519" s="71" t="str">
        <f>IFERROR(VLOOKUP(Table1[[#This Row],[No_]],'Customer Net Price'!A:G,6,FALSE),"0")</f>
        <v>0</v>
      </c>
    </row>
    <row r="520" spans="1:22" x14ac:dyDescent="0.25">
      <c r="A520" s="59" t="s">
        <v>1513</v>
      </c>
      <c r="B520" s="59" t="s">
        <v>1513</v>
      </c>
      <c r="C520" t="s">
        <v>1622</v>
      </c>
      <c r="D520" t="s">
        <v>1778</v>
      </c>
      <c r="E520" t="s">
        <v>546</v>
      </c>
      <c r="F520" t="s">
        <v>918</v>
      </c>
      <c r="G520" t="s">
        <v>923</v>
      </c>
      <c r="H520" s="1" t="s">
        <v>1628</v>
      </c>
      <c r="I520" t="s">
        <v>546</v>
      </c>
      <c r="J520" t="s">
        <v>546</v>
      </c>
      <c r="K520" s="2">
        <v>0.5</v>
      </c>
      <c r="L520" s="2">
        <v>4</v>
      </c>
      <c r="M520" s="2">
        <v>0.60000000000000009</v>
      </c>
      <c r="N520" s="2">
        <f ca="1">Table1[[#This Row],[2026 (EUR)]]*(1-INDIRECT(Table1[[#This Row],[Discount Name]]))</f>
        <v>0.5</v>
      </c>
      <c r="O520" s="2">
        <f ca="1">Table1[[#This Row],[2026 (DKK)]]*(1-INDIRECT(Table1[[#This Row],[Discount Name]]))</f>
        <v>4</v>
      </c>
      <c r="P520" s="2" cm="1">
        <f t="array" aca="1" ref="P520" ca="1">Table1[[#This Row],[2026 (USD)]]*(1-INDIRECT(Table1[[#This Row],[Discount Name]]))</f>
        <v>0.60000000000000009</v>
      </c>
      <c r="Q520" s="31">
        <f ca="1">INDIRECT(Table1[[#This Row],[Discount Name]])</f>
        <v>0</v>
      </c>
      <c r="S520" s="2">
        <f t="shared" ca="1" si="16"/>
        <v>0.5</v>
      </c>
      <c r="T520" s="2">
        <f t="shared" ca="1" si="17"/>
        <v>4</v>
      </c>
      <c r="U520" s="71" t="str">
        <f>IFERROR(VLOOKUP(Table1[[#This Row],[No_]],'Customer Net Price'!A:F,5,FALSE),"0")</f>
        <v>0</v>
      </c>
      <c r="V520" s="71" t="str">
        <f>IFERROR(VLOOKUP(Table1[[#This Row],[No_]],'Customer Net Price'!A:G,6,FALSE),"0")</f>
        <v>0</v>
      </c>
    </row>
    <row r="521" spans="1:22" x14ac:dyDescent="0.25">
      <c r="A521" s="59" t="s">
        <v>1514</v>
      </c>
      <c r="B521" s="59" t="s">
        <v>1514</v>
      </c>
      <c r="C521" t="s">
        <v>1531</v>
      </c>
      <c r="D521" t="s">
        <v>1778</v>
      </c>
      <c r="E521" t="s">
        <v>546</v>
      </c>
      <c r="F521" t="s">
        <v>918</v>
      </c>
      <c r="G521" t="s">
        <v>923</v>
      </c>
      <c r="H521" s="1" t="s">
        <v>1629</v>
      </c>
      <c r="I521" t="s">
        <v>546</v>
      </c>
      <c r="J521" t="s">
        <v>546</v>
      </c>
      <c r="K521" s="2">
        <v>11</v>
      </c>
      <c r="L521" s="2">
        <v>82</v>
      </c>
      <c r="M521" s="2">
        <v>12.100000000000001</v>
      </c>
      <c r="N521" s="2">
        <f ca="1">Table1[[#This Row],[2026 (EUR)]]*(1-INDIRECT(Table1[[#This Row],[Discount Name]]))</f>
        <v>11</v>
      </c>
      <c r="O521" s="2">
        <f ca="1">Table1[[#This Row],[2026 (DKK)]]*(1-INDIRECT(Table1[[#This Row],[Discount Name]]))</f>
        <v>82</v>
      </c>
      <c r="P521" s="2" cm="1">
        <f t="array" aca="1" ref="P521" ca="1">Table1[[#This Row],[2026 (USD)]]*(1-INDIRECT(Table1[[#This Row],[Discount Name]]))</f>
        <v>12.100000000000001</v>
      </c>
      <c r="Q521" s="31">
        <f ca="1">INDIRECT(Table1[[#This Row],[Discount Name]])</f>
        <v>0</v>
      </c>
      <c r="S521" s="2">
        <f t="shared" ca="1" si="16"/>
        <v>11</v>
      </c>
      <c r="T521" s="2">
        <f t="shared" ca="1" si="17"/>
        <v>82</v>
      </c>
      <c r="U521" s="71" t="str">
        <f>IFERROR(VLOOKUP(Table1[[#This Row],[No_]],'Customer Net Price'!A:F,5,FALSE),"0")</f>
        <v>0</v>
      </c>
      <c r="V521" s="71" t="str">
        <f>IFERROR(VLOOKUP(Table1[[#This Row],[No_]],'Customer Net Price'!A:G,6,FALSE),"0")</f>
        <v>0</v>
      </c>
    </row>
    <row r="522" spans="1:22" x14ac:dyDescent="0.25">
      <c r="A522" s="59" t="s">
        <v>1515</v>
      </c>
      <c r="B522" s="59" t="s">
        <v>1515</v>
      </c>
      <c r="C522" t="s">
        <v>1533</v>
      </c>
      <c r="D522" t="s">
        <v>1778</v>
      </c>
      <c r="E522" t="s">
        <v>546</v>
      </c>
      <c r="F522" t="s">
        <v>918</v>
      </c>
      <c r="G522" t="s">
        <v>923</v>
      </c>
      <c r="H522" s="1" t="s">
        <v>1630</v>
      </c>
      <c r="I522" t="s">
        <v>546</v>
      </c>
      <c r="J522" t="s">
        <v>546</v>
      </c>
      <c r="K522" s="2">
        <v>7.6</v>
      </c>
      <c r="L522" s="2">
        <v>57</v>
      </c>
      <c r="M522" s="2">
        <v>8.4</v>
      </c>
      <c r="N522" s="2">
        <f ca="1">Table1[[#This Row],[2026 (EUR)]]*(1-INDIRECT(Table1[[#This Row],[Discount Name]]))</f>
        <v>7.6</v>
      </c>
      <c r="O522" s="2">
        <f ca="1">Table1[[#This Row],[2026 (DKK)]]*(1-INDIRECT(Table1[[#This Row],[Discount Name]]))</f>
        <v>57</v>
      </c>
      <c r="P522" s="2" cm="1">
        <f t="array" aca="1" ref="P522" ca="1">Table1[[#This Row],[2026 (USD)]]*(1-INDIRECT(Table1[[#This Row],[Discount Name]]))</f>
        <v>8.4</v>
      </c>
      <c r="Q522" s="31">
        <f ca="1">INDIRECT(Table1[[#This Row],[Discount Name]])</f>
        <v>0</v>
      </c>
      <c r="S522" s="2">
        <f t="shared" ca="1" si="16"/>
        <v>7.6</v>
      </c>
      <c r="T522" s="2">
        <f t="shared" ca="1" si="17"/>
        <v>57</v>
      </c>
      <c r="U522" s="71" t="str">
        <f>IFERROR(VLOOKUP(Table1[[#This Row],[No_]],'Customer Net Price'!A:F,5,FALSE),"0")</f>
        <v>0</v>
      </c>
      <c r="V522" s="71" t="str">
        <f>IFERROR(VLOOKUP(Table1[[#This Row],[No_]],'Customer Net Price'!A:G,6,FALSE),"0")</f>
        <v>0</v>
      </c>
    </row>
    <row r="523" spans="1:22" x14ac:dyDescent="0.25">
      <c r="A523" s="59" t="s">
        <v>1516</v>
      </c>
      <c r="B523" s="59" t="s">
        <v>1516</v>
      </c>
      <c r="C523" t="s">
        <v>1626</v>
      </c>
      <c r="D523" t="s">
        <v>1778</v>
      </c>
      <c r="E523" t="s">
        <v>546</v>
      </c>
      <c r="F523" t="s">
        <v>918</v>
      </c>
      <c r="G523" t="s">
        <v>923</v>
      </c>
      <c r="H523" s="1" t="s">
        <v>1631</v>
      </c>
      <c r="I523" t="s">
        <v>546</v>
      </c>
      <c r="J523" t="s">
        <v>546</v>
      </c>
      <c r="K523" s="2">
        <v>11.6</v>
      </c>
      <c r="L523" s="2">
        <v>86.5</v>
      </c>
      <c r="M523" s="2">
        <v>12.8</v>
      </c>
      <c r="N523" s="2">
        <f ca="1">Table1[[#This Row],[2026 (EUR)]]*(1-INDIRECT(Table1[[#This Row],[Discount Name]]))</f>
        <v>11.6</v>
      </c>
      <c r="O523" s="2">
        <f ca="1">Table1[[#This Row],[2026 (DKK)]]*(1-INDIRECT(Table1[[#This Row],[Discount Name]]))</f>
        <v>86.5</v>
      </c>
      <c r="P523" s="2" cm="1">
        <f t="array" aca="1" ref="P523" ca="1">Table1[[#This Row],[2026 (USD)]]*(1-INDIRECT(Table1[[#This Row],[Discount Name]]))</f>
        <v>12.8</v>
      </c>
      <c r="Q523" s="31">
        <f ca="1">INDIRECT(Table1[[#This Row],[Discount Name]])</f>
        <v>0</v>
      </c>
      <c r="S523" s="2">
        <f t="shared" ca="1" si="16"/>
        <v>11.6</v>
      </c>
      <c r="T523" s="2">
        <f t="shared" ca="1" si="17"/>
        <v>86.5</v>
      </c>
      <c r="U523" s="71" t="str">
        <f>IFERROR(VLOOKUP(Table1[[#This Row],[No_]],'Customer Net Price'!A:F,5,FALSE),"0")</f>
        <v>0</v>
      </c>
      <c r="V523" s="71" t="str">
        <f>IFERROR(VLOOKUP(Table1[[#This Row],[No_]],'Customer Net Price'!A:G,6,FALSE),"0")</f>
        <v>0</v>
      </c>
    </row>
    <row r="524" spans="1:22" x14ac:dyDescent="0.25">
      <c r="A524" s="59" t="s">
        <v>1517</v>
      </c>
      <c r="B524" s="59" t="s">
        <v>1517</v>
      </c>
      <c r="C524" t="s">
        <v>1633</v>
      </c>
      <c r="D524" t="s">
        <v>1778</v>
      </c>
      <c r="E524" t="s">
        <v>546</v>
      </c>
      <c r="F524" t="s">
        <v>918</v>
      </c>
      <c r="G524" t="s">
        <v>923</v>
      </c>
      <c r="H524" s="1" t="s">
        <v>1632</v>
      </c>
      <c r="I524" t="s">
        <v>546</v>
      </c>
      <c r="J524" t="s">
        <v>546</v>
      </c>
      <c r="K524" s="2">
        <v>2.8</v>
      </c>
      <c r="L524" s="2">
        <v>21</v>
      </c>
      <c r="M524" s="2">
        <v>3.1</v>
      </c>
      <c r="N524" s="2">
        <f ca="1">Table1[[#This Row],[2026 (EUR)]]*(1-INDIRECT(Table1[[#This Row],[Discount Name]]))</f>
        <v>2.8</v>
      </c>
      <c r="O524" s="2">
        <f ca="1">Table1[[#This Row],[2026 (DKK)]]*(1-INDIRECT(Table1[[#This Row],[Discount Name]]))</f>
        <v>21</v>
      </c>
      <c r="P524" s="2" cm="1">
        <f t="array" aca="1" ref="P524" ca="1">Table1[[#This Row],[2026 (USD)]]*(1-INDIRECT(Table1[[#This Row],[Discount Name]]))</f>
        <v>3.1</v>
      </c>
      <c r="Q524" s="31">
        <f ca="1">INDIRECT(Table1[[#This Row],[Discount Name]])</f>
        <v>0</v>
      </c>
      <c r="S524" s="2">
        <f t="shared" ca="1" si="16"/>
        <v>2.8</v>
      </c>
      <c r="T524" s="2">
        <f t="shared" ca="1" si="17"/>
        <v>21</v>
      </c>
      <c r="U524" s="71" t="str">
        <f>IFERROR(VLOOKUP(Table1[[#This Row],[No_]],'Customer Net Price'!A:F,5,FALSE),"0")</f>
        <v>0</v>
      </c>
      <c r="V524" s="71" t="str">
        <f>IFERROR(VLOOKUP(Table1[[#This Row],[No_]],'Customer Net Price'!A:G,6,FALSE),"0")</f>
        <v>0</v>
      </c>
    </row>
    <row r="525" spans="1:22" x14ac:dyDescent="0.25">
      <c r="A525" s="59" t="s">
        <v>1518</v>
      </c>
      <c r="B525" s="59" t="s">
        <v>1518</v>
      </c>
      <c r="C525" t="s">
        <v>1535</v>
      </c>
      <c r="D525" t="s">
        <v>1778</v>
      </c>
      <c r="E525" t="s">
        <v>546</v>
      </c>
      <c r="F525" t="s">
        <v>918</v>
      </c>
      <c r="G525" t="s">
        <v>923</v>
      </c>
      <c r="H525" s="1" t="s">
        <v>1634</v>
      </c>
      <c r="I525" t="s">
        <v>546</v>
      </c>
      <c r="J525" t="s">
        <v>546</v>
      </c>
      <c r="K525" s="2">
        <v>2.5</v>
      </c>
      <c r="L525" s="2">
        <v>19</v>
      </c>
      <c r="M525" s="2">
        <v>2.8000000000000003</v>
      </c>
      <c r="N525" s="2">
        <f ca="1">Table1[[#This Row],[2026 (EUR)]]*(1-INDIRECT(Table1[[#This Row],[Discount Name]]))</f>
        <v>2.5</v>
      </c>
      <c r="O525" s="2">
        <f ca="1">Table1[[#This Row],[2026 (DKK)]]*(1-INDIRECT(Table1[[#This Row],[Discount Name]]))</f>
        <v>19</v>
      </c>
      <c r="P525" s="2" cm="1">
        <f t="array" aca="1" ref="P525" ca="1">Table1[[#This Row],[2026 (USD)]]*(1-INDIRECT(Table1[[#This Row],[Discount Name]]))</f>
        <v>2.8000000000000003</v>
      </c>
      <c r="Q525" s="31">
        <f ca="1">INDIRECT(Table1[[#This Row],[Discount Name]])</f>
        <v>0</v>
      </c>
      <c r="S525" s="2">
        <f t="shared" ca="1" si="16"/>
        <v>2.5</v>
      </c>
      <c r="T525" s="2">
        <f t="shared" ca="1" si="17"/>
        <v>19</v>
      </c>
      <c r="U525" s="71" t="str">
        <f>IFERROR(VLOOKUP(Table1[[#This Row],[No_]],'Customer Net Price'!A:F,5,FALSE),"0")</f>
        <v>0</v>
      </c>
      <c r="V525" s="71" t="str">
        <f>IFERROR(VLOOKUP(Table1[[#This Row],[No_]],'Customer Net Price'!A:G,6,FALSE),"0")</f>
        <v>0</v>
      </c>
    </row>
    <row r="526" spans="1:22" x14ac:dyDescent="0.25">
      <c r="A526" s="59" t="s">
        <v>1519</v>
      </c>
      <c r="B526" s="59" t="s">
        <v>1519</v>
      </c>
      <c r="C526" t="s">
        <v>1636</v>
      </c>
      <c r="D526" t="s">
        <v>1778</v>
      </c>
      <c r="E526" t="s">
        <v>546</v>
      </c>
      <c r="F526" t="s">
        <v>918</v>
      </c>
      <c r="G526" t="s">
        <v>923</v>
      </c>
      <c r="H526" s="1" t="s">
        <v>1635</v>
      </c>
      <c r="I526" t="s">
        <v>546</v>
      </c>
      <c r="J526" t="s">
        <v>546</v>
      </c>
      <c r="K526" s="2">
        <v>18.2</v>
      </c>
      <c r="L526" s="2">
        <v>135.5</v>
      </c>
      <c r="M526" s="2">
        <v>20.100000000000001</v>
      </c>
      <c r="N526" s="2">
        <f ca="1">Table1[[#This Row],[2026 (EUR)]]*(1-INDIRECT(Table1[[#This Row],[Discount Name]]))</f>
        <v>18.2</v>
      </c>
      <c r="O526" s="2">
        <f ca="1">Table1[[#This Row],[2026 (DKK)]]*(1-INDIRECT(Table1[[#This Row],[Discount Name]]))</f>
        <v>135.5</v>
      </c>
      <c r="P526" s="2" cm="1">
        <f t="array" aca="1" ref="P526" ca="1">Table1[[#This Row],[2026 (USD)]]*(1-INDIRECT(Table1[[#This Row],[Discount Name]]))</f>
        <v>20.100000000000001</v>
      </c>
      <c r="Q526" s="31">
        <f ca="1">INDIRECT(Table1[[#This Row],[Discount Name]])</f>
        <v>0</v>
      </c>
      <c r="S526" s="2">
        <f t="shared" ca="1" si="16"/>
        <v>18.2</v>
      </c>
      <c r="T526" s="2">
        <f t="shared" ca="1" si="17"/>
        <v>135.5</v>
      </c>
      <c r="U526" s="71" t="str">
        <f>IFERROR(VLOOKUP(Table1[[#This Row],[No_]],'Customer Net Price'!A:F,5,FALSE),"0")</f>
        <v>0</v>
      </c>
      <c r="V526" s="71" t="str">
        <f>IFERROR(VLOOKUP(Table1[[#This Row],[No_]],'Customer Net Price'!A:G,6,FALSE),"0")</f>
        <v>0</v>
      </c>
    </row>
    <row r="527" spans="1:22" x14ac:dyDescent="0.25">
      <c r="A527" s="59" t="s">
        <v>1520</v>
      </c>
      <c r="B527" s="59" t="s">
        <v>1520</v>
      </c>
      <c r="C527" t="s">
        <v>1638</v>
      </c>
      <c r="D527" t="s">
        <v>1778</v>
      </c>
      <c r="E527" t="s">
        <v>546</v>
      </c>
      <c r="F527" t="s">
        <v>918</v>
      </c>
      <c r="G527" t="s">
        <v>923</v>
      </c>
      <c r="H527" s="1" t="s">
        <v>1637</v>
      </c>
      <c r="I527" t="s">
        <v>546</v>
      </c>
      <c r="J527" t="s">
        <v>546</v>
      </c>
      <c r="K527" s="2">
        <v>3.4</v>
      </c>
      <c r="L527" s="2">
        <v>25.5</v>
      </c>
      <c r="M527" s="2">
        <v>3.8000000000000003</v>
      </c>
      <c r="N527" s="2">
        <f ca="1">Table1[[#This Row],[2026 (EUR)]]*(1-INDIRECT(Table1[[#This Row],[Discount Name]]))</f>
        <v>3.4</v>
      </c>
      <c r="O527" s="2">
        <f ca="1">Table1[[#This Row],[2026 (DKK)]]*(1-INDIRECT(Table1[[#This Row],[Discount Name]]))</f>
        <v>25.5</v>
      </c>
      <c r="P527" s="2" cm="1">
        <f t="array" aca="1" ref="P527" ca="1">Table1[[#This Row],[2026 (USD)]]*(1-INDIRECT(Table1[[#This Row],[Discount Name]]))</f>
        <v>3.8000000000000003</v>
      </c>
      <c r="Q527" s="31">
        <f ca="1">INDIRECT(Table1[[#This Row],[Discount Name]])</f>
        <v>0</v>
      </c>
      <c r="S527" s="2">
        <f t="shared" ca="1" si="16"/>
        <v>3.4</v>
      </c>
      <c r="T527" s="2">
        <f t="shared" ca="1" si="17"/>
        <v>25.5</v>
      </c>
      <c r="U527" s="71" t="str">
        <f>IFERROR(VLOOKUP(Table1[[#This Row],[No_]],'Customer Net Price'!A:F,5,FALSE),"0")</f>
        <v>0</v>
      </c>
      <c r="V527" s="71" t="str">
        <f>IFERROR(VLOOKUP(Table1[[#This Row],[No_]],'Customer Net Price'!A:G,6,FALSE),"0")</f>
        <v>0</v>
      </c>
    </row>
    <row r="528" spans="1:22" x14ac:dyDescent="0.25">
      <c r="A528" s="59" t="s">
        <v>1521</v>
      </c>
      <c r="B528" s="59" t="s">
        <v>1521</v>
      </c>
      <c r="C528" t="s">
        <v>175</v>
      </c>
      <c r="D528" t="s">
        <v>1778</v>
      </c>
      <c r="E528" t="s">
        <v>546</v>
      </c>
      <c r="F528" t="s">
        <v>918</v>
      </c>
      <c r="G528" t="s">
        <v>923</v>
      </c>
      <c r="H528" s="1" t="s">
        <v>1639</v>
      </c>
      <c r="I528" t="s">
        <v>546</v>
      </c>
      <c r="J528" t="s">
        <v>546</v>
      </c>
      <c r="K528" s="2">
        <v>1.4</v>
      </c>
      <c r="L528" s="2">
        <v>10.5</v>
      </c>
      <c r="M528" s="2">
        <v>1.6</v>
      </c>
      <c r="N528" s="2">
        <f ca="1">Table1[[#This Row],[2026 (EUR)]]*(1-INDIRECT(Table1[[#This Row],[Discount Name]]))</f>
        <v>1.4</v>
      </c>
      <c r="O528" s="2">
        <f ca="1">Table1[[#This Row],[2026 (DKK)]]*(1-INDIRECT(Table1[[#This Row],[Discount Name]]))</f>
        <v>10.5</v>
      </c>
      <c r="P528" s="2" cm="1">
        <f t="array" aca="1" ref="P528" ca="1">Table1[[#This Row],[2026 (USD)]]*(1-INDIRECT(Table1[[#This Row],[Discount Name]]))</f>
        <v>1.6</v>
      </c>
      <c r="Q528" s="31">
        <f ca="1">INDIRECT(Table1[[#This Row],[Discount Name]])</f>
        <v>0</v>
      </c>
      <c r="S528" s="2">
        <f t="shared" ca="1" si="16"/>
        <v>1.4</v>
      </c>
      <c r="T528" s="2">
        <f t="shared" ca="1" si="17"/>
        <v>10.5</v>
      </c>
      <c r="U528" s="71" t="str">
        <f>IFERROR(VLOOKUP(Table1[[#This Row],[No_]],'Customer Net Price'!A:F,5,FALSE),"0")</f>
        <v>0</v>
      </c>
      <c r="V528" s="71" t="str">
        <f>IFERROR(VLOOKUP(Table1[[#This Row],[No_]],'Customer Net Price'!A:G,6,FALSE),"0")</f>
        <v>0</v>
      </c>
    </row>
    <row r="529" spans="1:22" x14ac:dyDescent="0.25">
      <c r="A529" s="59" t="s">
        <v>1522</v>
      </c>
      <c r="B529" s="59" t="s">
        <v>1522</v>
      </c>
      <c r="C529" t="s">
        <v>1533</v>
      </c>
      <c r="D529" t="s">
        <v>1778</v>
      </c>
      <c r="E529" t="s">
        <v>546</v>
      </c>
      <c r="F529" t="s">
        <v>918</v>
      </c>
      <c r="G529" t="s">
        <v>923</v>
      </c>
      <c r="H529" s="1" t="s">
        <v>1640</v>
      </c>
      <c r="I529" t="s">
        <v>546</v>
      </c>
      <c r="J529" t="s">
        <v>546</v>
      </c>
      <c r="K529" s="2">
        <v>7.6</v>
      </c>
      <c r="L529" s="2">
        <v>57</v>
      </c>
      <c r="M529" s="2">
        <v>8.4</v>
      </c>
      <c r="N529" s="2">
        <f ca="1">Table1[[#This Row],[2026 (EUR)]]*(1-INDIRECT(Table1[[#This Row],[Discount Name]]))</f>
        <v>7.6</v>
      </c>
      <c r="O529" s="2">
        <f ca="1">Table1[[#This Row],[2026 (DKK)]]*(1-INDIRECT(Table1[[#This Row],[Discount Name]]))</f>
        <v>57</v>
      </c>
      <c r="P529" s="2" cm="1">
        <f t="array" aca="1" ref="P529" ca="1">Table1[[#This Row],[2026 (USD)]]*(1-INDIRECT(Table1[[#This Row],[Discount Name]]))</f>
        <v>8.4</v>
      </c>
      <c r="Q529" s="31">
        <f ca="1">INDIRECT(Table1[[#This Row],[Discount Name]])</f>
        <v>0</v>
      </c>
      <c r="S529" s="2">
        <f t="shared" ca="1" si="16"/>
        <v>7.6</v>
      </c>
      <c r="T529" s="2">
        <f t="shared" ca="1" si="17"/>
        <v>57</v>
      </c>
      <c r="U529" s="71" t="str">
        <f>IFERROR(VLOOKUP(Table1[[#This Row],[No_]],'Customer Net Price'!A:F,5,FALSE),"0")</f>
        <v>0</v>
      </c>
      <c r="V529" s="71" t="str">
        <f>IFERROR(VLOOKUP(Table1[[#This Row],[No_]],'Customer Net Price'!A:G,6,FALSE),"0")</f>
        <v>0</v>
      </c>
    </row>
    <row r="530" spans="1:22" x14ac:dyDescent="0.25">
      <c r="A530" s="23" t="s">
        <v>2</v>
      </c>
      <c r="B530" s="23" t="s">
        <v>2</v>
      </c>
      <c r="C530" t="s">
        <v>241</v>
      </c>
      <c r="D530" t="s">
        <v>307</v>
      </c>
      <c r="E530" t="s">
        <v>546</v>
      </c>
      <c r="F530" t="s">
        <v>307</v>
      </c>
      <c r="G530" t="s">
        <v>307</v>
      </c>
      <c r="H530" s="1" t="s">
        <v>435</v>
      </c>
      <c r="I530">
        <v>40</v>
      </c>
      <c r="J530" t="s">
        <v>546</v>
      </c>
      <c r="K530" s="2">
        <v>29.5</v>
      </c>
      <c r="L530" s="2">
        <v>220.9</v>
      </c>
      <c r="M530" s="2">
        <v>34.200000000000003</v>
      </c>
      <c r="N530" s="2">
        <f ca="1">Table1[[#This Row],[2026 (EUR)]]*(1-INDIRECT(Table1[[#This Row],[Discount Name]]))</f>
        <v>29.5</v>
      </c>
      <c r="O530" s="2">
        <f ca="1">Table1[[#This Row],[2026 (DKK)]]*(1-INDIRECT(Table1[[#This Row],[Discount Name]]))</f>
        <v>220.9</v>
      </c>
      <c r="P530" s="2" cm="1">
        <f t="array" aca="1" ref="P530" ca="1">Table1[[#This Row],[2026 (USD)]]*(1-INDIRECT(Table1[[#This Row],[Discount Name]]))</f>
        <v>34.200000000000003</v>
      </c>
      <c r="Q530" s="31">
        <f ca="1">INDIRECT(Table1[[#This Row],[Discount Name]])</f>
        <v>0</v>
      </c>
      <c r="R530" s="110">
        <v>27.7</v>
      </c>
      <c r="S530" s="2">
        <f t="shared" ca="1" si="16"/>
        <v>29.5</v>
      </c>
      <c r="T530" s="2">
        <f t="shared" ca="1" si="17"/>
        <v>220.9</v>
      </c>
      <c r="U530" s="71" t="str">
        <f>IFERROR(VLOOKUP(Table1[[#This Row],[No_]],'Customer Net Price'!A:F,5,FALSE),"0")</f>
        <v>0</v>
      </c>
      <c r="V530" s="71" t="str">
        <f>IFERROR(VLOOKUP(Table1[[#This Row],[No_]],'Customer Net Price'!A:G,6,FALSE),"0")</f>
        <v>0</v>
      </c>
    </row>
    <row r="531" spans="1:22" x14ac:dyDescent="0.25">
      <c r="A531" s="23" t="s">
        <v>53</v>
      </c>
      <c r="B531" s="23" t="s">
        <v>53</v>
      </c>
      <c r="C531" t="s">
        <v>242</v>
      </c>
      <c r="D531" t="s">
        <v>307</v>
      </c>
      <c r="E531" t="s">
        <v>546</v>
      </c>
      <c r="F531" t="s">
        <v>307</v>
      </c>
      <c r="G531" t="s">
        <v>307</v>
      </c>
      <c r="H531" s="1" t="s">
        <v>436</v>
      </c>
      <c r="I531">
        <v>40</v>
      </c>
      <c r="J531" t="s">
        <v>546</v>
      </c>
      <c r="K531" s="2">
        <v>30.6</v>
      </c>
      <c r="L531" s="2">
        <v>227.9</v>
      </c>
      <c r="M531" s="2">
        <v>35.299999999999997</v>
      </c>
      <c r="N531" s="2">
        <f ca="1">Table1[[#This Row],[2026 (EUR)]]*(1-INDIRECT(Table1[[#This Row],[Discount Name]]))</f>
        <v>30.6</v>
      </c>
      <c r="O531" s="2">
        <f ca="1">Table1[[#This Row],[2026 (DKK)]]*(1-INDIRECT(Table1[[#This Row],[Discount Name]]))</f>
        <v>227.9</v>
      </c>
      <c r="P531" s="2" cm="1">
        <f t="array" aca="1" ref="P531" ca="1">Table1[[#This Row],[2026 (USD)]]*(1-INDIRECT(Table1[[#This Row],[Discount Name]]))</f>
        <v>35.299999999999997</v>
      </c>
      <c r="Q531" s="31">
        <f ca="1">INDIRECT(Table1[[#This Row],[Discount Name]])</f>
        <v>0</v>
      </c>
      <c r="R531" s="110">
        <v>28.7</v>
      </c>
      <c r="S531" s="2">
        <f t="shared" ca="1" si="16"/>
        <v>30.6</v>
      </c>
      <c r="T531" s="2">
        <f t="shared" ca="1" si="17"/>
        <v>227.9</v>
      </c>
      <c r="U531" s="71" t="str">
        <f>IFERROR(VLOOKUP(Table1[[#This Row],[No_]],'Customer Net Price'!A:F,5,FALSE),"0")</f>
        <v>0</v>
      </c>
      <c r="V531" s="71" t="str">
        <f>IFERROR(VLOOKUP(Table1[[#This Row],[No_]],'Customer Net Price'!A:G,6,FALSE),"0")</f>
        <v>0</v>
      </c>
    </row>
    <row r="532" spans="1:22" x14ac:dyDescent="0.25">
      <c r="A532" s="23" t="s">
        <v>54</v>
      </c>
      <c r="B532" s="23" t="s">
        <v>54</v>
      </c>
      <c r="C532" t="s">
        <v>243</v>
      </c>
      <c r="D532" t="s">
        <v>307</v>
      </c>
      <c r="E532" t="s">
        <v>546</v>
      </c>
      <c r="F532" t="s">
        <v>307</v>
      </c>
      <c r="G532" t="s">
        <v>307</v>
      </c>
      <c r="H532" s="1" t="s">
        <v>437</v>
      </c>
      <c r="I532">
        <v>40</v>
      </c>
      <c r="J532" t="s">
        <v>546</v>
      </c>
      <c r="K532" s="2">
        <v>30.6</v>
      </c>
      <c r="L532" s="2">
        <v>227.9</v>
      </c>
      <c r="M532" s="2">
        <v>35.299999999999997</v>
      </c>
      <c r="N532" s="2">
        <f ca="1">Table1[[#This Row],[2026 (EUR)]]*(1-INDIRECT(Table1[[#This Row],[Discount Name]]))</f>
        <v>30.6</v>
      </c>
      <c r="O532" s="2">
        <f ca="1">Table1[[#This Row],[2026 (DKK)]]*(1-INDIRECT(Table1[[#This Row],[Discount Name]]))</f>
        <v>227.9</v>
      </c>
      <c r="P532" s="2" cm="1">
        <f t="array" aca="1" ref="P532" ca="1">Table1[[#This Row],[2026 (USD)]]*(1-INDIRECT(Table1[[#This Row],[Discount Name]]))</f>
        <v>35.299999999999997</v>
      </c>
      <c r="Q532" s="31">
        <f ca="1">INDIRECT(Table1[[#This Row],[Discount Name]])</f>
        <v>0</v>
      </c>
      <c r="R532" s="110">
        <v>28.7</v>
      </c>
      <c r="S532" s="2">
        <f t="shared" ca="1" si="16"/>
        <v>30.6</v>
      </c>
      <c r="T532" s="2">
        <f t="shared" ca="1" si="17"/>
        <v>227.9</v>
      </c>
      <c r="U532" s="71" t="str">
        <f>IFERROR(VLOOKUP(Table1[[#This Row],[No_]],'Customer Net Price'!A:F,5,FALSE),"0")</f>
        <v>0</v>
      </c>
      <c r="V532" s="71" t="str">
        <f>IFERROR(VLOOKUP(Table1[[#This Row],[No_]],'Customer Net Price'!A:G,6,FALSE),"0")</f>
        <v>0</v>
      </c>
    </row>
    <row r="533" spans="1:22" x14ac:dyDescent="0.25">
      <c r="A533" s="23" t="s">
        <v>55</v>
      </c>
      <c r="B533" s="23" t="s">
        <v>55</v>
      </c>
      <c r="C533" t="s">
        <v>244</v>
      </c>
      <c r="D533" t="s">
        <v>307</v>
      </c>
      <c r="E533" t="s">
        <v>546</v>
      </c>
      <c r="F533" t="s">
        <v>307</v>
      </c>
      <c r="G533" t="s">
        <v>307</v>
      </c>
      <c r="H533" s="1" t="s">
        <v>438</v>
      </c>
      <c r="I533">
        <v>40</v>
      </c>
      <c r="J533" t="s">
        <v>546</v>
      </c>
      <c r="K533" s="2">
        <v>31.7</v>
      </c>
      <c r="L533" s="2">
        <v>235.9</v>
      </c>
      <c r="M533" s="2">
        <v>38.4</v>
      </c>
      <c r="N533" s="2">
        <f ca="1">Table1[[#This Row],[2026 (EUR)]]*(1-INDIRECT(Table1[[#This Row],[Discount Name]]))</f>
        <v>31.7</v>
      </c>
      <c r="O533" s="2">
        <f ca="1">Table1[[#This Row],[2026 (DKK)]]*(1-INDIRECT(Table1[[#This Row],[Discount Name]]))</f>
        <v>235.9</v>
      </c>
      <c r="P533" s="2" cm="1">
        <f t="array" aca="1" ref="P533" ca="1">Table1[[#This Row],[2026 (USD)]]*(1-INDIRECT(Table1[[#This Row],[Discount Name]]))</f>
        <v>38.4</v>
      </c>
      <c r="Q533" s="31">
        <f ca="1">INDIRECT(Table1[[#This Row],[Discount Name]])</f>
        <v>0</v>
      </c>
      <c r="R533" s="110">
        <v>29.8</v>
      </c>
      <c r="S533" s="2">
        <f t="shared" ca="1" si="16"/>
        <v>31.7</v>
      </c>
      <c r="T533" s="2">
        <f t="shared" ca="1" si="17"/>
        <v>235.9</v>
      </c>
      <c r="U533" s="71" t="str">
        <f>IFERROR(VLOOKUP(Table1[[#This Row],[No_]],'Customer Net Price'!A:F,5,FALSE),"0")</f>
        <v>0</v>
      </c>
      <c r="V533" s="71" t="str">
        <f>IFERROR(VLOOKUP(Table1[[#This Row],[No_]],'Customer Net Price'!A:G,6,FALSE),"0")</f>
        <v>0</v>
      </c>
    </row>
    <row r="534" spans="1:22" x14ac:dyDescent="0.25">
      <c r="A534" s="23" t="s">
        <v>56</v>
      </c>
      <c r="B534" s="23" t="s">
        <v>56</v>
      </c>
      <c r="C534" t="s">
        <v>245</v>
      </c>
      <c r="D534" t="s">
        <v>307</v>
      </c>
      <c r="E534" t="s">
        <v>546</v>
      </c>
      <c r="F534" t="s">
        <v>307</v>
      </c>
      <c r="G534" t="s">
        <v>307</v>
      </c>
      <c r="H534" s="1" t="s">
        <v>439</v>
      </c>
      <c r="I534">
        <v>40</v>
      </c>
      <c r="J534" t="s">
        <v>546</v>
      </c>
      <c r="K534" s="2">
        <v>31.7</v>
      </c>
      <c r="L534" s="2">
        <v>235.9</v>
      </c>
      <c r="M534" s="2">
        <v>37.4</v>
      </c>
      <c r="N534" s="2">
        <f ca="1">Table1[[#This Row],[2026 (EUR)]]*(1-INDIRECT(Table1[[#This Row],[Discount Name]]))</f>
        <v>31.7</v>
      </c>
      <c r="O534" s="2">
        <f ca="1">Table1[[#This Row],[2026 (DKK)]]*(1-INDIRECT(Table1[[#This Row],[Discount Name]]))</f>
        <v>235.9</v>
      </c>
      <c r="P534" s="2" cm="1">
        <f t="array" aca="1" ref="P534" ca="1">Table1[[#This Row],[2026 (USD)]]*(1-INDIRECT(Table1[[#This Row],[Discount Name]]))</f>
        <v>37.4</v>
      </c>
      <c r="Q534" s="31">
        <f ca="1">INDIRECT(Table1[[#This Row],[Discount Name]])</f>
        <v>0</v>
      </c>
      <c r="R534" s="110">
        <v>29.8</v>
      </c>
      <c r="S534" s="2">
        <f t="shared" ca="1" si="16"/>
        <v>31.7</v>
      </c>
      <c r="T534" s="2">
        <f t="shared" ca="1" si="17"/>
        <v>235.9</v>
      </c>
      <c r="U534" s="71" t="str">
        <f>IFERROR(VLOOKUP(Table1[[#This Row],[No_]],'Customer Net Price'!A:F,5,FALSE),"0")</f>
        <v>0</v>
      </c>
      <c r="V534" s="71" t="str">
        <f>IFERROR(VLOOKUP(Table1[[#This Row],[No_]],'Customer Net Price'!A:G,6,FALSE),"0")</f>
        <v>0</v>
      </c>
    </row>
    <row r="535" spans="1:22" x14ac:dyDescent="0.25">
      <c r="A535" s="23" t="s">
        <v>57</v>
      </c>
      <c r="B535" s="23" t="s">
        <v>57</v>
      </c>
      <c r="C535" t="s">
        <v>246</v>
      </c>
      <c r="D535" t="s">
        <v>307</v>
      </c>
      <c r="E535" t="s">
        <v>546</v>
      </c>
      <c r="F535" t="s">
        <v>307</v>
      </c>
      <c r="G535" t="s">
        <v>307</v>
      </c>
      <c r="H535" s="1" t="s">
        <v>440</v>
      </c>
      <c r="I535">
        <v>40</v>
      </c>
      <c r="J535" t="s">
        <v>546</v>
      </c>
      <c r="K535" s="2">
        <v>33.9</v>
      </c>
      <c r="L535" s="2">
        <v>252.9</v>
      </c>
      <c r="M535" s="2">
        <v>39.4</v>
      </c>
      <c r="N535" s="2">
        <f ca="1">Table1[[#This Row],[2026 (EUR)]]*(1-INDIRECT(Table1[[#This Row],[Discount Name]]))</f>
        <v>33.9</v>
      </c>
      <c r="O535" s="2">
        <f ca="1">Table1[[#This Row],[2026 (DKK)]]*(1-INDIRECT(Table1[[#This Row],[Discount Name]]))</f>
        <v>252.9</v>
      </c>
      <c r="P535" s="2" cm="1">
        <f t="array" aca="1" ref="P535" ca="1">Table1[[#This Row],[2026 (USD)]]*(1-INDIRECT(Table1[[#This Row],[Discount Name]]))</f>
        <v>39.4</v>
      </c>
      <c r="Q535" s="31">
        <f ca="1">INDIRECT(Table1[[#This Row],[Discount Name]])</f>
        <v>0</v>
      </c>
      <c r="R535" s="110">
        <v>31.8</v>
      </c>
      <c r="S535" s="2">
        <f t="shared" ca="1" si="16"/>
        <v>33.9</v>
      </c>
      <c r="T535" s="2">
        <f t="shared" ca="1" si="17"/>
        <v>252.9</v>
      </c>
      <c r="U535" s="71" t="str">
        <f>IFERROR(VLOOKUP(Table1[[#This Row],[No_]],'Customer Net Price'!A:F,5,FALSE),"0")</f>
        <v>0</v>
      </c>
      <c r="V535" s="71" t="str">
        <f>IFERROR(VLOOKUP(Table1[[#This Row],[No_]],'Customer Net Price'!A:G,6,FALSE),"0")</f>
        <v>0</v>
      </c>
    </row>
    <row r="536" spans="1:22" x14ac:dyDescent="0.25">
      <c r="A536" s="23" t="s">
        <v>58</v>
      </c>
      <c r="B536" s="23" t="s">
        <v>58</v>
      </c>
      <c r="C536" t="s">
        <v>247</v>
      </c>
      <c r="D536" t="s">
        <v>307</v>
      </c>
      <c r="E536" t="s">
        <v>546</v>
      </c>
      <c r="F536" t="s">
        <v>307</v>
      </c>
      <c r="G536" t="s">
        <v>307</v>
      </c>
      <c r="H536" s="1" t="s">
        <v>441</v>
      </c>
      <c r="I536">
        <v>40</v>
      </c>
      <c r="J536" t="s">
        <v>546</v>
      </c>
      <c r="K536" s="2">
        <v>33.9</v>
      </c>
      <c r="L536" s="2">
        <v>252.9</v>
      </c>
      <c r="M536" s="2">
        <v>39.4</v>
      </c>
      <c r="N536" s="2">
        <f ca="1">Table1[[#This Row],[2026 (EUR)]]*(1-INDIRECT(Table1[[#This Row],[Discount Name]]))</f>
        <v>33.9</v>
      </c>
      <c r="O536" s="2">
        <f ca="1">Table1[[#This Row],[2026 (DKK)]]*(1-INDIRECT(Table1[[#This Row],[Discount Name]]))</f>
        <v>252.9</v>
      </c>
      <c r="P536" s="2" cm="1">
        <f t="array" aca="1" ref="P536" ca="1">Table1[[#This Row],[2026 (USD)]]*(1-INDIRECT(Table1[[#This Row],[Discount Name]]))</f>
        <v>39.4</v>
      </c>
      <c r="Q536" s="31">
        <f ca="1">INDIRECT(Table1[[#This Row],[Discount Name]])</f>
        <v>0</v>
      </c>
      <c r="R536" s="110">
        <v>31.8</v>
      </c>
      <c r="S536" s="2">
        <f t="shared" ca="1" si="16"/>
        <v>33.9</v>
      </c>
      <c r="T536" s="2">
        <f t="shared" ca="1" si="17"/>
        <v>252.9</v>
      </c>
      <c r="U536" s="71" t="str">
        <f>IFERROR(VLOOKUP(Table1[[#This Row],[No_]],'Customer Net Price'!A:F,5,FALSE),"0")</f>
        <v>0</v>
      </c>
      <c r="V536" s="71" t="str">
        <f>IFERROR(VLOOKUP(Table1[[#This Row],[No_]],'Customer Net Price'!A:G,6,FALSE),"0")</f>
        <v>0</v>
      </c>
    </row>
    <row r="537" spans="1:22" x14ac:dyDescent="0.25">
      <c r="A537" s="23" t="s">
        <v>59</v>
      </c>
      <c r="B537" s="23" t="s">
        <v>59</v>
      </c>
      <c r="C537" t="s">
        <v>248</v>
      </c>
      <c r="D537" t="s">
        <v>307</v>
      </c>
      <c r="E537" t="s">
        <v>546</v>
      </c>
      <c r="F537" t="s">
        <v>307</v>
      </c>
      <c r="G537" t="s">
        <v>307</v>
      </c>
      <c r="H537" s="1" t="s">
        <v>442</v>
      </c>
      <c r="I537">
        <v>40</v>
      </c>
      <c r="J537" t="s">
        <v>546</v>
      </c>
      <c r="K537" s="2">
        <v>31.7</v>
      </c>
      <c r="L537" s="2">
        <v>235.9</v>
      </c>
      <c r="M537" s="2">
        <v>37.299999999999997</v>
      </c>
      <c r="N537" s="2">
        <f ca="1">Table1[[#This Row],[2026 (EUR)]]*(1-INDIRECT(Table1[[#This Row],[Discount Name]]))</f>
        <v>31.7</v>
      </c>
      <c r="O537" s="2">
        <f ca="1">Table1[[#This Row],[2026 (DKK)]]*(1-INDIRECT(Table1[[#This Row],[Discount Name]]))</f>
        <v>235.9</v>
      </c>
      <c r="P537" s="2" cm="1">
        <f t="array" aca="1" ref="P537" ca="1">Table1[[#This Row],[2026 (USD)]]*(1-INDIRECT(Table1[[#This Row],[Discount Name]]))</f>
        <v>37.299999999999997</v>
      </c>
      <c r="Q537" s="31">
        <f ca="1">INDIRECT(Table1[[#This Row],[Discount Name]])</f>
        <v>0</v>
      </c>
      <c r="R537" s="110">
        <v>29.8</v>
      </c>
      <c r="S537" s="2">
        <f t="shared" ca="1" si="16"/>
        <v>31.7</v>
      </c>
      <c r="T537" s="2">
        <f t="shared" ca="1" si="17"/>
        <v>235.9</v>
      </c>
      <c r="U537" s="71" t="str">
        <f>IFERROR(VLOOKUP(Table1[[#This Row],[No_]],'Customer Net Price'!A:F,5,FALSE),"0")</f>
        <v>0</v>
      </c>
      <c r="V537" s="71" t="str">
        <f>IFERROR(VLOOKUP(Table1[[#This Row],[No_]],'Customer Net Price'!A:G,6,FALSE),"0")</f>
        <v>0</v>
      </c>
    </row>
    <row r="538" spans="1:22" x14ac:dyDescent="0.25">
      <c r="A538" s="23" t="s">
        <v>60</v>
      </c>
      <c r="B538" s="23" t="s">
        <v>60</v>
      </c>
      <c r="C538" t="s">
        <v>249</v>
      </c>
      <c r="D538" t="s">
        <v>307</v>
      </c>
      <c r="E538" t="s">
        <v>546</v>
      </c>
      <c r="F538" t="s">
        <v>307</v>
      </c>
      <c r="G538" t="s">
        <v>307</v>
      </c>
      <c r="H538" s="1" t="s">
        <v>443</v>
      </c>
      <c r="I538">
        <v>40</v>
      </c>
      <c r="J538" t="s">
        <v>546</v>
      </c>
      <c r="K538" s="2">
        <v>33.9</v>
      </c>
      <c r="L538" s="2">
        <v>252.9</v>
      </c>
      <c r="M538" s="2">
        <v>39.4</v>
      </c>
      <c r="N538" s="2">
        <f ca="1">Table1[[#This Row],[2026 (EUR)]]*(1-INDIRECT(Table1[[#This Row],[Discount Name]]))</f>
        <v>33.9</v>
      </c>
      <c r="O538" s="2">
        <f ca="1">Table1[[#This Row],[2026 (DKK)]]*(1-INDIRECT(Table1[[#This Row],[Discount Name]]))</f>
        <v>252.9</v>
      </c>
      <c r="P538" s="2" cm="1">
        <f t="array" aca="1" ref="P538" ca="1">Table1[[#This Row],[2026 (USD)]]*(1-INDIRECT(Table1[[#This Row],[Discount Name]]))</f>
        <v>39.4</v>
      </c>
      <c r="Q538" s="31">
        <f ca="1">INDIRECT(Table1[[#This Row],[Discount Name]])</f>
        <v>0</v>
      </c>
      <c r="R538" s="110">
        <v>31.8</v>
      </c>
      <c r="S538" s="2">
        <f t="shared" ca="1" si="16"/>
        <v>33.9</v>
      </c>
      <c r="T538" s="2">
        <f t="shared" ca="1" si="17"/>
        <v>252.9</v>
      </c>
      <c r="U538" s="71" t="str">
        <f>IFERROR(VLOOKUP(Table1[[#This Row],[No_]],'Customer Net Price'!A:F,5,FALSE),"0")</f>
        <v>0</v>
      </c>
      <c r="V538" s="71" t="str">
        <f>IFERROR(VLOOKUP(Table1[[#This Row],[No_]],'Customer Net Price'!A:G,6,FALSE),"0")</f>
        <v>0</v>
      </c>
    </row>
    <row r="539" spans="1:22" x14ac:dyDescent="0.25">
      <c r="A539" s="23" t="s">
        <v>61</v>
      </c>
      <c r="B539" s="23" t="s">
        <v>61</v>
      </c>
      <c r="C539" t="s">
        <v>250</v>
      </c>
      <c r="D539" t="s">
        <v>307</v>
      </c>
      <c r="E539" t="s">
        <v>546</v>
      </c>
      <c r="F539" t="s">
        <v>307</v>
      </c>
      <c r="G539" t="s">
        <v>307</v>
      </c>
      <c r="H539" s="1" t="s">
        <v>444</v>
      </c>
      <c r="I539">
        <v>40</v>
      </c>
      <c r="J539" t="s">
        <v>546</v>
      </c>
      <c r="K539" s="2">
        <v>33.9</v>
      </c>
      <c r="L539" s="2">
        <v>252.9</v>
      </c>
      <c r="M539" s="2">
        <v>39.4</v>
      </c>
      <c r="N539" s="2">
        <f ca="1">Table1[[#This Row],[2026 (EUR)]]*(1-INDIRECT(Table1[[#This Row],[Discount Name]]))</f>
        <v>33.9</v>
      </c>
      <c r="O539" s="2">
        <f ca="1">Table1[[#This Row],[2026 (DKK)]]*(1-INDIRECT(Table1[[#This Row],[Discount Name]]))</f>
        <v>252.9</v>
      </c>
      <c r="P539" s="2" cm="1">
        <f t="array" aca="1" ref="P539" ca="1">Table1[[#This Row],[2026 (USD)]]*(1-INDIRECT(Table1[[#This Row],[Discount Name]]))</f>
        <v>39.4</v>
      </c>
      <c r="Q539" s="31">
        <f ca="1">INDIRECT(Table1[[#This Row],[Discount Name]])</f>
        <v>0</v>
      </c>
      <c r="R539" s="110">
        <v>31.8</v>
      </c>
      <c r="S539" s="2">
        <f t="shared" ca="1" si="16"/>
        <v>33.9</v>
      </c>
      <c r="T539" s="2">
        <f t="shared" ca="1" si="17"/>
        <v>252.9</v>
      </c>
      <c r="U539" s="71" t="str">
        <f>IFERROR(VLOOKUP(Table1[[#This Row],[No_]],'Customer Net Price'!A:F,5,FALSE),"0")</f>
        <v>0</v>
      </c>
      <c r="V539" s="71" t="str">
        <f>IFERROR(VLOOKUP(Table1[[#This Row],[No_]],'Customer Net Price'!A:G,6,FALSE),"0")</f>
        <v>0</v>
      </c>
    </row>
    <row r="540" spans="1:22" x14ac:dyDescent="0.25">
      <c r="A540" s="23" t="s">
        <v>62</v>
      </c>
      <c r="B540" s="23" t="s">
        <v>62</v>
      </c>
      <c r="C540" t="s">
        <v>251</v>
      </c>
      <c r="D540" t="s">
        <v>307</v>
      </c>
      <c r="E540" t="s">
        <v>546</v>
      </c>
      <c r="F540" t="s">
        <v>307</v>
      </c>
      <c r="G540" t="s">
        <v>307</v>
      </c>
      <c r="H540" s="1" t="s">
        <v>445</v>
      </c>
      <c r="I540">
        <v>40</v>
      </c>
      <c r="J540" t="s">
        <v>546</v>
      </c>
      <c r="K540" s="2">
        <v>37.200000000000003</v>
      </c>
      <c r="L540" s="2">
        <v>277.89999999999998</v>
      </c>
      <c r="M540" s="2">
        <v>41.5</v>
      </c>
      <c r="N540" s="2">
        <f ca="1">Table1[[#This Row],[2026 (EUR)]]*(1-INDIRECT(Table1[[#This Row],[Discount Name]]))</f>
        <v>37.200000000000003</v>
      </c>
      <c r="O540" s="2">
        <f ca="1">Table1[[#This Row],[2026 (DKK)]]*(1-INDIRECT(Table1[[#This Row],[Discount Name]]))</f>
        <v>277.89999999999998</v>
      </c>
      <c r="P540" s="2" cm="1">
        <f t="array" aca="1" ref="P540" ca="1">Table1[[#This Row],[2026 (USD)]]*(1-INDIRECT(Table1[[#This Row],[Discount Name]]))</f>
        <v>41.5</v>
      </c>
      <c r="Q540" s="31">
        <f ca="1">INDIRECT(Table1[[#This Row],[Discount Name]])</f>
        <v>0</v>
      </c>
      <c r="R540" s="110">
        <v>34.9</v>
      </c>
      <c r="S540" s="2">
        <f t="shared" ca="1" si="16"/>
        <v>37.200000000000003</v>
      </c>
      <c r="T540" s="2">
        <f t="shared" ca="1" si="17"/>
        <v>277.89999999999998</v>
      </c>
      <c r="U540" s="71" t="str">
        <f>IFERROR(VLOOKUP(Table1[[#This Row],[No_]],'Customer Net Price'!A:F,5,FALSE),"0")</f>
        <v>0</v>
      </c>
      <c r="V540" s="71" t="str">
        <f>IFERROR(VLOOKUP(Table1[[#This Row],[No_]],'Customer Net Price'!A:G,6,FALSE),"0")</f>
        <v>0</v>
      </c>
    </row>
    <row r="541" spans="1:22" x14ac:dyDescent="0.25">
      <c r="A541" s="23" t="s">
        <v>63</v>
      </c>
      <c r="B541" s="23" t="s">
        <v>63</v>
      </c>
      <c r="C541" t="s">
        <v>252</v>
      </c>
      <c r="D541" t="s">
        <v>307</v>
      </c>
      <c r="E541" t="s">
        <v>546</v>
      </c>
      <c r="F541" t="s">
        <v>307</v>
      </c>
      <c r="G541" t="s">
        <v>307</v>
      </c>
      <c r="H541" s="1" t="s">
        <v>446</v>
      </c>
      <c r="I541">
        <v>40</v>
      </c>
      <c r="J541" t="s">
        <v>546</v>
      </c>
      <c r="K541" s="2">
        <v>37.200000000000003</v>
      </c>
      <c r="L541" s="2">
        <v>277.89999999999998</v>
      </c>
      <c r="M541" s="2">
        <v>41.5</v>
      </c>
      <c r="N541" s="2">
        <f ca="1">Table1[[#This Row],[2026 (EUR)]]*(1-INDIRECT(Table1[[#This Row],[Discount Name]]))</f>
        <v>37.200000000000003</v>
      </c>
      <c r="O541" s="2">
        <f ca="1">Table1[[#This Row],[2026 (DKK)]]*(1-INDIRECT(Table1[[#This Row],[Discount Name]]))</f>
        <v>277.89999999999998</v>
      </c>
      <c r="P541" s="2" cm="1">
        <f t="array" aca="1" ref="P541" ca="1">Table1[[#This Row],[2026 (USD)]]*(1-INDIRECT(Table1[[#This Row],[Discount Name]]))</f>
        <v>41.5</v>
      </c>
      <c r="Q541" s="31">
        <f ca="1">INDIRECT(Table1[[#This Row],[Discount Name]])</f>
        <v>0</v>
      </c>
      <c r="R541" s="110">
        <v>34.9</v>
      </c>
      <c r="S541" s="2">
        <f t="shared" ca="1" si="16"/>
        <v>37.200000000000003</v>
      </c>
      <c r="T541" s="2">
        <f t="shared" ca="1" si="17"/>
        <v>277.89999999999998</v>
      </c>
      <c r="U541" s="71" t="str">
        <f>IFERROR(VLOOKUP(Table1[[#This Row],[No_]],'Customer Net Price'!A:F,5,FALSE),"0")</f>
        <v>0</v>
      </c>
      <c r="V541" s="71" t="str">
        <f>IFERROR(VLOOKUP(Table1[[#This Row],[No_]],'Customer Net Price'!A:G,6,FALSE),"0")</f>
        <v>0</v>
      </c>
    </row>
    <row r="542" spans="1:22" x14ac:dyDescent="0.25">
      <c r="A542" s="23" t="s">
        <v>64</v>
      </c>
      <c r="B542" s="23" t="s">
        <v>64</v>
      </c>
      <c r="C542" t="s">
        <v>253</v>
      </c>
      <c r="D542" t="s">
        <v>307</v>
      </c>
      <c r="E542" t="s">
        <v>546</v>
      </c>
      <c r="F542" t="s">
        <v>307</v>
      </c>
      <c r="G542" t="s">
        <v>307</v>
      </c>
      <c r="H542" s="1" t="s">
        <v>447</v>
      </c>
      <c r="I542">
        <v>40</v>
      </c>
      <c r="J542" t="s">
        <v>546</v>
      </c>
      <c r="K542" s="2">
        <v>37.200000000000003</v>
      </c>
      <c r="L542" s="2">
        <v>277.89999999999998</v>
      </c>
      <c r="M542" s="2">
        <v>41.5</v>
      </c>
      <c r="N542" s="2">
        <f ca="1">Table1[[#This Row],[2026 (EUR)]]*(1-INDIRECT(Table1[[#This Row],[Discount Name]]))</f>
        <v>37.200000000000003</v>
      </c>
      <c r="O542" s="2">
        <f ca="1">Table1[[#This Row],[2026 (DKK)]]*(1-INDIRECT(Table1[[#This Row],[Discount Name]]))</f>
        <v>277.89999999999998</v>
      </c>
      <c r="P542" s="2" cm="1">
        <f t="array" aca="1" ref="P542" ca="1">Table1[[#This Row],[2026 (USD)]]*(1-INDIRECT(Table1[[#This Row],[Discount Name]]))</f>
        <v>41.5</v>
      </c>
      <c r="Q542" s="31">
        <f ca="1">INDIRECT(Table1[[#This Row],[Discount Name]])</f>
        <v>0</v>
      </c>
      <c r="R542" s="110">
        <v>34.9</v>
      </c>
      <c r="S542" s="2">
        <f t="shared" ca="1" si="16"/>
        <v>37.200000000000003</v>
      </c>
      <c r="T542" s="2">
        <f t="shared" ca="1" si="17"/>
        <v>277.89999999999998</v>
      </c>
      <c r="U542" s="71" t="str">
        <f>IFERROR(VLOOKUP(Table1[[#This Row],[No_]],'Customer Net Price'!A:F,5,FALSE),"0")</f>
        <v>0</v>
      </c>
      <c r="V542" s="71" t="str">
        <f>IFERROR(VLOOKUP(Table1[[#This Row],[No_]],'Customer Net Price'!A:G,6,FALSE),"0")</f>
        <v>0</v>
      </c>
    </row>
    <row r="543" spans="1:22" x14ac:dyDescent="0.25">
      <c r="A543" s="23" t="s">
        <v>65</v>
      </c>
      <c r="B543" s="23" t="s">
        <v>65</v>
      </c>
      <c r="C543" t="s">
        <v>254</v>
      </c>
      <c r="D543" t="s">
        <v>307</v>
      </c>
      <c r="E543" t="s">
        <v>546</v>
      </c>
      <c r="F543" t="s">
        <v>307</v>
      </c>
      <c r="G543" t="s">
        <v>307</v>
      </c>
      <c r="H543" s="1" t="s">
        <v>448</v>
      </c>
      <c r="I543">
        <v>40</v>
      </c>
      <c r="J543" t="s">
        <v>546</v>
      </c>
      <c r="K543" s="2">
        <v>37.200000000000003</v>
      </c>
      <c r="L543" s="2">
        <v>277.89999999999998</v>
      </c>
      <c r="M543" s="2">
        <v>41.5</v>
      </c>
      <c r="N543" s="2">
        <f ca="1">Table1[[#This Row],[2026 (EUR)]]*(1-INDIRECT(Table1[[#This Row],[Discount Name]]))</f>
        <v>37.200000000000003</v>
      </c>
      <c r="O543" s="2">
        <f ca="1">Table1[[#This Row],[2026 (DKK)]]*(1-INDIRECT(Table1[[#This Row],[Discount Name]]))</f>
        <v>277.89999999999998</v>
      </c>
      <c r="P543" s="2" cm="1">
        <f t="array" aca="1" ref="P543" ca="1">Table1[[#This Row],[2026 (USD)]]*(1-INDIRECT(Table1[[#This Row],[Discount Name]]))</f>
        <v>41.5</v>
      </c>
      <c r="Q543" s="31">
        <f ca="1">INDIRECT(Table1[[#This Row],[Discount Name]])</f>
        <v>0</v>
      </c>
      <c r="R543" s="110">
        <v>34.9</v>
      </c>
      <c r="S543" s="2">
        <f t="shared" ca="1" si="16"/>
        <v>37.200000000000003</v>
      </c>
      <c r="T543" s="2">
        <f t="shared" ca="1" si="17"/>
        <v>277.89999999999998</v>
      </c>
      <c r="U543" s="71" t="str">
        <f>IFERROR(VLOOKUP(Table1[[#This Row],[No_]],'Customer Net Price'!A:F,5,FALSE),"0")</f>
        <v>0</v>
      </c>
      <c r="V543" s="71" t="str">
        <f>IFERROR(VLOOKUP(Table1[[#This Row],[No_]],'Customer Net Price'!A:G,6,FALSE),"0")</f>
        <v>0</v>
      </c>
    </row>
    <row r="544" spans="1:22" x14ac:dyDescent="0.25">
      <c r="A544" s="23" t="s">
        <v>66</v>
      </c>
      <c r="B544" s="23" t="s">
        <v>66</v>
      </c>
      <c r="C544" t="s">
        <v>255</v>
      </c>
      <c r="D544" t="s">
        <v>307</v>
      </c>
      <c r="E544" t="s">
        <v>546</v>
      </c>
      <c r="F544" t="s">
        <v>307</v>
      </c>
      <c r="G544" t="s">
        <v>307</v>
      </c>
      <c r="H544" s="1" t="s">
        <v>449</v>
      </c>
      <c r="I544">
        <v>40</v>
      </c>
      <c r="J544" t="s">
        <v>546</v>
      </c>
      <c r="K544" s="2">
        <v>31.7</v>
      </c>
      <c r="L544" s="2">
        <v>235.9</v>
      </c>
      <c r="M544" s="2">
        <v>37.299999999999997</v>
      </c>
      <c r="N544" s="2">
        <f ca="1">Table1[[#This Row],[2026 (EUR)]]*(1-INDIRECT(Table1[[#This Row],[Discount Name]]))</f>
        <v>31.7</v>
      </c>
      <c r="O544" s="2">
        <f ca="1">Table1[[#This Row],[2026 (DKK)]]*(1-INDIRECT(Table1[[#This Row],[Discount Name]]))</f>
        <v>235.9</v>
      </c>
      <c r="P544" s="2" cm="1">
        <f t="array" aca="1" ref="P544" ca="1">Table1[[#This Row],[2026 (USD)]]*(1-INDIRECT(Table1[[#This Row],[Discount Name]]))</f>
        <v>37.299999999999997</v>
      </c>
      <c r="Q544" s="31">
        <f ca="1">INDIRECT(Table1[[#This Row],[Discount Name]])</f>
        <v>0</v>
      </c>
      <c r="R544" s="110">
        <v>29.8</v>
      </c>
      <c r="S544" s="2">
        <f t="shared" ca="1" si="16"/>
        <v>31.7</v>
      </c>
      <c r="T544" s="2">
        <f t="shared" ca="1" si="17"/>
        <v>235.9</v>
      </c>
      <c r="U544" s="71" t="str">
        <f>IFERROR(VLOOKUP(Table1[[#This Row],[No_]],'Customer Net Price'!A:F,5,FALSE),"0")</f>
        <v>0</v>
      </c>
      <c r="V544" s="71" t="str">
        <f>IFERROR(VLOOKUP(Table1[[#This Row],[No_]],'Customer Net Price'!A:G,6,FALSE),"0")</f>
        <v>0</v>
      </c>
    </row>
    <row r="545" spans="1:22" x14ac:dyDescent="0.25">
      <c r="A545" s="23" t="s">
        <v>67</v>
      </c>
      <c r="B545" s="23" t="s">
        <v>67</v>
      </c>
      <c r="C545" t="s">
        <v>256</v>
      </c>
      <c r="D545" t="s">
        <v>307</v>
      </c>
      <c r="E545" t="s">
        <v>546</v>
      </c>
      <c r="F545" t="s">
        <v>307</v>
      </c>
      <c r="G545" t="s">
        <v>307</v>
      </c>
      <c r="H545" s="1" t="s">
        <v>450</v>
      </c>
      <c r="I545">
        <v>40</v>
      </c>
      <c r="J545" t="s">
        <v>546</v>
      </c>
      <c r="K545" s="2">
        <v>33.9</v>
      </c>
      <c r="L545" s="2">
        <v>252.9</v>
      </c>
      <c r="M545" s="2">
        <v>39.4</v>
      </c>
      <c r="N545" s="2">
        <f ca="1">Table1[[#This Row],[2026 (EUR)]]*(1-INDIRECT(Table1[[#This Row],[Discount Name]]))</f>
        <v>33.9</v>
      </c>
      <c r="O545" s="2">
        <f ca="1">Table1[[#This Row],[2026 (DKK)]]*(1-INDIRECT(Table1[[#This Row],[Discount Name]]))</f>
        <v>252.9</v>
      </c>
      <c r="P545" s="2" cm="1">
        <f t="array" aca="1" ref="P545" ca="1">Table1[[#This Row],[2026 (USD)]]*(1-INDIRECT(Table1[[#This Row],[Discount Name]]))</f>
        <v>39.4</v>
      </c>
      <c r="Q545" s="31">
        <f ca="1">INDIRECT(Table1[[#This Row],[Discount Name]])</f>
        <v>0</v>
      </c>
      <c r="R545" s="110">
        <v>31.8</v>
      </c>
      <c r="S545" s="2">
        <f t="shared" ca="1" si="16"/>
        <v>33.9</v>
      </c>
      <c r="T545" s="2">
        <f t="shared" ca="1" si="17"/>
        <v>252.9</v>
      </c>
      <c r="U545" s="71" t="str">
        <f>IFERROR(VLOOKUP(Table1[[#This Row],[No_]],'Customer Net Price'!A:F,5,FALSE),"0")</f>
        <v>0</v>
      </c>
      <c r="V545" s="71" t="str">
        <f>IFERROR(VLOOKUP(Table1[[#This Row],[No_]],'Customer Net Price'!A:G,6,FALSE),"0")</f>
        <v>0</v>
      </c>
    </row>
    <row r="546" spans="1:22" x14ac:dyDescent="0.25">
      <c r="A546" s="23" t="s">
        <v>68</v>
      </c>
      <c r="B546" s="23" t="s">
        <v>68</v>
      </c>
      <c r="C546" t="s">
        <v>257</v>
      </c>
      <c r="D546" t="s">
        <v>307</v>
      </c>
      <c r="E546" t="s">
        <v>546</v>
      </c>
      <c r="F546" t="s">
        <v>307</v>
      </c>
      <c r="G546" t="s">
        <v>307</v>
      </c>
      <c r="H546" s="1" t="s">
        <v>451</v>
      </c>
      <c r="I546">
        <v>40</v>
      </c>
      <c r="J546" t="s">
        <v>546</v>
      </c>
      <c r="K546" s="2">
        <v>33.9</v>
      </c>
      <c r="L546" s="2">
        <v>252.9</v>
      </c>
      <c r="M546" s="2">
        <v>39.9</v>
      </c>
      <c r="N546" s="2">
        <f ca="1">Table1[[#This Row],[2026 (EUR)]]*(1-INDIRECT(Table1[[#This Row],[Discount Name]]))</f>
        <v>33.9</v>
      </c>
      <c r="O546" s="2">
        <f ca="1">Table1[[#This Row],[2026 (DKK)]]*(1-INDIRECT(Table1[[#This Row],[Discount Name]]))</f>
        <v>252.9</v>
      </c>
      <c r="P546" s="2" cm="1">
        <f t="array" aca="1" ref="P546" ca="1">Table1[[#This Row],[2026 (USD)]]*(1-INDIRECT(Table1[[#This Row],[Discount Name]]))</f>
        <v>39.9</v>
      </c>
      <c r="Q546" s="31">
        <f ca="1">INDIRECT(Table1[[#This Row],[Discount Name]])</f>
        <v>0</v>
      </c>
      <c r="R546" s="110">
        <v>31.8</v>
      </c>
      <c r="S546" s="2">
        <f t="shared" ca="1" si="16"/>
        <v>33.9</v>
      </c>
      <c r="T546" s="2">
        <f t="shared" ca="1" si="17"/>
        <v>252.9</v>
      </c>
      <c r="U546" s="71" t="str">
        <f>IFERROR(VLOOKUP(Table1[[#This Row],[No_]],'Customer Net Price'!A:F,5,FALSE),"0")</f>
        <v>0</v>
      </c>
      <c r="V546" s="71" t="str">
        <f>IFERROR(VLOOKUP(Table1[[#This Row],[No_]],'Customer Net Price'!A:G,6,FALSE),"0")</f>
        <v>0</v>
      </c>
    </row>
    <row r="547" spans="1:22" x14ac:dyDescent="0.25">
      <c r="A547" s="23" t="s">
        <v>69</v>
      </c>
      <c r="B547" s="23" t="s">
        <v>69</v>
      </c>
      <c r="C547" t="s">
        <v>258</v>
      </c>
      <c r="D547" t="s">
        <v>307</v>
      </c>
      <c r="E547" t="s">
        <v>546</v>
      </c>
      <c r="F547" t="s">
        <v>307</v>
      </c>
      <c r="G547" t="s">
        <v>307</v>
      </c>
      <c r="H547" s="1" t="s">
        <v>452</v>
      </c>
      <c r="I547">
        <v>40</v>
      </c>
      <c r="J547" t="s">
        <v>546</v>
      </c>
      <c r="K547" s="2">
        <v>37.200000000000003</v>
      </c>
      <c r="L547" s="2">
        <v>277.89999999999998</v>
      </c>
      <c r="M547" s="2">
        <v>41.5</v>
      </c>
      <c r="N547" s="2">
        <f ca="1">Table1[[#This Row],[2026 (EUR)]]*(1-INDIRECT(Table1[[#This Row],[Discount Name]]))</f>
        <v>37.200000000000003</v>
      </c>
      <c r="O547" s="2">
        <f ca="1">Table1[[#This Row],[2026 (DKK)]]*(1-INDIRECT(Table1[[#This Row],[Discount Name]]))</f>
        <v>277.89999999999998</v>
      </c>
      <c r="P547" s="2" cm="1">
        <f t="array" aca="1" ref="P547" ca="1">Table1[[#This Row],[2026 (USD)]]*(1-INDIRECT(Table1[[#This Row],[Discount Name]]))</f>
        <v>41.5</v>
      </c>
      <c r="Q547" s="31">
        <f ca="1">INDIRECT(Table1[[#This Row],[Discount Name]])</f>
        <v>0</v>
      </c>
      <c r="R547" s="110">
        <v>34.9</v>
      </c>
      <c r="S547" s="2">
        <f t="shared" ca="1" si="16"/>
        <v>37.200000000000003</v>
      </c>
      <c r="T547" s="2">
        <f t="shared" ca="1" si="17"/>
        <v>277.89999999999998</v>
      </c>
      <c r="U547" s="71" t="str">
        <f>IFERROR(VLOOKUP(Table1[[#This Row],[No_]],'Customer Net Price'!A:F,5,FALSE),"0")</f>
        <v>0</v>
      </c>
      <c r="V547" s="71" t="str">
        <f>IFERROR(VLOOKUP(Table1[[#This Row],[No_]],'Customer Net Price'!A:G,6,FALSE),"0")</f>
        <v>0</v>
      </c>
    </row>
    <row r="548" spans="1:22" x14ac:dyDescent="0.25">
      <c r="A548" s="23" t="s">
        <v>70</v>
      </c>
      <c r="B548" s="23" t="s">
        <v>70</v>
      </c>
      <c r="C548" t="s">
        <v>259</v>
      </c>
      <c r="D548" t="s">
        <v>307</v>
      </c>
      <c r="E548" t="s">
        <v>546</v>
      </c>
      <c r="F548" t="s">
        <v>307</v>
      </c>
      <c r="G548" t="s">
        <v>307</v>
      </c>
      <c r="H548" s="1" t="s">
        <v>453</v>
      </c>
      <c r="I548">
        <v>40</v>
      </c>
      <c r="J548" t="s">
        <v>546</v>
      </c>
      <c r="K548" s="2">
        <v>37.200000000000003</v>
      </c>
      <c r="L548" s="2">
        <v>277.89999999999998</v>
      </c>
      <c r="M548" s="2">
        <v>41.5</v>
      </c>
      <c r="N548" s="2">
        <f ca="1">Table1[[#This Row],[2026 (EUR)]]*(1-INDIRECT(Table1[[#This Row],[Discount Name]]))</f>
        <v>37.200000000000003</v>
      </c>
      <c r="O548" s="2">
        <f ca="1">Table1[[#This Row],[2026 (DKK)]]*(1-INDIRECT(Table1[[#This Row],[Discount Name]]))</f>
        <v>277.89999999999998</v>
      </c>
      <c r="P548" s="2" cm="1">
        <f t="array" aca="1" ref="P548" ca="1">Table1[[#This Row],[2026 (USD)]]*(1-INDIRECT(Table1[[#This Row],[Discount Name]]))</f>
        <v>41.5</v>
      </c>
      <c r="Q548" s="31">
        <f ca="1">INDIRECT(Table1[[#This Row],[Discount Name]])</f>
        <v>0</v>
      </c>
      <c r="R548" s="110">
        <v>34.9</v>
      </c>
      <c r="S548" s="2">
        <f t="shared" ca="1" si="16"/>
        <v>37.200000000000003</v>
      </c>
      <c r="T548" s="2">
        <f t="shared" ca="1" si="17"/>
        <v>277.89999999999998</v>
      </c>
      <c r="U548" s="71" t="str">
        <f>IFERROR(VLOOKUP(Table1[[#This Row],[No_]],'Customer Net Price'!A:F,5,FALSE),"0")</f>
        <v>0</v>
      </c>
      <c r="V548" s="71" t="str">
        <f>IFERROR(VLOOKUP(Table1[[#This Row],[No_]],'Customer Net Price'!A:G,6,FALSE),"0")</f>
        <v>0</v>
      </c>
    </row>
    <row r="549" spans="1:22" x14ac:dyDescent="0.25">
      <c r="A549" s="23" t="s">
        <v>71</v>
      </c>
      <c r="B549" s="23" t="s">
        <v>71</v>
      </c>
      <c r="C549" t="s">
        <v>260</v>
      </c>
      <c r="D549" t="s">
        <v>307</v>
      </c>
      <c r="E549" t="s">
        <v>546</v>
      </c>
      <c r="F549" t="s">
        <v>307</v>
      </c>
      <c r="G549" t="s">
        <v>307</v>
      </c>
      <c r="H549" s="1" t="s">
        <v>454</v>
      </c>
      <c r="I549">
        <v>40</v>
      </c>
      <c r="J549" t="s">
        <v>546</v>
      </c>
      <c r="K549" s="2">
        <v>37.200000000000003</v>
      </c>
      <c r="L549" s="2">
        <v>277.89999999999998</v>
      </c>
      <c r="M549" s="2">
        <v>41.5</v>
      </c>
      <c r="N549" s="2">
        <f ca="1">Table1[[#This Row],[2026 (EUR)]]*(1-INDIRECT(Table1[[#This Row],[Discount Name]]))</f>
        <v>37.200000000000003</v>
      </c>
      <c r="O549" s="2">
        <f ca="1">Table1[[#This Row],[2026 (DKK)]]*(1-INDIRECT(Table1[[#This Row],[Discount Name]]))</f>
        <v>277.89999999999998</v>
      </c>
      <c r="P549" s="2" cm="1">
        <f t="array" aca="1" ref="P549" ca="1">Table1[[#This Row],[2026 (USD)]]*(1-INDIRECT(Table1[[#This Row],[Discount Name]]))</f>
        <v>41.5</v>
      </c>
      <c r="Q549" s="31">
        <f ca="1">INDIRECT(Table1[[#This Row],[Discount Name]])</f>
        <v>0</v>
      </c>
      <c r="R549" s="110">
        <v>34.9</v>
      </c>
      <c r="S549" s="2">
        <f t="shared" ca="1" si="16"/>
        <v>37.200000000000003</v>
      </c>
      <c r="T549" s="2">
        <f t="shared" ca="1" si="17"/>
        <v>277.89999999999998</v>
      </c>
      <c r="U549" s="71" t="str">
        <f>IFERROR(VLOOKUP(Table1[[#This Row],[No_]],'Customer Net Price'!A:F,5,FALSE),"0")</f>
        <v>0</v>
      </c>
      <c r="V549" s="71" t="str">
        <f>IFERROR(VLOOKUP(Table1[[#This Row],[No_]],'Customer Net Price'!A:G,6,FALSE),"0")</f>
        <v>0</v>
      </c>
    </row>
    <row r="550" spans="1:22" x14ac:dyDescent="0.25">
      <c r="A550" s="23" t="s">
        <v>72</v>
      </c>
      <c r="B550" s="23" t="s">
        <v>72</v>
      </c>
      <c r="C550" t="s">
        <v>261</v>
      </c>
      <c r="D550" t="s">
        <v>307</v>
      </c>
      <c r="E550" t="s">
        <v>546</v>
      </c>
      <c r="F550" t="s">
        <v>307</v>
      </c>
      <c r="G550" t="s">
        <v>307</v>
      </c>
      <c r="H550" s="1" t="s">
        <v>455</v>
      </c>
      <c r="I550">
        <v>40</v>
      </c>
      <c r="J550" t="s">
        <v>546</v>
      </c>
      <c r="K550" s="2">
        <v>37.200000000000003</v>
      </c>
      <c r="L550" s="2">
        <v>277.89999999999998</v>
      </c>
      <c r="M550" s="2">
        <v>41.5</v>
      </c>
      <c r="N550" s="2">
        <f ca="1">Table1[[#This Row],[2026 (EUR)]]*(1-INDIRECT(Table1[[#This Row],[Discount Name]]))</f>
        <v>37.200000000000003</v>
      </c>
      <c r="O550" s="2">
        <f ca="1">Table1[[#This Row],[2026 (DKK)]]*(1-INDIRECT(Table1[[#This Row],[Discount Name]]))</f>
        <v>277.89999999999998</v>
      </c>
      <c r="P550" s="2" cm="1">
        <f t="array" aca="1" ref="P550" ca="1">Table1[[#This Row],[2026 (USD)]]*(1-INDIRECT(Table1[[#This Row],[Discount Name]]))</f>
        <v>41.5</v>
      </c>
      <c r="Q550" s="31">
        <f ca="1">INDIRECT(Table1[[#This Row],[Discount Name]])</f>
        <v>0</v>
      </c>
      <c r="R550" s="110">
        <v>34.9</v>
      </c>
      <c r="S550" s="2">
        <f t="shared" ca="1" si="16"/>
        <v>37.200000000000003</v>
      </c>
      <c r="T550" s="2">
        <f t="shared" ca="1" si="17"/>
        <v>277.89999999999998</v>
      </c>
      <c r="U550" s="71" t="str">
        <f>IFERROR(VLOOKUP(Table1[[#This Row],[No_]],'Customer Net Price'!A:F,5,FALSE),"0")</f>
        <v>0</v>
      </c>
      <c r="V550" s="71" t="str">
        <f>IFERROR(VLOOKUP(Table1[[#This Row],[No_]],'Customer Net Price'!A:G,6,FALSE),"0")</f>
        <v>0</v>
      </c>
    </row>
    <row r="551" spans="1:22" x14ac:dyDescent="0.25">
      <c r="A551" s="23" t="s">
        <v>73</v>
      </c>
      <c r="B551" s="23" t="s">
        <v>73</v>
      </c>
      <c r="C551" t="s">
        <v>262</v>
      </c>
      <c r="D551" t="s">
        <v>307</v>
      </c>
      <c r="E551" t="s">
        <v>546</v>
      </c>
      <c r="F551" t="s">
        <v>307</v>
      </c>
      <c r="G551" t="s">
        <v>307</v>
      </c>
      <c r="H551" s="1" t="s">
        <v>456</v>
      </c>
      <c r="I551">
        <v>40</v>
      </c>
      <c r="J551" t="s">
        <v>546</v>
      </c>
      <c r="K551" s="2">
        <v>35</v>
      </c>
      <c r="L551" s="2">
        <v>260.89999999999998</v>
      </c>
      <c r="M551" s="2">
        <v>40.5</v>
      </c>
      <c r="N551" s="2">
        <f ca="1">Table1[[#This Row],[2026 (EUR)]]*(1-INDIRECT(Table1[[#This Row],[Discount Name]]))</f>
        <v>35</v>
      </c>
      <c r="O551" s="2">
        <f ca="1">Table1[[#This Row],[2026 (DKK)]]*(1-INDIRECT(Table1[[#This Row],[Discount Name]]))</f>
        <v>260.89999999999998</v>
      </c>
      <c r="P551" s="2" cm="1">
        <f t="array" aca="1" ref="P551" ca="1">Table1[[#This Row],[2026 (USD)]]*(1-INDIRECT(Table1[[#This Row],[Discount Name]]))</f>
        <v>40.5</v>
      </c>
      <c r="Q551" s="31">
        <f ca="1">INDIRECT(Table1[[#This Row],[Discount Name]])</f>
        <v>0</v>
      </c>
      <c r="R551" s="110">
        <v>32.9</v>
      </c>
      <c r="S551" s="2">
        <f t="shared" ca="1" si="16"/>
        <v>35</v>
      </c>
      <c r="T551" s="2">
        <f t="shared" ca="1" si="17"/>
        <v>260.89999999999998</v>
      </c>
      <c r="U551" s="71" t="str">
        <f>IFERROR(VLOOKUP(Table1[[#This Row],[No_]],'Customer Net Price'!A:F,5,FALSE),"0")</f>
        <v>0</v>
      </c>
      <c r="V551" s="71" t="str">
        <f>IFERROR(VLOOKUP(Table1[[#This Row],[No_]],'Customer Net Price'!A:G,6,FALSE),"0")</f>
        <v>0</v>
      </c>
    </row>
    <row r="552" spans="1:22" x14ac:dyDescent="0.25">
      <c r="A552" s="23" t="s">
        <v>74</v>
      </c>
      <c r="B552" s="23" t="s">
        <v>74</v>
      </c>
      <c r="C552" t="s">
        <v>263</v>
      </c>
      <c r="D552" t="s">
        <v>307</v>
      </c>
      <c r="E552" t="s">
        <v>546</v>
      </c>
      <c r="F552" t="s">
        <v>307</v>
      </c>
      <c r="G552" t="s">
        <v>307</v>
      </c>
      <c r="H552" s="1" t="s">
        <v>457</v>
      </c>
      <c r="I552">
        <v>40</v>
      </c>
      <c r="J552" t="s">
        <v>546</v>
      </c>
      <c r="K552" s="2">
        <v>37.200000000000003</v>
      </c>
      <c r="L552" s="2">
        <v>277.89999999999998</v>
      </c>
      <c r="M552" s="2">
        <v>41.5</v>
      </c>
      <c r="N552" s="2">
        <f ca="1">Table1[[#This Row],[2026 (EUR)]]*(1-INDIRECT(Table1[[#This Row],[Discount Name]]))</f>
        <v>37.200000000000003</v>
      </c>
      <c r="O552" s="2">
        <f ca="1">Table1[[#This Row],[2026 (DKK)]]*(1-INDIRECT(Table1[[#This Row],[Discount Name]]))</f>
        <v>277.89999999999998</v>
      </c>
      <c r="P552" s="2" cm="1">
        <f t="array" aca="1" ref="P552" ca="1">Table1[[#This Row],[2026 (USD)]]*(1-INDIRECT(Table1[[#This Row],[Discount Name]]))</f>
        <v>41.5</v>
      </c>
      <c r="Q552" s="31">
        <f ca="1">INDIRECT(Table1[[#This Row],[Discount Name]])</f>
        <v>0</v>
      </c>
      <c r="R552" s="110">
        <v>34.9</v>
      </c>
      <c r="S552" s="2">
        <f t="shared" ca="1" si="16"/>
        <v>37.200000000000003</v>
      </c>
      <c r="T552" s="2">
        <f t="shared" ca="1" si="17"/>
        <v>277.89999999999998</v>
      </c>
      <c r="U552" s="71" t="str">
        <f>IFERROR(VLOOKUP(Table1[[#This Row],[No_]],'Customer Net Price'!A:F,5,FALSE),"0")</f>
        <v>0</v>
      </c>
      <c r="V552" s="71" t="str">
        <f>IFERROR(VLOOKUP(Table1[[#This Row],[No_]],'Customer Net Price'!A:G,6,FALSE),"0")</f>
        <v>0</v>
      </c>
    </row>
    <row r="553" spans="1:22" x14ac:dyDescent="0.25">
      <c r="A553" s="23" t="s">
        <v>75</v>
      </c>
      <c r="B553" s="23" t="s">
        <v>75</v>
      </c>
      <c r="C553" t="s">
        <v>264</v>
      </c>
      <c r="D553" t="s">
        <v>307</v>
      </c>
      <c r="E553" t="s">
        <v>546</v>
      </c>
      <c r="F553" t="s">
        <v>307</v>
      </c>
      <c r="G553" t="s">
        <v>307</v>
      </c>
      <c r="H553" s="1" t="s">
        <v>458</v>
      </c>
      <c r="I553">
        <v>40</v>
      </c>
      <c r="J553" t="s">
        <v>546</v>
      </c>
      <c r="K553" s="2">
        <v>37.200000000000003</v>
      </c>
      <c r="L553" s="2">
        <v>277.89999999999998</v>
      </c>
      <c r="M553" s="2">
        <v>41.5</v>
      </c>
      <c r="N553" s="2">
        <f ca="1">Table1[[#This Row],[2026 (EUR)]]*(1-INDIRECT(Table1[[#This Row],[Discount Name]]))</f>
        <v>37.200000000000003</v>
      </c>
      <c r="O553" s="2">
        <f ca="1">Table1[[#This Row],[2026 (DKK)]]*(1-INDIRECT(Table1[[#This Row],[Discount Name]]))</f>
        <v>277.89999999999998</v>
      </c>
      <c r="P553" s="2" cm="1">
        <f t="array" aca="1" ref="P553" ca="1">Table1[[#This Row],[2026 (USD)]]*(1-INDIRECT(Table1[[#This Row],[Discount Name]]))</f>
        <v>41.5</v>
      </c>
      <c r="Q553" s="31">
        <f ca="1">INDIRECT(Table1[[#This Row],[Discount Name]])</f>
        <v>0</v>
      </c>
      <c r="R553" s="110">
        <v>34.9</v>
      </c>
      <c r="S553" s="2">
        <f t="shared" ca="1" si="16"/>
        <v>37.200000000000003</v>
      </c>
      <c r="T553" s="2">
        <f t="shared" ca="1" si="17"/>
        <v>277.89999999999998</v>
      </c>
      <c r="U553" s="71" t="str">
        <f>IFERROR(VLOOKUP(Table1[[#This Row],[No_]],'Customer Net Price'!A:F,5,FALSE),"0")</f>
        <v>0</v>
      </c>
      <c r="V553" s="71" t="str">
        <f>IFERROR(VLOOKUP(Table1[[#This Row],[No_]],'Customer Net Price'!A:G,6,FALSE),"0")</f>
        <v>0</v>
      </c>
    </row>
    <row r="554" spans="1:22" x14ac:dyDescent="0.25">
      <c r="A554" s="23" t="s">
        <v>76</v>
      </c>
      <c r="B554" s="23" t="s">
        <v>76</v>
      </c>
      <c r="C554" t="s">
        <v>265</v>
      </c>
      <c r="D554" t="s">
        <v>307</v>
      </c>
      <c r="E554" t="s">
        <v>546</v>
      </c>
      <c r="F554" t="s">
        <v>307</v>
      </c>
      <c r="G554" t="s">
        <v>307</v>
      </c>
      <c r="H554" s="1" t="s">
        <v>459</v>
      </c>
      <c r="I554">
        <v>40</v>
      </c>
      <c r="J554" t="s">
        <v>546</v>
      </c>
      <c r="K554" s="2">
        <v>39.4</v>
      </c>
      <c r="L554" s="2">
        <v>293.89999999999998</v>
      </c>
      <c r="M554" s="2">
        <v>44.6</v>
      </c>
      <c r="N554" s="2">
        <f ca="1">Table1[[#This Row],[2026 (EUR)]]*(1-INDIRECT(Table1[[#This Row],[Discount Name]]))</f>
        <v>39.4</v>
      </c>
      <c r="O554" s="2">
        <f ca="1">Table1[[#This Row],[2026 (DKK)]]*(1-INDIRECT(Table1[[#This Row],[Discount Name]]))</f>
        <v>293.89999999999998</v>
      </c>
      <c r="P554" s="2" cm="1">
        <f t="array" aca="1" ref="P554" ca="1">Table1[[#This Row],[2026 (USD)]]*(1-INDIRECT(Table1[[#This Row],[Discount Name]]))</f>
        <v>44.6</v>
      </c>
      <c r="Q554" s="31">
        <f ca="1">INDIRECT(Table1[[#This Row],[Discount Name]])</f>
        <v>0</v>
      </c>
      <c r="R554" s="110">
        <v>37</v>
      </c>
      <c r="S554" s="2">
        <f t="shared" ca="1" si="16"/>
        <v>39.4</v>
      </c>
      <c r="T554" s="2">
        <f t="shared" ca="1" si="17"/>
        <v>293.89999999999998</v>
      </c>
      <c r="U554" s="71" t="str">
        <f>IFERROR(VLOOKUP(Table1[[#This Row],[No_]],'Customer Net Price'!A:F,5,FALSE),"0")</f>
        <v>0</v>
      </c>
      <c r="V554" s="71" t="str">
        <f>IFERROR(VLOOKUP(Table1[[#This Row],[No_]],'Customer Net Price'!A:G,6,FALSE),"0")</f>
        <v>0</v>
      </c>
    </row>
    <row r="555" spans="1:22" x14ac:dyDescent="0.25">
      <c r="A555" s="23" t="s">
        <v>77</v>
      </c>
      <c r="B555" s="23" t="s">
        <v>77</v>
      </c>
      <c r="C555" t="s">
        <v>266</v>
      </c>
      <c r="D555" t="s">
        <v>307</v>
      </c>
      <c r="E555" t="s">
        <v>546</v>
      </c>
      <c r="F555" t="s">
        <v>307</v>
      </c>
      <c r="G555" t="s">
        <v>307</v>
      </c>
      <c r="H555" s="1" t="s">
        <v>460</v>
      </c>
      <c r="I555">
        <v>40</v>
      </c>
      <c r="J555" t="s">
        <v>546</v>
      </c>
      <c r="K555" s="2">
        <v>39.4</v>
      </c>
      <c r="L555" s="2">
        <v>293.89999999999998</v>
      </c>
      <c r="M555" s="2">
        <v>44.6</v>
      </c>
      <c r="N555" s="2">
        <f ca="1">Table1[[#This Row],[2026 (EUR)]]*(1-INDIRECT(Table1[[#This Row],[Discount Name]]))</f>
        <v>39.4</v>
      </c>
      <c r="O555" s="2">
        <f ca="1">Table1[[#This Row],[2026 (DKK)]]*(1-INDIRECT(Table1[[#This Row],[Discount Name]]))</f>
        <v>293.89999999999998</v>
      </c>
      <c r="P555" s="2" cm="1">
        <f t="array" aca="1" ref="P555" ca="1">Table1[[#This Row],[2026 (USD)]]*(1-INDIRECT(Table1[[#This Row],[Discount Name]]))</f>
        <v>44.6</v>
      </c>
      <c r="Q555" s="31">
        <f ca="1">INDIRECT(Table1[[#This Row],[Discount Name]])</f>
        <v>0</v>
      </c>
      <c r="R555" s="110">
        <v>37</v>
      </c>
      <c r="S555" s="2">
        <f t="shared" ca="1" si="16"/>
        <v>39.4</v>
      </c>
      <c r="T555" s="2">
        <f t="shared" ca="1" si="17"/>
        <v>293.89999999999998</v>
      </c>
      <c r="U555" s="71" t="str">
        <f>IFERROR(VLOOKUP(Table1[[#This Row],[No_]],'Customer Net Price'!A:F,5,FALSE),"0")</f>
        <v>0</v>
      </c>
      <c r="V555" s="71" t="str">
        <f>IFERROR(VLOOKUP(Table1[[#This Row],[No_]],'Customer Net Price'!A:G,6,FALSE),"0")</f>
        <v>0</v>
      </c>
    </row>
    <row r="556" spans="1:22" x14ac:dyDescent="0.25">
      <c r="A556" s="23" t="s">
        <v>78</v>
      </c>
      <c r="B556" s="23" t="s">
        <v>78</v>
      </c>
      <c r="C556" t="s">
        <v>267</v>
      </c>
      <c r="D556" t="s">
        <v>307</v>
      </c>
      <c r="E556" t="s">
        <v>546</v>
      </c>
      <c r="F556" t="s">
        <v>307</v>
      </c>
      <c r="G556" t="s">
        <v>307</v>
      </c>
      <c r="H556" s="1" t="s">
        <v>461</v>
      </c>
      <c r="I556">
        <v>40</v>
      </c>
      <c r="J556" t="s">
        <v>546</v>
      </c>
      <c r="K556" s="2">
        <v>40.5</v>
      </c>
      <c r="L556" s="2">
        <v>301.89999999999998</v>
      </c>
      <c r="M556" s="2">
        <v>45.7</v>
      </c>
      <c r="N556" s="2">
        <f ca="1">Table1[[#This Row],[2026 (EUR)]]*(1-INDIRECT(Table1[[#This Row],[Discount Name]]))</f>
        <v>40.5</v>
      </c>
      <c r="O556" s="2">
        <f ca="1">Table1[[#This Row],[2026 (DKK)]]*(1-INDIRECT(Table1[[#This Row],[Discount Name]]))</f>
        <v>301.89999999999998</v>
      </c>
      <c r="P556" s="2" cm="1">
        <f t="array" aca="1" ref="P556" ca="1">Table1[[#This Row],[2026 (USD)]]*(1-INDIRECT(Table1[[#This Row],[Discount Name]]))</f>
        <v>45.7</v>
      </c>
      <c r="Q556" s="31">
        <f ca="1">INDIRECT(Table1[[#This Row],[Discount Name]])</f>
        <v>0</v>
      </c>
      <c r="R556" s="110">
        <v>38</v>
      </c>
      <c r="S556" s="2">
        <f t="shared" ca="1" si="16"/>
        <v>40.5</v>
      </c>
      <c r="T556" s="2">
        <f t="shared" ca="1" si="17"/>
        <v>301.89999999999998</v>
      </c>
      <c r="U556" s="71" t="str">
        <f>IFERROR(VLOOKUP(Table1[[#This Row],[No_]],'Customer Net Price'!A:F,5,FALSE),"0")</f>
        <v>0</v>
      </c>
      <c r="V556" s="71" t="str">
        <f>IFERROR(VLOOKUP(Table1[[#This Row],[No_]],'Customer Net Price'!A:G,6,FALSE),"0")</f>
        <v>0</v>
      </c>
    </row>
    <row r="557" spans="1:22" x14ac:dyDescent="0.25">
      <c r="A557" s="23" t="s">
        <v>79</v>
      </c>
      <c r="B557" s="23" t="s">
        <v>79</v>
      </c>
      <c r="C557" t="s">
        <v>268</v>
      </c>
      <c r="D557" t="s">
        <v>307</v>
      </c>
      <c r="E557" t="s">
        <v>546</v>
      </c>
      <c r="F557" t="s">
        <v>307</v>
      </c>
      <c r="G557" t="s">
        <v>307</v>
      </c>
      <c r="H557" s="1" t="s">
        <v>462</v>
      </c>
      <c r="I557">
        <v>40</v>
      </c>
      <c r="J557" t="s">
        <v>546</v>
      </c>
      <c r="K557" s="2">
        <v>40.5</v>
      </c>
      <c r="L557" s="2">
        <v>301.89999999999998</v>
      </c>
      <c r="M557" s="2">
        <v>45.7</v>
      </c>
      <c r="N557" s="2">
        <f ca="1">Table1[[#This Row],[2026 (EUR)]]*(1-INDIRECT(Table1[[#This Row],[Discount Name]]))</f>
        <v>40.5</v>
      </c>
      <c r="O557" s="2">
        <f ca="1">Table1[[#This Row],[2026 (DKK)]]*(1-INDIRECT(Table1[[#This Row],[Discount Name]]))</f>
        <v>301.89999999999998</v>
      </c>
      <c r="P557" s="2" cm="1">
        <f t="array" aca="1" ref="P557" ca="1">Table1[[#This Row],[2026 (USD)]]*(1-INDIRECT(Table1[[#This Row],[Discount Name]]))</f>
        <v>45.7</v>
      </c>
      <c r="Q557" s="31">
        <f ca="1">INDIRECT(Table1[[#This Row],[Discount Name]])</f>
        <v>0</v>
      </c>
      <c r="R557" s="110">
        <v>38</v>
      </c>
      <c r="S557" s="2">
        <f t="shared" ca="1" si="16"/>
        <v>40.5</v>
      </c>
      <c r="T557" s="2">
        <f t="shared" ca="1" si="17"/>
        <v>301.89999999999998</v>
      </c>
      <c r="U557" s="71" t="str">
        <f>IFERROR(VLOOKUP(Table1[[#This Row],[No_]],'Customer Net Price'!A:F,5,FALSE),"0")</f>
        <v>0</v>
      </c>
      <c r="V557" s="71" t="str">
        <f>IFERROR(VLOOKUP(Table1[[#This Row],[No_]],'Customer Net Price'!A:G,6,FALSE),"0")</f>
        <v>0</v>
      </c>
    </row>
    <row r="558" spans="1:22" x14ac:dyDescent="0.25">
      <c r="A558" s="23" t="s">
        <v>105</v>
      </c>
      <c r="B558" s="23" t="s">
        <v>105</v>
      </c>
      <c r="C558" t="s">
        <v>269</v>
      </c>
      <c r="D558" t="s">
        <v>307</v>
      </c>
      <c r="E558" t="s">
        <v>546</v>
      </c>
      <c r="F558" t="s">
        <v>307</v>
      </c>
      <c r="G558" t="s">
        <v>307</v>
      </c>
      <c r="H558" s="1" t="s">
        <v>463</v>
      </c>
      <c r="I558">
        <v>40</v>
      </c>
      <c r="J558" t="s">
        <v>546</v>
      </c>
      <c r="K558" s="2">
        <v>31.7</v>
      </c>
      <c r="L558" s="2">
        <v>235.9</v>
      </c>
      <c r="M558" s="2">
        <v>37.299999999999997</v>
      </c>
      <c r="N558" s="2">
        <f ca="1">Table1[[#This Row],[2026 (EUR)]]*(1-INDIRECT(Table1[[#This Row],[Discount Name]]))</f>
        <v>31.7</v>
      </c>
      <c r="O558" s="2">
        <f ca="1">Table1[[#This Row],[2026 (DKK)]]*(1-INDIRECT(Table1[[#This Row],[Discount Name]]))</f>
        <v>235.9</v>
      </c>
      <c r="P558" s="2" cm="1">
        <f t="array" aca="1" ref="P558" ca="1">Table1[[#This Row],[2026 (USD)]]*(1-INDIRECT(Table1[[#This Row],[Discount Name]]))</f>
        <v>37.299999999999997</v>
      </c>
      <c r="Q558" s="31">
        <f ca="1">INDIRECT(Table1[[#This Row],[Discount Name]])</f>
        <v>0</v>
      </c>
      <c r="R558" s="110">
        <v>29.8</v>
      </c>
      <c r="S558" s="2">
        <f t="shared" ca="1" si="16"/>
        <v>31.7</v>
      </c>
      <c r="T558" s="2">
        <f t="shared" ca="1" si="17"/>
        <v>235.9</v>
      </c>
      <c r="U558" s="71" t="str">
        <f>IFERROR(VLOOKUP(Table1[[#This Row],[No_]],'Customer Net Price'!A:F,5,FALSE),"0")</f>
        <v>0</v>
      </c>
      <c r="V558" s="71" t="str">
        <f>IFERROR(VLOOKUP(Table1[[#This Row],[No_]],'Customer Net Price'!A:G,6,FALSE),"0")</f>
        <v>0</v>
      </c>
    </row>
    <row r="559" spans="1:22" x14ac:dyDescent="0.25">
      <c r="A559" s="23" t="s">
        <v>101</v>
      </c>
      <c r="B559" s="23" t="s">
        <v>101</v>
      </c>
      <c r="C559" t="s">
        <v>270</v>
      </c>
      <c r="D559" t="s">
        <v>307</v>
      </c>
      <c r="E559" t="s">
        <v>546</v>
      </c>
      <c r="F559" t="s">
        <v>307</v>
      </c>
      <c r="G559" t="s">
        <v>307</v>
      </c>
      <c r="H559" s="1" t="s">
        <v>464</v>
      </c>
      <c r="I559">
        <v>40</v>
      </c>
      <c r="J559" t="s">
        <v>546</v>
      </c>
      <c r="K559" s="2">
        <v>34</v>
      </c>
      <c r="L559" s="2">
        <v>253.9</v>
      </c>
      <c r="M559" s="2">
        <v>39.4</v>
      </c>
      <c r="N559" s="2">
        <f ca="1">Table1[[#This Row],[2026 (EUR)]]*(1-INDIRECT(Table1[[#This Row],[Discount Name]]))</f>
        <v>34</v>
      </c>
      <c r="O559" s="2">
        <f ca="1">Table1[[#This Row],[2026 (DKK)]]*(1-INDIRECT(Table1[[#This Row],[Discount Name]]))</f>
        <v>253.9</v>
      </c>
      <c r="P559" s="2" cm="1">
        <f t="array" aca="1" ref="P559" ca="1">Table1[[#This Row],[2026 (USD)]]*(1-INDIRECT(Table1[[#This Row],[Discount Name]]))</f>
        <v>39.4</v>
      </c>
      <c r="Q559" s="31">
        <f ca="1">INDIRECT(Table1[[#This Row],[Discount Name]])</f>
        <v>0</v>
      </c>
      <c r="R559" s="110">
        <v>31.9</v>
      </c>
      <c r="S559" s="2">
        <f t="shared" ca="1" si="16"/>
        <v>34</v>
      </c>
      <c r="T559" s="2">
        <f t="shared" ca="1" si="17"/>
        <v>253.9</v>
      </c>
      <c r="U559" s="71" t="str">
        <f>IFERROR(VLOOKUP(Table1[[#This Row],[No_]],'Customer Net Price'!A:F,5,FALSE),"0")</f>
        <v>0</v>
      </c>
      <c r="V559" s="71" t="str">
        <f>IFERROR(VLOOKUP(Table1[[#This Row],[No_]],'Customer Net Price'!A:G,6,FALSE),"0")</f>
        <v>0</v>
      </c>
    </row>
    <row r="560" spans="1:22" x14ac:dyDescent="0.25">
      <c r="A560" s="23" t="s">
        <v>106</v>
      </c>
      <c r="B560" s="23" t="s">
        <v>106</v>
      </c>
      <c r="C560" t="s">
        <v>271</v>
      </c>
      <c r="D560" t="s">
        <v>307</v>
      </c>
      <c r="E560" t="s">
        <v>546</v>
      </c>
      <c r="F560" t="s">
        <v>307</v>
      </c>
      <c r="G560" t="s">
        <v>307</v>
      </c>
      <c r="H560" s="1" t="s">
        <v>465</v>
      </c>
      <c r="I560">
        <v>40</v>
      </c>
      <c r="J560" t="s">
        <v>546</v>
      </c>
      <c r="K560" s="2">
        <v>35.1</v>
      </c>
      <c r="L560" s="2">
        <v>260.89999999999998</v>
      </c>
      <c r="M560" s="2">
        <v>40.5</v>
      </c>
      <c r="N560" s="2">
        <f ca="1">Table1[[#This Row],[2026 (EUR)]]*(1-INDIRECT(Table1[[#This Row],[Discount Name]]))</f>
        <v>35.1</v>
      </c>
      <c r="O560" s="2">
        <f ca="1">Table1[[#This Row],[2026 (DKK)]]*(1-INDIRECT(Table1[[#This Row],[Discount Name]]))</f>
        <v>260.89999999999998</v>
      </c>
      <c r="P560" s="2" cm="1">
        <f t="array" aca="1" ref="P560" ca="1">Table1[[#This Row],[2026 (USD)]]*(1-INDIRECT(Table1[[#This Row],[Discount Name]]))</f>
        <v>40.5</v>
      </c>
      <c r="Q560" s="31">
        <f ca="1">INDIRECT(Table1[[#This Row],[Discount Name]])</f>
        <v>0</v>
      </c>
      <c r="R560" s="110">
        <v>32.9</v>
      </c>
      <c r="S560" s="2">
        <f t="shared" ca="1" si="16"/>
        <v>35.1</v>
      </c>
      <c r="T560" s="2">
        <f t="shared" ca="1" si="17"/>
        <v>260.89999999999998</v>
      </c>
      <c r="U560" s="71" t="str">
        <f>IFERROR(VLOOKUP(Table1[[#This Row],[No_]],'Customer Net Price'!A:F,5,FALSE),"0")</f>
        <v>0</v>
      </c>
      <c r="V560" s="71" t="str">
        <f>IFERROR(VLOOKUP(Table1[[#This Row],[No_]],'Customer Net Price'!A:G,6,FALSE),"0")</f>
        <v>0</v>
      </c>
    </row>
    <row r="561" spans="1:22" x14ac:dyDescent="0.25">
      <c r="A561" s="23" t="s">
        <v>102</v>
      </c>
      <c r="B561" s="23" t="s">
        <v>102</v>
      </c>
      <c r="C561" t="s">
        <v>272</v>
      </c>
      <c r="D561" t="s">
        <v>307</v>
      </c>
      <c r="E561" t="s">
        <v>546</v>
      </c>
      <c r="F561" t="s">
        <v>307</v>
      </c>
      <c r="G561" t="s">
        <v>307</v>
      </c>
      <c r="H561" s="1" t="s">
        <v>466</v>
      </c>
      <c r="I561">
        <v>40</v>
      </c>
      <c r="J561" t="s">
        <v>546</v>
      </c>
      <c r="K561" s="2">
        <v>37.200000000000003</v>
      </c>
      <c r="L561" s="2">
        <v>277.89999999999998</v>
      </c>
      <c r="M561" s="2">
        <v>41.5</v>
      </c>
      <c r="N561" s="2">
        <f ca="1">Table1[[#This Row],[2026 (EUR)]]*(1-INDIRECT(Table1[[#This Row],[Discount Name]]))</f>
        <v>37.200000000000003</v>
      </c>
      <c r="O561" s="2">
        <f ca="1">Table1[[#This Row],[2026 (DKK)]]*(1-INDIRECT(Table1[[#This Row],[Discount Name]]))</f>
        <v>277.89999999999998</v>
      </c>
      <c r="P561" s="2" cm="1">
        <f t="array" aca="1" ref="P561" ca="1">Table1[[#This Row],[2026 (USD)]]*(1-INDIRECT(Table1[[#This Row],[Discount Name]]))</f>
        <v>41.5</v>
      </c>
      <c r="Q561" s="31">
        <f ca="1">INDIRECT(Table1[[#This Row],[Discount Name]])</f>
        <v>0</v>
      </c>
      <c r="R561" s="110">
        <v>34.9</v>
      </c>
      <c r="S561" s="2">
        <f t="shared" ca="1" si="16"/>
        <v>37.200000000000003</v>
      </c>
      <c r="T561" s="2">
        <f t="shared" ca="1" si="17"/>
        <v>277.89999999999998</v>
      </c>
      <c r="U561" s="71" t="str">
        <f>IFERROR(VLOOKUP(Table1[[#This Row],[No_]],'Customer Net Price'!A:F,5,FALSE),"0")</f>
        <v>0</v>
      </c>
      <c r="V561" s="71" t="str">
        <f>IFERROR(VLOOKUP(Table1[[#This Row],[No_]],'Customer Net Price'!A:G,6,FALSE),"0")</f>
        <v>0</v>
      </c>
    </row>
    <row r="562" spans="1:22" x14ac:dyDescent="0.25">
      <c r="A562" s="23" t="s">
        <v>107</v>
      </c>
      <c r="B562" s="23" t="s">
        <v>107</v>
      </c>
      <c r="C562" t="s">
        <v>273</v>
      </c>
      <c r="D562" t="s">
        <v>307</v>
      </c>
      <c r="E562" t="s">
        <v>546</v>
      </c>
      <c r="F562" t="s">
        <v>307</v>
      </c>
      <c r="G562" t="s">
        <v>307</v>
      </c>
      <c r="H562" s="1" t="s">
        <v>467</v>
      </c>
      <c r="I562">
        <v>40</v>
      </c>
      <c r="J562" t="s">
        <v>546</v>
      </c>
      <c r="K562" s="2">
        <v>31.7</v>
      </c>
      <c r="L562" s="2">
        <v>235.9</v>
      </c>
      <c r="M562" s="2">
        <v>37.4</v>
      </c>
      <c r="N562" s="2">
        <f ca="1">Table1[[#This Row],[2026 (EUR)]]*(1-INDIRECT(Table1[[#This Row],[Discount Name]]))</f>
        <v>31.7</v>
      </c>
      <c r="O562" s="2">
        <f ca="1">Table1[[#This Row],[2026 (DKK)]]*(1-INDIRECT(Table1[[#This Row],[Discount Name]]))</f>
        <v>235.9</v>
      </c>
      <c r="P562" s="2" cm="1">
        <f t="array" aca="1" ref="P562" ca="1">Table1[[#This Row],[2026 (USD)]]*(1-INDIRECT(Table1[[#This Row],[Discount Name]]))</f>
        <v>37.4</v>
      </c>
      <c r="Q562" s="31">
        <f ca="1">INDIRECT(Table1[[#This Row],[Discount Name]])</f>
        <v>0</v>
      </c>
      <c r="R562" s="110">
        <v>29.8</v>
      </c>
      <c r="S562" s="2">
        <f t="shared" ca="1" si="16"/>
        <v>31.7</v>
      </c>
      <c r="T562" s="2">
        <f t="shared" ca="1" si="17"/>
        <v>235.9</v>
      </c>
      <c r="U562" s="71" t="str">
        <f>IFERROR(VLOOKUP(Table1[[#This Row],[No_]],'Customer Net Price'!A:F,5,FALSE),"0")</f>
        <v>0</v>
      </c>
      <c r="V562" s="71" t="str">
        <f>IFERROR(VLOOKUP(Table1[[#This Row],[No_]],'Customer Net Price'!A:G,6,FALSE),"0")</f>
        <v>0</v>
      </c>
    </row>
    <row r="563" spans="1:22" x14ac:dyDescent="0.25">
      <c r="A563" s="23" t="s">
        <v>103</v>
      </c>
      <c r="B563" s="23" t="s">
        <v>103</v>
      </c>
      <c r="C563" t="s">
        <v>274</v>
      </c>
      <c r="D563" t="s">
        <v>307</v>
      </c>
      <c r="E563" t="s">
        <v>546</v>
      </c>
      <c r="F563" t="s">
        <v>307</v>
      </c>
      <c r="G563" t="s">
        <v>307</v>
      </c>
      <c r="H563" s="1" t="s">
        <v>468</v>
      </c>
      <c r="I563">
        <v>40</v>
      </c>
      <c r="J563" t="s">
        <v>546</v>
      </c>
      <c r="K563" s="2">
        <v>33.9</v>
      </c>
      <c r="L563" s="2">
        <v>252.9</v>
      </c>
      <c r="M563" s="2">
        <v>39.4</v>
      </c>
      <c r="N563" s="2">
        <f ca="1">Table1[[#This Row],[2026 (EUR)]]*(1-INDIRECT(Table1[[#This Row],[Discount Name]]))</f>
        <v>33.9</v>
      </c>
      <c r="O563" s="2">
        <f ca="1">Table1[[#This Row],[2026 (DKK)]]*(1-INDIRECT(Table1[[#This Row],[Discount Name]]))</f>
        <v>252.9</v>
      </c>
      <c r="P563" s="2" cm="1">
        <f t="array" aca="1" ref="P563" ca="1">Table1[[#This Row],[2026 (USD)]]*(1-INDIRECT(Table1[[#This Row],[Discount Name]]))</f>
        <v>39.4</v>
      </c>
      <c r="Q563" s="31">
        <f ca="1">INDIRECT(Table1[[#This Row],[Discount Name]])</f>
        <v>0</v>
      </c>
      <c r="R563" s="110">
        <v>31.8</v>
      </c>
      <c r="S563" s="2">
        <f t="shared" ca="1" si="16"/>
        <v>33.9</v>
      </c>
      <c r="T563" s="2">
        <f t="shared" ca="1" si="17"/>
        <v>252.9</v>
      </c>
      <c r="U563" s="71" t="str">
        <f>IFERROR(VLOOKUP(Table1[[#This Row],[No_]],'Customer Net Price'!A:F,5,FALSE),"0")</f>
        <v>0</v>
      </c>
      <c r="V563" s="71" t="str">
        <f>IFERROR(VLOOKUP(Table1[[#This Row],[No_]],'Customer Net Price'!A:G,6,FALSE),"0")</f>
        <v>0</v>
      </c>
    </row>
    <row r="564" spans="1:22" x14ac:dyDescent="0.25">
      <c r="A564" s="23" t="s">
        <v>108</v>
      </c>
      <c r="B564" s="23" t="s">
        <v>108</v>
      </c>
      <c r="C564" t="s">
        <v>275</v>
      </c>
      <c r="D564" t="s">
        <v>307</v>
      </c>
      <c r="E564" t="s">
        <v>546</v>
      </c>
      <c r="F564" t="s">
        <v>307</v>
      </c>
      <c r="G564" t="s">
        <v>307</v>
      </c>
      <c r="H564" s="1" t="s">
        <v>469</v>
      </c>
      <c r="I564">
        <v>40</v>
      </c>
      <c r="J564" t="s">
        <v>546</v>
      </c>
      <c r="K564" s="2">
        <v>35.1</v>
      </c>
      <c r="L564" s="2">
        <v>260.89999999999998</v>
      </c>
      <c r="M564" s="2">
        <v>40.5</v>
      </c>
      <c r="N564" s="2">
        <f ca="1">Table1[[#This Row],[2026 (EUR)]]*(1-INDIRECT(Table1[[#This Row],[Discount Name]]))</f>
        <v>35.1</v>
      </c>
      <c r="O564" s="2">
        <f ca="1">Table1[[#This Row],[2026 (DKK)]]*(1-INDIRECT(Table1[[#This Row],[Discount Name]]))</f>
        <v>260.89999999999998</v>
      </c>
      <c r="P564" s="2" cm="1">
        <f t="array" aca="1" ref="P564" ca="1">Table1[[#This Row],[2026 (USD)]]*(1-INDIRECT(Table1[[#This Row],[Discount Name]]))</f>
        <v>40.5</v>
      </c>
      <c r="Q564" s="31">
        <f ca="1">INDIRECT(Table1[[#This Row],[Discount Name]])</f>
        <v>0</v>
      </c>
      <c r="R564" s="110">
        <v>32.9</v>
      </c>
      <c r="S564" s="2">
        <f t="shared" ca="1" si="16"/>
        <v>35.1</v>
      </c>
      <c r="T564" s="2">
        <f t="shared" ca="1" si="17"/>
        <v>260.89999999999998</v>
      </c>
      <c r="U564" s="71" t="str">
        <f>IFERROR(VLOOKUP(Table1[[#This Row],[No_]],'Customer Net Price'!A:F,5,FALSE),"0")</f>
        <v>0</v>
      </c>
      <c r="V564" s="71" t="str">
        <f>IFERROR(VLOOKUP(Table1[[#This Row],[No_]],'Customer Net Price'!A:G,6,FALSE),"0")</f>
        <v>0</v>
      </c>
    </row>
    <row r="565" spans="1:22" x14ac:dyDescent="0.25">
      <c r="A565" s="23" t="s">
        <v>104</v>
      </c>
      <c r="B565" s="23" t="s">
        <v>104</v>
      </c>
      <c r="C565" t="s">
        <v>276</v>
      </c>
      <c r="D565" t="s">
        <v>307</v>
      </c>
      <c r="E565" t="s">
        <v>546</v>
      </c>
      <c r="F565" t="s">
        <v>307</v>
      </c>
      <c r="G565" t="s">
        <v>307</v>
      </c>
      <c r="H565" s="1" t="s">
        <v>470</v>
      </c>
      <c r="I565">
        <v>40</v>
      </c>
      <c r="J565" t="s">
        <v>546</v>
      </c>
      <c r="K565" s="2">
        <v>37.200000000000003</v>
      </c>
      <c r="L565" s="2">
        <v>277.89999999999998</v>
      </c>
      <c r="M565" s="2">
        <v>41.5</v>
      </c>
      <c r="N565" s="2">
        <f ca="1">Table1[[#This Row],[2026 (EUR)]]*(1-INDIRECT(Table1[[#This Row],[Discount Name]]))</f>
        <v>37.200000000000003</v>
      </c>
      <c r="O565" s="2">
        <f ca="1">Table1[[#This Row],[2026 (DKK)]]*(1-INDIRECT(Table1[[#This Row],[Discount Name]]))</f>
        <v>277.89999999999998</v>
      </c>
      <c r="P565" s="2" cm="1">
        <f t="array" aca="1" ref="P565" ca="1">Table1[[#This Row],[2026 (USD)]]*(1-INDIRECT(Table1[[#This Row],[Discount Name]]))</f>
        <v>41.5</v>
      </c>
      <c r="Q565" s="31">
        <f ca="1">INDIRECT(Table1[[#This Row],[Discount Name]])</f>
        <v>0</v>
      </c>
      <c r="R565" s="110">
        <v>34.9</v>
      </c>
      <c r="S565" s="2">
        <f t="shared" ca="1" si="16"/>
        <v>37.200000000000003</v>
      </c>
      <c r="T565" s="2">
        <f t="shared" ca="1" si="17"/>
        <v>277.89999999999998</v>
      </c>
      <c r="U565" s="71" t="str">
        <f>IFERROR(VLOOKUP(Table1[[#This Row],[No_]],'Customer Net Price'!A:F,5,FALSE),"0")</f>
        <v>0</v>
      </c>
      <c r="V565" s="71" t="str">
        <f>IFERROR(VLOOKUP(Table1[[#This Row],[No_]],'Customer Net Price'!A:G,6,FALSE),"0")</f>
        <v>0</v>
      </c>
    </row>
    <row r="566" spans="1:22" x14ac:dyDescent="0.25">
      <c r="A566" s="23" t="s">
        <v>109</v>
      </c>
      <c r="B566" s="23" t="s">
        <v>109</v>
      </c>
      <c r="C566" t="s">
        <v>277</v>
      </c>
      <c r="D566" t="s">
        <v>307</v>
      </c>
      <c r="E566" t="s">
        <v>546</v>
      </c>
      <c r="F566" t="s">
        <v>307</v>
      </c>
      <c r="G566" t="s">
        <v>307</v>
      </c>
      <c r="H566" s="1" t="s">
        <v>471</v>
      </c>
      <c r="I566" t="s">
        <v>546</v>
      </c>
      <c r="J566" t="s">
        <v>546</v>
      </c>
      <c r="K566" s="2">
        <v>129.5</v>
      </c>
      <c r="L566" s="2">
        <v>963.9</v>
      </c>
      <c r="M566" s="2">
        <v>144.5</v>
      </c>
      <c r="N566" s="2">
        <f ca="1">Table1[[#This Row],[2026 (EUR)]]*(1-INDIRECT(Table1[[#This Row],[Discount Name]]))</f>
        <v>129.5</v>
      </c>
      <c r="O566" s="2">
        <f ca="1">Table1[[#This Row],[2026 (DKK)]]*(1-INDIRECT(Table1[[#This Row],[Discount Name]]))</f>
        <v>963.9</v>
      </c>
      <c r="P566" s="2" cm="1">
        <f t="array" aca="1" ref="P566" ca="1">Table1[[#This Row],[2026 (USD)]]*(1-INDIRECT(Table1[[#This Row],[Discount Name]]))</f>
        <v>144.5</v>
      </c>
      <c r="Q566" s="31">
        <f ca="1">INDIRECT(Table1[[#This Row],[Discount Name]])</f>
        <v>0</v>
      </c>
      <c r="R566" s="110">
        <v>118.4</v>
      </c>
      <c r="S566" s="2">
        <f t="shared" ca="1" si="16"/>
        <v>129.5</v>
      </c>
      <c r="T566" s="2">
        <f t="shared" ca="1" si="17"/>
        <v>963.9</v>
      </c>
      <c r="U566" s="71" t="str">
        <f>IFERROR(VLOOKUP(Table1[[#This Row],[No_]],'Customer Net Price'!A:F,5,FALSE),"0")</f>
        <v>0</v>
      </c>
      <c r="V566" s="71" t="str">
        <f>IFERROR(VLOOKUP(Table1[[#This Row],[No_]],'Customer Net Price'!A:G,6,FALSE),"0")</f>
        <v>0</v>
      </c>
    </row>
    <row r="567" spans="1:22" x14ac:dyDescent="0.25">
      <c r="A567" s="23" t="s">
        <v>110</v>
      </c>
      <c r="B567" s="23" t="s">
        <v>110</v>
      </c>
      <c r="C567" t="s">
        <v>277</v>
      </c>
      <c r="D567" t="s">
        <v>307</v>
      </c>
      <c r="E567" t="s">
        <v>546</v>
      </c>
      <c r="F567" t="s">
        <v>307</v>
      </c>
      <c r="G567" t="s">
        <v>307</v>
      </c>
      <c r="H567" s="1" t="s">
        <v>472</v>
      </c>
      <c r="I567" t="s">
        <v>546</v>
      </c>
      <c r="J567" t="s">
        <v>546</v>
      </c>
      <c r="K567" s="2">
        <v>128.30000000000001</v>
      </c>
      <c r="L567" s="2">
        <v>955.9</v>
      </c>
      <c r="M567" s="2">
        <v>147.6</v>
      </c>
      <c r="N567" s="2">
        <f ca="1">Table1[[#This Row],[2026 (EUR)]]*(1-INDIRECT(Table1[[#This Row],[Discount Name]]))</f>
        <v>128.30000000000001</v>
      </c>
      <c r="O567" s="2">
        <f ca="1">Table1[[#This Row],[2026 (DKK)]]*(1-INDIRECT(Table1[[#This Row],[Discount Name]]))</f>
        <v>955.9</v>
      </c>
      <c r="P567" s="2" cm="1">
        <f t="array" aca="1" ref="P567" ca="1">Table1[[#This Row],[2026 (USD)]]*(1-INDIRECT(Table1[[#This Row],[Discount Name]]))</f>
        <v>147.6</v>
      </c>
      <c r="Q567" s="31">
        <f ca="1">INDIRECT(Table1[[#This Row],[Discount Name]])</f>
        <v>0</v>
      </c>
      <c r="R567" s="110">
        <v>120.4</v>
      </c>
      <c r="S567" s="2">
        <f t="shared" ca="1" si="16"/>
        <v>128.30000000000001</v>
      </c>
      <c r="T567" s="2">
        <f t="shared" ca="1" si="17"/>
        <v>955.9</v>
      </c>
      <c r="U567" s="71" t="str">
        <f>IFERROR(VLOOKUP(Table1[[#This Row],[No_]],'Customer Net Price'!A:F,5,FALSE),"0")</f>
        <v>0</v>
      </c>
      <c r="V567" s="71" t="str">
        <f>IFERROR(VLOOKUP(Table1[[#This Row],[No_]],'Customer Net Price'!A:G,6,FALSE),"0")</f>
        <v>0</v>
      </c>
    </row>
    <row r="568" spans="1:22" x14ac:dyDescent="0.25">
      <c r="A568" s="23" t="s">
        <v>111</v>
      </c>
      <c r="B568" s="23" t="s">
        <v>111</v>
      </c>
      <c r="C568" t="s">
        <v>277</v>
      </c>
      <c r="D568" t="s">
        <v>307</v>
      </c>
      <c r="E568" t="s">
        <v>546</v>
      </c>
      <c r="F568" t="s">
        <v>307</v>
      </c>
      <c r="G568" t="s">
        <v>307</v>
      </c>
      <c r="H568" s="1" t="s">
        <v>473</v>
      </c>
      <c r="I568" t="s">
        <v>546</v>
      </c>
      <c r="J568" t="s">
        <v>546</v>
      </c>
      <c r="K568" s="2">
        <v>128.30000000000001</v>
      </c>
      <c r="L568" s="2">
        <v>955.9</v>
      </c>
      <c r="M568" s="2">
        <v>147.6</v>
      </c>
      <c r="N568" s="2">
        <f ca="1">Table1[[#This Row],[2026 (EUR)]]*(1-INDIRECT(Table1[[#This Row],[Discount Name]]))</f>
        <v>128.30000000000001</v>
      </c>
      <c r="O568" s="2">
        <f ca="1">Table1[[#This Row],[2026 (DKK)]]*(1-INDIRECT(Table1[[#This Row],[Discount Name]]))</f>
        <v>955.9</v>
      </c>
      <c r="P568" s="2" cm="1">
        <f t="array" aca="1" ref="P568" ca="1">Table1[[#This Row],[2026 (USD)]]*(1-INDIRECT(Table1[[#This Row],[Discount Name]]))</f>
        <v>147.6</v>
      </c>
      <c r="Q568" s="31">
        <f ca="1">INDIRECT(Table1[[#This Row],[Discount Name]])</f>
        <v>0</v>
      </c>
      <c r="R568" s="110">
        <v>120.4</v>
      </c>
      <c r="S568" s="2">
        <f t="shared" ca="1" si="16"/>
        <v>128.30000000000001</v>
      </c>
      <c r="T568" s="2">
        <f t="shared" ca="1" si="17"/>
        <v>955.9</v>
      </c>
      <c r="U568" s="71" t="str">
        <f>IFERROR(VLOOKUP(Table1[[#This Row],[No_]],'Customer Net Price'!A:F,5,FALSE),"0")</f>
        <v>0</v>
      </c>
      <c r="V568" s="71" t="str">
        <f>IFERROR(VLOOKUP(Table1[[#This Row],[No_]],'Customer Net Price'!A:G,6,FALSE),"0")</f>
        <v>0</v>
      </c>
    </row>
    <row r="569" spans="1:22" x14ac:dyDescent="0.25">
      <c r="A569" s="23" t="s">
        <v>112</v>
      </c>
      <c r="B569" s="23" t="s">
        <v>112</v>
      </c>
      <c r="C569" t="s">
        <v>277</v>
      </c>
      <c r="D569" t="s">
        <v>307</v>
      </c>
      <c r="E569" t="s">
        <v>546</v>
      </c>
      <c r="F569" t="s">
        <v>307</v>
      </c>
      <c r="G569" t="s">
        <v>307</v>
      </c>
      <c r="H569" s="1" t="s">
        <v>474</v>
      </c>
      <c r="I569" t="s">
        <v>546</v>
      </c>
      <c r="J569" t="s">
        <v>546</v>
      </c>
      <c r="K569" s="2">
        <v>130.6</v>
      </c>
      <c r="L569" s="2">
        <v>972.9</v>
      </c>
      <c r="M569" s="2">
        <v>149.69999999999999</v>
      </c>
      <c r="N569" s="2">
        <f ca="1">Table1[[#This Row],[2026 (EUR)]]*(1-INDIRECT(Table1[[#This Row],[Discount Name]]))</f>
        <v>130.6</v>
      </c>
      <c r="O569" s="2">
        <f ca="1">Table1[[#This Row],[2026 (DKK)]]*(1-INDIRECT(Table1[[#This Row],[Discount Name]]))</f>
        <v>972.9</v>
      </c>
      <c r="P569" s="2" cm="1">
        <f t="array" aca="1" ref="P569" ca="1">Table1[[#This Row],[2026 (USD)]]*(1-INDIRECT(Table1[[#This Row],[Discount Name]]))</f>
        <v>149.69999999999999</v>
      </c>
      <c r="Q569" s="31">
        <f ca="1">INDIRECT(Table1[[#This Row],[Discount Name]])</f>
        <v>0</v>
      </c>
      <c r="R569" s="110">
        <v>122.5</v>
      </c>
      <c r="S569" s="2">
        <f t="shared" ca="1" si="16"/>
        <v>130.6</v>
      </c>
      <c r="T569" s="2">
        <f t="shared" ca="1" si="17"/>
        <v>972.9</v>
      </c>
      <c r="U569" s="71" t="str">
        <f>IFERROR(VLOOKUP(Table1[[#This Row],[No_]],'Customer Net Price'!A:F,5,FALSE),"0")</f>
        <v>0</v>
      </c>
      <c r="V569" s="71" t="str">
        <f>IFERROR(VLOOKUP(Table1[[#This Row],[No_]],'Customer Net Price'!A:G,6,FALSE),"0")</f>
        <v>0</v>
      </c>
    </row>
    <row r="570" spans="1:22" x14ac:dyDescent="0.25">
      <c r="A570" s="23" t="s">
        <v>499</v>
      </c>
      <c r="B570" s="23" t="s">
        <v>499</v>
      </c>
      <c r="C570" t="s">
        <v>807</v>
      </c>
      <c r="D570" t="s">
        <v>307</v>
      </c>
      <c r="E570" t="s">
        <v>546</v>
      </c>
      <c r="F570" t="s">
        <v>307</v>
      </c>
      <c r="G570" t="s">
        <v>307</v>
      </c>
      <c r="H570" s="1" t="s">
        <v>500</v>
      </c>
      <c r="I570" t="s">
        <v>546</v>
      </c>
      <c r="J570" t="s">
        <v>546</v>
      </c>
      <c r="K570" s="2">
        <v>132.69999999999999</v>
      </c>
      <c r="L570" s="2">
        <v>897.9</v>
      </c>
      <c r="M570" s="2">
        <v>148.6</v>
      </c>
      <c r="N570" s="2">
        <f ca="1">Table1[[#This Row],[2026 (EUR)]]*(1-INDIRECT(Table1[[#This Row],[Discount Name]]))</f>
        <v>132.69999999999999</v>
      </c>
      <c r="O570" s="2">
        <f ca="1">Table1[[#This Row],[2026 (DKK)]]*(1-INDIRECT(Table1[[#This Row],[Discount Name]]))</f>
        <v>897.9</v>
      </c>
      <c r="P570" s="2" cm="1">
        <f t="array" aca="1" ref="P570" ca="1">Table1[[#This Row],[2026 (USD)]]*(1-INDIRECT(Table1[[#This Row],[Discount Name]]))</f>
        <v>148.6</v>
      </c>
      <c r="Q570" s="31">
        <f ca="1">INDIRECT(Table1[[#This Row],[Discount Name]])</f>
        <v>0</v>
      </c>
      <c r="R570" s="110">
        <v>121.4</v>
      </c>
      <c r="S570" s="2">
        <f t="shared" ca="1" si="16"/>
        <v>132.69999999999999</v>
      </c>
      <c r="T570" s="2">
        <f t="shared" ca="1" si="17"/>
        <v>897.9</v>
      </c>
      <c r="U570" s="71" t="str">
        <f>IFERROR(VLOOKUP(Table1[[#This Row],[No_]],'Customer Net Price'!A:F,5,FALSE),"0")</f>
        <v>0</v>
      </c>
      <c r="V570" s="71" t="str">
        <f>IFERROR(VLOOKUP(Table1[[#This Row],[No_]],'Customer Net Price'!A:G,6,FALSE),"0")</f>
        <v>0</v>
      </c>
    </row>
    <row r="571" spans="1:22" x14ac:dyDescent="0.25">
      <c r="A571" s="23" t="s">
        <v>113</v>
      </c>
      <c r="B571" s="23" t="s">
        <v>113</v>
      </c>
      <c r="C571" t="s">
        <v>277</v>
      </c>
      <c r="D571" t="s">
        <v>307</v>
      </c>
      <c r="E571" t="s">
        <v>546</v>
      </c>
      <c r="F571" t="s">
        <v>307</v>
      </c>
      <c r="G571" t="s">
        <v>307</v>
      </c>
      <c r="H571" s="1" t="s">
        <v>475</v>
      </c>
      <c r="I571" t="s">
        <v>546</v>
      </c>
      <c r="J571" t="s">
        <v>546</v>
      </c>
      <c r="K571" s="2">
        <v>132.69999999999999</v>
      </c>
      <c r="L571" s="2">
        <v>897.9</v>
      </c>
      <c r="M571" s="2">
        <v>152.80000000000001</v>
      </c>
      <c r="N571" s="2">
        <f ca="1">Table1[[#This Row],[2026 (EUR)]]*(1-INDIRECT(Table1[[#This Row],[Discount Name]]))</f>
        <v>132.69999999999999</v>
      </c>
      <c r="O571" s="2">
        <f ca="1">Table1[[#This Row],[2026 (DKK)]]*(1-INDIRECT(Table1[[#This Row],[Discount Name]]))</f>
        <v>897.9</v>
      </c>
      <c r="P571" s="2" cm="1">
        <f t="array" aca="1" ref="P571" ca="1">Table1[[#This Row],[2026 (USD)]]*(1-INDIRECT(Table1[[#This Row],[Discount Name]]))</f>
        <v>152.80000000000001</v>
      </c>
      <c r="Q571" s="31">
        <f ca="1">INDIRECT(Table1[[#This Row],[Discount Name]])</f>
        <v>0</v>
      </c>
      <c r="R571" s="110">
        <v>124.5</v>
      </c>
      <c r="S571" s="2">
        <f t="shared" ca="1" si="16"/>
        <v>132.69999999999999</v>
      </c>
      <c r="T571" s="2">
        <f t="shared" ca="1" si="17"/>
        <v>897.9</v>
      </c>
      <c r="U571" s="71" t="str">
        <f>IFERROR(VLOOKUP(Table1[[#This Row],[No_]],'Customer Net Price'!A:F,5,FALSE),"0")</f>
        <v>0</v>
      </c>
      <c r="V571" s="71" t="str">
        <f>IFERROR(VLOOKUP(Table1[[#This Row],[No_]],'Customer Net Price'!A:G,6,FALSE),"0")</f>
        <v>0</v>
      </c>
    </row>
    <row r="572" spans="1:22" x14ac:dyDescent="0.25">
      <c r="A572" s="23" t="s">
        <v>114</v>
      </c>
      <c r="B572" s="23" t="s">
        <v>114</v>
      </c>
      <c r="C572" t="s">
        <v>277</v>
      </c>
      <c r="D572" t="s">
        <v>307</v>
      </c>
      <c r="E572" t="s">
        <v>546</v>
      </c>
      <c r="F572" t="s">
        <v>307</v>
      </c>
      <c r="G572" t="s">
        <v>307</v>
      </c>
      <c r="H572" s="1" t="s">
        <v>476</v>
      </c>
      <c r="I572" t="s">
        <v>546</v>
      </c>
      <c r="J572" t="s">
        <v>546</v>
      </c>
      <c r="K572" s="2">
        <v>129.4</v>
      </c>
      <c r="L572" s="2">
        <v>962.9</v>
      </c>
      <c r="M572" s="2">
        <v>144.5</v>
      </c>
      <c r="N572" s="2">
        <f ca="1">Table1[[#This Row],[2026 (EUR)]]*(1-INDIRECT(Table1[[#This Row],[Discount Name]]))</f>
        <v>129.4</v>
      </c>
      <c r="O572" s="2">
        <f ca="1">Table1[[#This Row],[2026 (DKK)]]*(1-INDIRECT(Table1[[#This Row],[Discount Name]]))</f>
        <v>962.9</v>
      </c>
      <c r="P572" s="2" cm="1">
        <f t="array" aca="1" ref="P572" ca="1">Table1[[#This Row],[2026 (USD)]]*(1-INDIRECT(Table1[[#This Row],[Discount Name]]))</f>
        <v>144.5</v>
      </c>
      <c r="Q572" s="31">
        <f ca="1">INDIRECT(Table1[[#This Row],[Discount Name]])</f>
        <v>0</v>
      </c>
      <c r="R572" s="110">
        <v>118.4</v>
      </c>
      <c r="S572" s="2">
        <f t="shared" ca="1" si="16"/>
        <v>129.4</v>
      </c>
      <c r="T572" s="2">
        <f t="shared" ca="1" si="17"/>
        <v>962.9</v>
      </c>
      <c r="U572" s="71" t="str">
        <f>IFERROR(VLOOKUP(Table1[[#This Row],[No_]],'Customer Net Price'!A:F,5,FALSE),"0")</f>
        <v>0</v>
      </c>
      <c r="V572" s="71" t="str">
        <f>IFERROR(VLOOKUP(Table1[[#This Row],[No_]],'Customer Net Price'!A:G,6,FALSE),"0")</f>
        <v>0</v>
      </c>
    </row>
    <row r="573" spans="1:22" x14ac:dyDescent="0.25">
      <c r="A573" s="23" t="s">
        <v>937</v>
      </c>
      <c r="B573" s="23" t="s">
        <v>937</v>
      </c>
      <c r="C573" t="s">
        <v>277</v>
      </c>
      <c r="D573" t="s">
        <v>307</v>
      </c>
      <c r="E573" t="s">
        <v>546</v>
      </c>
      <c r="F573" t="s">
        <v>307</v>
      </c>
      <c r="G573" t="s">
        <v>307</v>
      </c>
      <c r="H573" s="46" t="s">
        <v>938</v>
      </c>
      <c r="I573" t="s">
        <v>546</v>
      </c>
      <c r="J573" t="s">
        <v>546</v>
      </c>
      <c r="K573" s="2">
        <v>127.3</v>
      </c>
      <c r="L573" s="2">
        <v>947.9</v>
      </c>
      <c r="M573" s="2">
        <v>147.6</v>
      </c>
      <c r="N573" s="2">
        <f ca="1">Table1[[#This Row],[2026 (EUR)]]*(1-INDIRECT(Table1[[#This Row],[Discount Name]]))</f>
        <v>127.3</v>
      </c>
      <c r="O573" s="2">
        <f ca="1">Table1[[#This Row],[2026 (DKK)]]*(1-INDIRECT(Table1[[#This Row],[Discount Name]]))</f>
        <v>947.9</v>
      </c>
      <c r="P573" s="2" cm="1">
        <f t="array" aca="1" ref="P573" ca="1">Table1[[#This Row],[2026 (USD)]]*(1-INDIRECT(Table1[[#This Row],[Discount Name]]))</f>
        <v>147.6</v>
      </c>
      <c r="Q573" s="31">
        <f ca="1">INDIRECT(Table1[[#This Row],[Discount Name]])</f>
        <v>0</v>
      </c>
      <c r="R573" s="110">
        <v>119.4</v>
      </c>
      <c r="S573" s="2">
        <f t="shared" ca="1" si="16"/>
        <v>127.3</v>
      </c>
      <c r="T573" s="2">
        <f t="shared" ca="1" si="17"/>
        <v>947.9</v>
      </c>
      <c r="U573" s="71" t="str">
        <f>IFERROR(VLOOKUP(Table1[[#This Row],[No_]],'Customer Net Price'!A:F,5,FALSE),"0")</f>
        <v>0</v>
      </c>
      <c r="V573" s="71" t="str">
        <f>IFERROR(VLOOKUP(Table1[[#This Row],[No_]],'Customer Net Price'!A:G,6,FALSE),"0")</f>
        <v>0</v>
      </c>
    </row>
    <row r="574" spans="1:22" x14ac:dyDescent="0.25">
      <c r="A574" s="23" t="s">
        <v>80</v>
      </c>
      <c r="B574" s="23" t="s">
        <v>80</v>
      </c>
      <c r="C574" t="s">
        <v>277</v>
      </c>
      <c r="D574" t="s">
        <v>307</v>
      </c>
      <c r="E574" t="s">
        <v>546</v>
      </c>
      <c r="F574" t="s">
        <v>307</v>
      </c>
      <c r="G574" t="s">
        <v>307</v>
      </c>
      <c r="H574" s="1" t="s">
        <v>477</v>
      </c>
      <c r="I574" t="s">
        <v>546</v>
      </c>
      <c r="J574" t="s">
        <v>546</v>
      </c>
      <c r="K574" s="2">
        <v>128.30000000000001</v>
      </c>
      <c r="L574" s="2">
        <v>955.9</v>
      </c>
      <c r="M574" s="2">
        <v>147.6</v>
      </c>
      <c r="N574" s="2">
        <f ca="1">Table1[[#This Row],[2026 (EUR)]]*(1-INDIRECT(Table1[[#This Row],[Discount Name]]))</f>
        <v>128.30000000000001</v>
      </c>
      <c r="O574" s="2">
        <f ca="1">Table1[[#This Row],[2026 (DKK)]]*(1-INDIRECT(Table1[[#This Row],[Discount Name]]))</f>
        <v>955.9</v>
      </c>
      <c r="P574" s="2" cm="1">
        <f t="array" aca="1" ref="P574" ca="1">Table1[[#This Row],[2026 (USD)]]*(1-INDIRECT(Table1[[#This Row],[Discount Name]]))</f>
        <v>147.6</v>
      </c>
      <c r="Q574" s="31">
        <f ca="1">INDIRECT(Table1[[#This Row],[Discount Name]])</f>
        <v>0</v>
      </c>
      <c r="R574" s="110">
        <v>120.4</v>
      </c>
      <c r="S574" s="2">
        <f t="shared" ca="1" si="16"/>
        <v>128.30000000000001</v>
      </c>
      <c r="T574" s="2">
        <f t="shared" ca="1" si="17"/>
        <v>955.9</v>
      </c>
      <c r="U574" s="71" t="str">
        <f>IFERROR(VLOOKUP(Table1[[#This Row],[No_]],'Customer Net Price'!A:F,5,FALSE),"0")</f>
        <v>0</v>
      </c>
      <c r="V574" s="71" t="str">
        <f>IFERROR(VLOOKUP(Table1[[#This Row],[No_]],'Customer Net Price'!A:G,6,FALSE),"0")</f>
        <v>0</v>
      </c>
    </row>
    <row r="575" spans="1:22" x14ac:dyDescent="0.25">
      <c r="A575" s="23" t="s">
        <v>115</v>
      </c>
      <c r="B575" s="23" t="s">
        <v>115</v>
      </c>
      <c r="C575" t="s">
        <v>277</v>
      </c>
      <c r="D575" t="s">
        <v>307</v>
      </c>
      <c r="E575" t="s">
        <v>546</v>
      </c>
      <c r="F575" t="s">
        <v>307</v>
      </c>
      <c r="G575" t="s">
        <v>307</v>
      </c>
      <c r="H575" s="1" t="s">
        <v>478</v>
      </c>
      <c r="I575" t="s">
        <v>546</v>
      </c>
      <c r="J575" t="s">
        <v>546</v>
      </c>
      <c r="K575" s="2">
        <v>130.6</v>
      </c>
      <c r="L575" s="2">
        <v>972.9</v>
      </c>
      <c r="M575" s="2">
        <v>149.69999999999999</v>
      </c>
      <c r="N575" s="2">
        <f ca="1">Table1[[#This Row],[2026 (EUR)]]*(1-INDIRECT(Table1[[#This Row],[Discount Name]]))</f>
        <v>130.6</v>
      </c>
      <c r="O575" s="2">
        <f ca="1">Table1[[#This Row],[2026 (DKK)]]*(1-INDIRECT(Table1[[#This Row],[Discount Name]]))</f>
        <v>972.9</v>
      </c>
      <c r="P575" s="2" cm="1">
        <f t="array" aca="1" ref="P575" ca="1">Table1[[#This Row],[2026 (USD)]]*(1-INDIRECT(Table1[[#This Row],[Discount Name]]))</f>
        <v>149.69999999999999</v>
      </c>
      <c r="Q575" s="31">
        <f ca="1">INDIRECT(Table1[[#This Row],[Discount Name]])</f>
        <v>0</v>
      </c>
      <c r="R575" s="110">
        <v>122.5</v>
      </c>
      <c r="S575" s="2">
        <f t="shared" ca="1" si="16"/>
        <v>130.6</v>
      </c>
      <c r="T575" s="2">
        <f t="shared" ca="1" si="17"/>
        <v>972.9</v>
      </c>
      <c r="U575" s="71" t="str">
        <f>IFERROR(VLOOKUP(Table1[[#This Row],[No_]],'Customer Net Price'!A:F,5,FALSE),"0")</f>
        <v>0</v>
      </c>
      <c r="V575" s="71" t="str">
        <f>IFERROR(VLOOKUP(Table1[[#This Row],[No_]],'Customer Net Price'!A:G,6,FALSE),"0")</f>
        <v>0</v>
      </c>
    </row>
    <row r="576" spans="1:22" x14ac:dyDescent="0.25">
      <c r="A576" s="23" t="s">
        <v>81</v>
      </c>
      <c r="B576" s="23" t="s">
        <v>81</v>
      </c>
      <c r="C576" t="s">
        <v>277</v>
      </c>
      <c r="D576" t="s">
        <v>307</v>
      </c>
      <c r="E576" t="s">
        <v>546</v>
      </c>
      <c r="F576" t="s">
        <v>307</v>
      </c>
      <c r="G576" t="s">
        <v>307</v>
      </c>
      <c r="H576" s="1" t="s">
        <v>479</v>
      </c>
      <c r="I576" t="s">
        <v>546</v>
      </c>
      <c r="J576" t="s">
        <v>546</v>
      </c>
      <c r="K576" s="2">
        <v>130.6</v>
      </c>
      <c r="L576" s="2">
        <v>972.9</v>
      </c>
      <c r="M576" s="2">
        <v>149.69999999999999</v>
      </c>
      <c r="N576" s="2">
        <f ca="1">Table1[[#This Row],[2026 (EUR)]]*(1-INDIRECT(Table1[[#This Row],[Discount Name]]))</f>
        <v>130.6</v>
      </c>
      <c r="O576" s="2">
        <f ca="1">Table1[[#This Row],[2026 (DKK)]]*(1-INDIRECT(Table1[[#This Row],[Discount Name]]))</f>
        <v>972.9</v>
      </c>
      <c r="P576" s="2" cm="1">
        <f t="array" aca="1" ref="P576" ca="1">Table1[[#This Row],[2026 (USD)]]*(1-INDIRECT(Table1[[#This Row],[Discount Name]]))</f>
        <v>149.69999999999999</v>
      </c>
      <c r="Q576" s="31">
        <f ca="1">INDIRECT(Table1[[#This Row],[Discount Name]])</f>
        <v>0</v>
      </c>
      <c r="R576" s="110">
        <v>122.5</v>
      </c>
      <c r="S576" s="2">
        <f t="shared" ref="S576:S627" ca="1" si="18">IF(MAX(U576:U576)=0,+N576,MAX(U576:U576))</f>
        <v>130.6</v>
      </c>
      <c r="T576" s="2">
        <f t="shared" ref="T576:T627" ca="1" si="19">IF(MAX(V576:V576)=0,+O576,MAX(V576:V576))</f>
        <v>972.9</v>
      </c>
      <c r="U576" s="71" t="str">
        <f>IFERROR(VLOOKUP(Table1[[#This Row],[No_]],'Customer Net Price'!A:F,5,FALSE),"0")</f>
        <v>0</v>
      </c>
      <c r="V576" s="71" t="str">
        <f>IFERROR(VLOOKUP(Table1[[#This Row],[No_]],'Customer Net Price'!A:G,6,FALSE),"0")</f>
        <v>0</v>
      </c>
    </row>
    <row r="577" spans="1:22" x14ac:dyDescent="0.25">
      <c r="A577" s="23" t="s">
        <v>939</v>
      </c>
      <c r="B577" s="23" t="s">
        <v>939</v>
      </c>
      <c r="C577" t="s">
        <v>277</v>
      </c>
      <c r="D577" t="s">
        <v>307</v>
      </c>
      <c r="E577" t="s">
        <v>546</v>
      </c>
      <c r="F577" t="s">
        <v>307</v>
      </c>
      <c r="G577" t="s">
        <v>307</v>
      </c>
      <c r="H577" s="46" t="s">
        <v>940</v>
      </c>
      <c r="I577" t="s">
        <v>546</v>
      </c>
      <c r="J577" t="s">
        <v>546</v>
      </c>
      <c r="K577" s="2">
        <v>132.69999999999999</v>
      </c>
      <c r="L577" s="2">
        <v>987.9</v>
      </c>
      <c r="M577" s="2">
        <v>151.69999999999999</v>
      </c>
      <c r="N577" s="2">
        <f ca="1">Table1[[#This Row],[2026 (EUR)]]*(1-INDIRECT(Table1[[#This Row],[Discount Name]]))</f>
        <v>132.69999999999999</v>
      </c>
      <c r="O577" s="2">
        <f ca="1">Table1[[#This Row],[2026 (DKK)]]*(1-INDIRECT(Table1[[#This Row],[Discount Name]]))</f>
        <v>987.9</v>
      </c>
      <c r="P577" s="2" cm="1">
        <f t="array" aca="1" ref="P577" ca="1">Table1[[#This Row],[2026 (USD)]]*(1-INDIRECT(Table1[[#This Row],[Discount Name]]))</f>
        <v>151.69999999999999</v>
      </c>
      <c r="Q577" s="31">
        <f ca="1">INDIRECT(Table1[[#This Row],[Discount Name]])</f>
        <v>0</v>
      </c>
      <c r="R577" s="110">
        <v>124.5</v>
      </c>
      <c r="S577" s="2">
        <f t="shared" ca="1" si="18"/>
        <v>132.69999999999999</v>
      </c>
      <c r="T577" s="2">
        <f t="shared" ca="1" si="19"/>
        <v>987.9</v>
      </c>
      <c r="U577" s="71" t="str">
        <f>IFERROR(VLOOKUP(Table1[[#This Row],[No_]],'Customer Net Price'!A:F,5,FALSE),"0")</f>
        <v>0</v>
      </c>
      <c r="V577" s="71" t="str">
        <f>IFERROR(VLOOKUP(Table1[[#This Row],[No_]],'Customer Net Price'!A:G,6,FALSE),"0")</f>
        <v>0</v>
      </c>
    </row>
    <row r="578" spans="1:22" x14ac:dyDescent="0.25">
      <c r="A578" s="23" t="s">
        <v>100</v>
      </c>
      <c r="B578" s="23" t="s">
        <v>100</v>
      </c>
      <c r="C578" t="s">
        <v>808</v>
      </c>
      <c r="D578" t="s">
        <v>308</v>
      </c>
      <c r="E578" t="s">
        <v>546</v>
      </c>
      <c r="F578" t="s">
        <v>308</v>
      </c>
      <c r="G578" t="s">
        <v>308</v>
      </c>
      <c r="H578" s="1" t="s">
        <v>417</v>
      </c>
      <c r="I578" t="s">
        <v>546</v>
      </c>
      <c r="J578" t="s">
        <v>546</v>
      </c>
      <c r="K578" s="2">
        <v>107.9</v>
      </c>
      <c r="L578" s="2">
        <v>802.9</v>
      </c>
      <c r="M578" s="2">
        <v>119.9</v>
      </c>
      <c r="N578" s="2">
        <f ca="1">Table1[[#This Row],[2026 (EUR)]]*(1-INDIRECT(Table1[[#This Row],[Discount Name]]))</f>
        <v>107.9</v>
      </c>
      <c r="O578" s="2">
        <f ca="1">Table1[[#This Row],[2026 (DKK)]]*(1-INDIRECT(Table1[[#This Row],[Discount Name]]))</f>
        <v>802.9</v>
      </c>
      <c r="P578" s="2" cm="1">
        <f t="array" aca="1" ref="P578" ca="1">Table1[[#This Row],[2026 (USD)]]*(1-INDIRECT(Table1[[#This Row],[Discount Name]]))</f>
        <v>119.9</v>
      </c>
      <c r="Q578" s="31">
        <f ca="1">INDIRECT(Table1[[#This Row],[Discount Name]])</f>
        <v>0</v>
      </c>
      <c r="S578" s="2">
        <f t="shared" ca="1" si="18"/>
        <v>107.9</v>
      </c>
      <c r="T578" s="2">
        <f t="shared" ca="1" si="19"/>
        <v>802.9</v>
      </c>
      <c r="U578" s="71" t="str">
        <f>IFERROR(VLOOKUP(Table1[[#This Row],[No_]],'Customer Net Price'!A:F,5,FALSE),"0")</f>
        <v>0</v>
      </c>
      <c r="V578" s="71" t="str">
        <f>IFERROR(VLOOKUP(Table1[[#This Row],[No_]],'Customer Net Price'!A:G,6,FALSE),"0")</f>
        <v>0</v>
      </c>
    </row>
    <row r="579" spans="1:22" x14ac:dyDescent="0.25">
      <c r="A579" s="23" t="s">
        <v>1</v>
      </c>
      <c r="B579" s="23" t="s">
        <v>1</v>
      </c>
      <c r="C579" t="s">
        <v>278</v>
      </c>
      <c r="D579" t="s">
        <v>308</v>
      </c>
      <c r="E579" t="s">
        <v>546</v>
      </c>
      <c r="F579" t="s">
        <v>308</v>
      </c>
      <c r="G579" t="s">
        <v>308</v>
      </c>
      <c r="H579" s="1" t="s">
        <v>418</v>
      </c>
      <c r="I579" t="s">
        <v>546</v>
      </c>
      <c r="J579" t="s">
        <v>546</v>
      </c>
      <c r="K579" s="2">
        <v>124.9</v>
      </c>
      <c r="L579" s="2">
        <v>929.9</v>
      </c>
      <c r="M579" s="2">
        <v>139.9</v>
      </c>
      <c r="N579" s="2">
        <f ca="1">Table1[[#This Row],[2026 (EUR)]]*(1-INDIRECT(Table1[[#This Row],[Discount Name]]))</f>
        <v>124.9</v>
      </c>
      <c r="O579" s="2">
        <f ca="1">Table1[[#This Row],[2026 (DKK)]]*(1-INDIRECT(Table1[[#This Row],[Discount Name]]))</f>
        <v>929.9</v>
      </c>
      <c r="P579" s="2" cm="1">
        <f t="array" aca="1" ref="P579" ca="1">Table1[[#This Row],[2026 (USD)]]*(1-INDIRECT(Table1[[#This Row],[Discount Name]]))</f>
        <v>139.9</v>
      </c>
      <c r="Q579" s="31">
        <f ca="1">INDIRECT(Table1[[#This Row],[Discount Name]])</f>
        <v>0</v>
      </c>
      <c r="S579" s="2">
        <f t="shared" ca="1" si="18"/>
        <v>124.9</v>
      </c>
      <c r="T579" s="2">
        <f t="shared" ca="1" si="19"/>
        <v>929.9</v>
      </c>
      <c r="U579" s="71" t="str">
        <f>IFERROR(VLOOKUP(Table1[[#This Row],[No_]],'Customer Net Price'!A:F,5,FALSE),"0")</f>
        <v>0</v>
      </c>
      <c r="V579" s="71" t="str">
        <f>IFERROR(VLOOKUP(Table1[[#This Row],[No_]],'Customer Net Price'!A:G,6,FALSE),"0")</f>
        <v>0</v>
      </c>
    </row>
    <row r="580" spans="1:22" x14ac:dyDescent="0.25">
      <c r="A580" s="23" t="s">
        <v>809</v>
      </c>
      <c r="B580" s="23" t="s">
        <v>809</v>
      </c>
      <c r="C580" t="s">
        <v>810</v>
      </c>
      <c r="D580" t="s">
        <v>308</v>
      </c>
      <c r="E580" t="s">
        <v>546</v>
      </c>
      <c r="F580" t="s">
        <v>308</v>
      </c>
      <c r="G580" t="s">
        <v>308</v>
      </c>
      <c r="H580" s="46" t="s">
        <v>826</v>
      </c>
      <c r="I580" t="s">
        <v>546</v>
      </c>
      <c r="J580" t="s">
        <v>546</v>
      </c>
      <c r="K580" s="2">
        <v>124.9</v>
      </c>
      <c r="L580" s="2">
        <v>929.9</v>
      </c>
      <c r="M580" s="2">
        <v>133.9</v>
      </c>
      <c r="N580" s="2">
        <f ca="1">Table1[[#This Row],[2026 (EUR)]]*(1-INDIRECT(Table1[[#This Row],[Discount Name]]))</f>
        <v>124.9</v>
      </c>
      <c r="O580" s="2">
        <f ca="1">Table1[[#This Row],[2026 (DKK)]]*(1-INDIRECT(Table1[[#This Row],[Discount Name]]))</f>
        <v>929.9</v>
      </c>
      <c r="P580" s="2" cm="1">
        <f t="array" aca="1" ref="P580" ca="1">Table1[[#This Row],[2026 (USD)]]*(1-INDIRECT(Table1[[#This Row],[Discount Name]]))</f>
        <v>133.9</v>
      </c>
      <c r="Q580" s="31">
        <f ca="1">INDIRECT(Table1[[#This Row],[Discount Name]])</f>
        <v>0</v>
      </c>
      <c r="S580" s="2">
        <f t="shared" ca="1" si="18"/>
        <v>124.9</v>
      </c>
      <c r="T580" s="2">
        <f t="shared" ca="1" si="19"/>
        <v>929.9</v>
      </c>
      <c r="U580" s="71" t="str">
        <f>IFERROR(VLOOKUP(Table1[[#This Row],[No_]],'Customer Net Price'!A:F,5,FALSE),"0")</f>
        <v>0</v>
      </c>
      <c r="V580" s="71" t="str">
        <f>IFERROR(VLOOKUP(Table1[[#This Row],[No_]],'Customer Net Price'!A:G,6,FALSE),"0")</f>
        <v>0</v>
      </c>
    </row>
    <row r="581" spans="1:22" x14ac:dyDescent="0.25">
      <c r="A581" s="23" t="s">
        <v>45</v>
      </c>
      <c r="B581" s="23" t="s">
        <v>45</v>
      </c>
      <c r="C581" t="s">
        <v>238</v>
      </c>
      <c r="D581" t="s">
        <v>308</v>
      </c>
      <c r="E581" t="s">
        <v>546</v>
      </c>
      <c r="F581" t="s">
        <v>308</v>
      </c>
      <c r="G581" t="s">
        <v>308</v>
      </c>
      <c r="H581" s="1" t="s">
        <v>419</v>
      </c>
      <c r="I581" t="s">
        <v>546</v>
      </c>
      <c r="J581" t="s">
        <v>546</v>
      </c>
      <c r="K581" s="2">
        <v>624.9</v>
      </c>
      <c r="L581" s="2">
        <v>4649.8999999999996</v>
      </c>
      <c r="M581" s="2">
        <v>692.9</v>
      </c>
      <c r="N581" s="2">
        <f ca="1">Table1[[#This Row],[2026 (EUR)]]*(1-INDIRECT(Table1[[#This Row],[Discount Name]]))</f>
        <v>624.9</v>
      </c>
      <c r="O581" s="2">
        <f ca="1">Table1[[#This Row],[2026 (DKK)]]*(1-INDIRECT(Table1[[#This Row],[Discount Name]]))</f>
        <v>4649.8999999999996</v>
      </c>
      <c r="P581" s="2" cm="1">
        <f t="array" aca="1" ref="P581" ca="1">Table1[[#This Row],[2026 (USD)]]*(1-INDIRECT(Table1[[#This Row],[Discount Name]]))</f>
        <v>692.9</v>
      </c>
      <c r="Q581" s="31">
        <f ca="1">INDIRECT(Table1[[#This Row],[Discount Name]])</f>
        <v>0</v>
      </c>
      <c r="S581" s="2">
        <f t="shared" ca="1" si="18"/>
        <v>624.9</v>
      </c>
      <c r="T581" s="2">
        <f t="shared" ca="1" si="19"/>
        <v>4649.8999999999996</v>
      </c>
      <c r="U581" s="71" t="str">
        <f>IFERROR(VLOOKUP(Table1[[#This Row],[No_]],'Customer Net Price'!A:F,5,FALSE),"0")</f>
        <v>0</v>
      </c>
      <c r="V581" s="71" t="str">
        <f>IFERROR(VLOOKUP(Table1[[#This Row],[No_]],'Customer Net Price'!A:G,6,FALSE),"0")</f>
        <v>0</v>
      </c>
    </row>
    <row r="582" spans="1:22" x14ac:dyDescent="0.25">
      <c r="A582" s="23" t="s">
        <v>158</v>
      </c>
      <c r="B582" s="23" t="s">
        <v>158</v>
      </c>
      <c r="C582" t="s">
        <v>239</v>
      </c>
      <c r="D582" t="s">
        <v>308</v>
      </c>
      <c r="E582" t="s">
        <v>546</v>
      </c>
      <c r="F582" t="s">
        <v>308</v>
      </c>
      <c r="G582" t="s">
        <v>308</v>
      </c>
      <c r="H582" s="1" t="s">
        <v>811</v>
      </c>
      <c r="I582" t="s">
        <v>546</v>
      </c>
      <c r="J582" t="s">
        <v>546</v>
      </c>
      <c r="K582" s="2">
        <v>689.9</v>
      </c>
      <c r="L582" s="2">
        <v>5132.8999999999996</v>
      </c>
      <c r="M582" s="2">
        <v>769.9</v>
      </c>
      <c r="N582" s="2">
        <f ca="1">Table1[[#This Row],[2026 (EUR)]]*(1-INDIRECT(Table1[[#This Row],[Discount Name]]))</f>
        <v>689.9</v>
      </c>
      <c r="O582" s="2">
        <f ca="1">Table1[[#This Row],[2026 (DKK)]]*(1-INDIRECT(Table1[[#This Row],[Discount Name]]))</f>
        <v>5132.8999999999996</v>
      </c>
      <c r="P582" s="2" cm="1">
        <f t="array" aca="1" ref="P582" ca="1">Table1[[#This Row],[2026 (USD)]]*(1-INDIRECT(Table1[[#This Row],[Discount Name]]))</f>
        <v>769.9</v>
      </c>
      <c r="Q582" s="31">
        <f ca="1">INDIRECT(Table1[[#This Row],[Discount Name]])</f>
        <v>0</v>
      </c>
      <c r="S582" s="2">
        <f t="shared" ca="1" si="18"/>
        <v>689.9</v>
      </c>
      <c r="T582" s="2">
        <f t="shared" ca="1" si="19"/>
        <v>5132.8999999999996</v>
      </c>
      <c r="U582" s="71" t="str">
        <f>IFERROR(VLOOKUP(Table1[[#This Row],[No_]],'Customer Net Price'!A:F,5,FALSE),"0")</f>
        <v>0</v>
      </c>
      <c r="V582" s="71" t="str">
        <f>IFERROR(VLOOKUP(Table1[[#This Row],[No_]],'Customer Net Price'!A:G,6,FALSE),"0")</f>
        <v>0</v>
      </c>
    </row>
    <row r="583" spans="1:22" x14ac:dyDescent="0.25">
      <c r="A583" s="23" t="s">
        <v>96</v>
      </c>
      <c r="B583" s="23" t="s">
        <v>96</v>
      </c>
      <c r="C583" t="s">
        <v>279</v>
      </c>
      <c r="D583" t="s">
        <v>308</v>
      </c>
      <c r="E583" t="s">
        <v>546</v>
      </c>
      <c r="F583" t="s">
        <v>308</v>
      </c>
      <c r="G583" t="s">
        <v>308</v>
      </c>
      <c r="H583" s="1" t="s">
        <v>420</v>
      </c>
      <c r="I583" t="s">
        <v>546</v>
      </c>
      <c r="J583" t="s">
        <v>546</v>
      </c>
      <c r="K583" s="2">
        <v>12.9</v>
      </c>
      <c r="L583" s="2">
        <v>95.9</v>
      </c>
      <c r="M583" s="2">
        <v>14.9</v>
      </c>
      <c r="N583" s="2">
        <f ca="1">Table1[[#This Row],[2026 (EUR)]]*(1-INDIRECT(Table1[[#This Row],[Discount Name]]))</f>
        <v>12.9</v>
      </c>
      <c r="O583" s="2">
        <f ca="1">Table1[[#This Row],[2026 (DKK)]]*(1-INDIRECT(Table1[[#This Row],[Discount Name]]))</f>
        <v>95.9</v>
      </c>
      <c r="P583" s="2" cm="1">
        <f t="array" aca="1" ref="P583" ca="1">Table1[[#This Row],[2026 (USD)]]*(1-INDIRECT(Table1[[#This Row],[Discount Name]]))</f>
        <v>14.9</v>
      </c>
      <c r="Q583" s="31">
        <f ca="1">INDIRECT(Table1[[#This Row],[Discount Name]])</f>
        <v>0</v>
      </c>
      <c r="S583" s="2">
        <f t="shared" ca="1" si="18"/>
        <v>12.9</v>
      </c>
      <c r="T583" s="2">
        <f t="shared" ca="1" si="19"/>
        <v>95.9</v>
      </c>
      <c r="U583" s="71" t="str">
        <f>IFERROR(VLOOKUP(Table1[[#This Row],[No_]],'Customer Net Price'!A:F,5,FALSE),"0")</f>
        <v>0</v>
      </c>
      <c r="V583" s="71" t="str">
        <f>IFERROR(VLOOKUP(Table1[[#This Row],[No_]],'Customer Net Price'!A:G,6,FALSE),"0")</f>
        <v>0</v>
      </c>
    </row>
    <row r="584" spans="1:22" x14ac:dyDescent="0.25">
      <c r="A584" s="23" t="s">
        <v>95</v>
      </c>
      <c r="B584" s="23" t="s">
        <v>95</v>
      </c>
      <c r="C584" t="s">
        <v>240</v>
      </c>
      <c r="D584" t="s">
        <v>308</v>
      </c>
      <c r="E584" t="s">
        <v>546</v>
      </c>
      <c r="F584" t="s">
        <v>308</v>
      </c>
      <c r="G584" t="s">
        <v>308</v>
      </c>
      <c r="H584" s="1" t="s">
        <v>421</v>
      </c>
      <c r="I584">
        <v>1</v>
      </c>
      <c r="J584" t="s">
        <v>546</v>
      </c>
      <c r="K584" s="2">
        <v>404.9</v>
      </c>
      <c r="L584" s="2">
        <v>3012.9</v>
      </c>
      <c r="M584" s="2">
        <v>450.9</v>
      </c>
      <c r="N584" s="2">
        <f ca="1">Table1[[#This Row],[2026 (EUR)]]*(1-INDIRECT(Table1[[#This Row],[Discount Name]]))</f>
        <v>404.9</v>
      </c>
      <c r="O584" s="2">
        <f ca="1">Table1[[#This Row],[2026 (DKK)]]*(1-INDIRECT(Table1[[#This Row],[Discount Name]]))</f>
        <v>3012.9</v>
      </c>
      <c r="P584" s="2" cm="1">
        <f t="array" aca="1" ref="P584" ca="1">Table1[[#This Row],[2026 (USD)]]*(1-INDIRECT(Table1[[#This Row],[Discount Name]]))</f>
        <v>450.9</v>
      </c>
      <c r="Q584" s="31">
        <f ca="1">INDIRECT(Table1[[#This Row],[Discount Name]])</f>
        <v>0</v>
      </c>
      <c r="S584" s="2">
        <f t="shared" ca="1" si="18"/>
        <v>404.9</v>
      </c>
      <c r="T584" s="2">
        <f t="shared" ca="1" si="19"/>
        <v>3012.9</v>
      </c>
      <c r="U584" s="71" t="str">
        <f>IFERROR(VLOOKUP(Table1[[#This Row],[No_]],'Customer Net Price'!A:F,5,FALSE),"0")</f>
        <v>0</v>
      </c>
      <c r="V584" s="71" t="str">
        <f>IFERROR(VLOOKUP(Table1[[#This Row],[No_]],'Customer Net Price'!A:G,6,FALSE),"0")</f>
        <v>0</v>
      </c>
    </row>
    <row r="585" spans="1:22" x14ac:dyDescent="0.25">
      <c r="A585" s="23" t="s">
        <v>84</v>
      </c>
      <c r="B585" s="23" t="s">
        <v>84</v>
      </c>
      <c r="C585" t="s">
        <v>280</v>
      </c>
      <c r="D585" t="s">
        <v>308</v>
      </c>
      <c r="E585" t="s">
        <v>546</v>
      </c>
      <c r="F585" t="s">
        <v>308</v>
      </c>
      <c r="G585" t="s">
        <v>308</v>
      </c>
      <c r="H585" s="55" t="s">
        <v>422</v>
      </c>
      <c r="I585" t="s">
        <v>546</v>
      </c>
      <c r="J585" t="s">
        <v>546</v>
      </c>
      <c r="K585" s="2">
        <v>93.9</v>
      </c>
      <c r="L585" s="2">
        <v>698.9</v>
      </c>
      <c r="M585" s="2">
        <v>103.9</v>
      </c>
      <c r="N585" s="2">
        <f ca="1">Table1[[#This Row],[2026 (EUR)]]*(1-INDIRECT(Table1[[#This Row],[Discount Name]]))</f>
        <v>93.9</v>
      </c>
      <c r="O585" s="2">
        <f ca="1">Table1[[#This Row],[2026 (DKK)]]*(1-INDIRECT(Table1[[#This Row],[Discount Name]]))</f>
        <v>698.9</v>
      </c>
      <c r="P585" s="2" cm="1">
        <f t="array" aca="1" ref="P585" ca="1">Table1[[#This Row],[2026 (USD)]]*(1-INDIRECT(Table1[[#This Row],[Discount Name]]))</f>
        <v>103.9</v>
      </c>
      <c r="Q585" s="31">
        <f ca="1">INDIRECT(Table1[[#This Row],[Discount Name]])</f>
        <v>0</v>
      </c>
      <c r="S585" s="2">
        <f t="shared" ca="1" si="18"/>
        <v>93.9</v>
      </c>
      <c r="T585" s="2">
        <f t="shared" ca="1" si="19"/>
        <v>698.9</v>
      </c>
      <c r="U585" s="71" t="str">
        <f>IFERROR(VLOOKUP(Table1[[#This Row],[No_]],'Customer Net Price'!A:F,5,FALSE),"0")</f>
        <v>0</v>
      </c>
      <c r="V585" s="71" t="str">
        <f>IFERROR(VLOOKUP(Table1[[#This Row],[No_]],'Customer Net Price'!A:G,6,FALSE),"0")</f>
        <v>0</v>
      </c>
    </row>
    <row r="586" spans="1:22" x14ac:dyDescent="0.25">
      <c r="A586" s="23" t="s">
        <v>85</v>
      </c>
      <c r="B586" s="23" t="s">
        <v>85</v>
      </c>
      <c r="C586" t="s">
        <v>280</v>
      </c>
      <c r="D586" t="s">
        <v>308</v>
      </c>
      <c r="E586" t="s">
        <v>546</v>
      </c>
      <c r="F586" t="s">
        <v>308</v>
      </c>
      <c r="G586" t="s">
        <v>308</v>
      </c>
      <c r="H586" s="55" t="s">
        <v>423</v>
      </c>
      <c r="I586" t="s">
        <v>546</v>
      </c>
      <c r="J586" t="s">
        <v>546</v>
      </c>
      <c r="K586" s="2">
        <v>109.9</v>
      </c>
      <c r="L586" s="2">
        <v>817.9</v>
      </c>
      <c r="M586" s="2">
        <v>121.9</v>
      </c>
      <c r="N586" s="2">
        <f ca="1">Table1[[#This Row],[2026 (EUR)]]*(1-INDIRECT(Table1[[#This Row],[Discount Name]]))</f>
        <v>109.9</v>
      </c>
      <c r="O586" s="2">
        <f ca="1">Table1[[#This Row],[2026 (DKK)]]*(1-INDIRECT(Table1[[#This Row],[Discount Name]]))</f>
        <v>817.9</v>
      </c>
      <c r="P586" s="2" cm="1">
        <f t="array" aca="1" ref="P586" ca="1">Table1[[#This Row],[2026 (USD)]]*(1-INDIRECT(Table1[[#This Row],[Discount Name]]))</f>
        <v>121.9</v>
      </c>
      <c r="Q586" s="31">
        <f ca="1">INDIRECT(Table1[[#This Row],[Discount Name]])</f>
        <v>0</v>
      </c>
      <c r="S586" s="2">
        <f t="shared" ca="1" si="18"/>
        <v>109.9</v>
      </c>
      <c r="T586" s="2">
        <f t="shared" ca="1" si="19"/>
        <v>817.9</v>
      </c>
      <c r="U586" s="71" t="str">
        <f>IFERROR(VLOOKUP(Table1[[#This Row],[No_]],'Customer Net Price'!A:F,5,FALSE),"0")</f>
        <v>0</v>
      </c>
      <c r="V586" s="71" t="str">
        <f>IFERROR(VLOOKUP(Table1[[#This Row],[No_]],'Customer Net Price'!A:G,6,FALSE),"0")</f>
        <v>0</v>
      </c>
    </row>
    <row r="587" spans="1:22" x14ac:dyDescent="0.25">
      <c r="A587" t="s">
        <v>1253</v>
      </c>
      <c r="B587" s="23" t="s">
        <v>1253</v>
      </c>
      <c r="C587" t="s">
        <v>1254</v>
      </c>
      <c r="D587" t="s">
        <v>310</v>
      </c>
      <c r="E587" t="s">
        <v>546</v>
      </c>
      <c r="F587" t="s">
        <v>1196</v>
      </c>
      <c r="G587" t="s">
        <v>1196</v>
      </c>
      <c r="H587" s="56" t="s">
        <v>1274</v>
      </c>
      <c r="I587" t="s">
        <v>546</v>
      </c>
      <c r="J587" t="s">
        <v>546</v>
      </c>
      <c r="K587" s="2">
        <v>399.9</v>
      </c>
      <c r="L587" s="2">
        <v>2968.9</v>
      </c>
      <c r="M587" s="2">
        <v>443.9</v>
      </c>
      <c r="N587" s="2">
        <f>Table1[[#This Row],[2026 (EUR)]]</f>
        <v>399.9</v>
      </c>
      <c r="O587" s="2">
        <f>Table1[[#This Row],[2026 (DKK)]]</f>
        <v>2968.9</v>
      </c>
      <c r="Q587" s="45" t="s">
        <v>1197</v>
      </c>
      <c r="S587" s="2">
        <f t="shared" si="18"/>
        <v>399.9</v>
      </c>
      <c r="T587" s="2">
        <f t="shared" si="19"/>
        <v>2968.9</v>
      </c>
      <c r="U587" s="71" t="str">
        <f>IFERROR(VLOOKUP(Table1[[#This Row],[No_]],'Customer Net Price'!A:F,5,FALSE),"0")</f>
        <v>0</v>
      </c>
      <c r="V587" s="71" t="str">
        <f>IFERROR(VLOOKUP(Table1[[#This Row],[No_]],'Customer Net Price'!A:G,6,FALSE),"0")</f>
        <v>0</v>
      </c>
    </row>
    <row r="588" spans="1:22" x14ac:dyDescent="0.25">
      <c r="A588" t="s">
        <v>1247</v>
      </c>
      <c r="B588" s="23" t="s">
        <v>1247</v>
      </c>
      <c r="C588" t="s">
        <v>1248</v>
      </c>
      <c r="D588" t="s">
        <v>310</v>
      </c>
      <c r="E588" t="s">
        <v>546</v>
      </c>
      <c r="F588" t="s">
        <v>1196</v>
      </c>
      <c r="G588" t="s">
        <v>1196</v>
      </c>
      <c r="H588" s="56" t="s">
        <v>1275</v>
      </c>
      <c r="I588" t="s">
        <v>546</v>
      </c>
      <c r="J588" t="s">
        <v>546</v>
      </c>
      <c r="K588" s="2">
        <v>39</v>
      </c>
      <c r="L588" s="2">
        <v>290</v>
      </c>
      <c r="M588" s="2">
        <v>43.9</v>
      </c>
      <c r="N588" s="2">
        <f>Table1[[#This Row],[2026 (EUR)]]</f>
        <v>39</v>
      </c>
      <c r="O588" s="2">
        <f>Table1[[#This Row],[2026 (DKK)]]</f>
        <v>290</v>
      </c>
      <c r="Q588" s="45" t="s">
        <v>1197</v>
      </c>
      <c r="S588" s="2">
        <f t="shared" si="18"/>
        <v>39</v>
      </c>
      <c r="T588" s="2">
        <f t="shared" si="19"/>
        <v>290</v>
      </c>
      <c r="U588" s="71" t="str">
        <f>IFERROR(VLOOKUP(Table1[[#This Row],[No_]],'Customer Net Price'!A:F,5,FALSE),"0")</f>
        <v>0</v>
      </c>
      <c r="V588" s="71" t="str">
        <f>IFERROR(VLOOKUP(Table1[[#This Row],[No_]],'Customer Net Price'!A:G,6,FALSE),"0")</f>
        <v>0</v>
      </c>
    </row>
    <row r="589" spans="1:22" x14ac:dyDescent="0.25">
      <c r="A589" t="s">
        <v>1249</v>
      </c>
      <c r="B589" s="23" t="s">
        <v>1249</v>
      </c>
      <c r="C589" t="s">
        <v>1250</v>
      </c>
      <c r="D589" t="s">
        <v>310</v>
      </c>
      <c r="E589" t="s">
        <v>546</v>
      </c>
      <c r="F589" t="s">
        <v>1196</v>
      </c>
      <c r="G589" t="s">
        <v>1196</v>
      </c>
      <c r="H589" s="56" t="s">
        <v>1276</v>
      </c>
      <c r="I589" t="s">
        <v>546</v>
      </c>
      <c r="J589" t="s">
        <v>546</v>
      </c>
      <c r="K589" s="2">
        <v>45</v>
      </c>
      <c r="L589" s="2">
        <v>335</v>
      </c>
      <c r="M589" s="2">
        <v>49.9</v>
      </c>
      <c r="N589" s="2">
        <f>Table1[[#This Row],[2026 (EUR)]]</f>
        <v>45</v>
      </c>
      <c r="O589" s="2">
        <f>Table1[[#This Row],[2026 (DKK)]]</f>
        <v>335</v>
      </c>
      <c r="Q589" s="45" t="s">
        <v>1197</v>
      </c>
      <c r="S589" s="2">
        <f t="shared" si="18"/>
        <v>45</v>
      </c>
      <c r="T589" s="2">
        <f t="shared" si="19"/>
        <v>335</v>
      </c>
      <c r="U589" s="71" t="str">
        <f>IFERROR(VLOOKUP(Table1[[#This Row],[No_]],'Customer Net Price'!A:F,5,FALSE),"0")</f>
        <v>0</v>
      </c>
      <c r="V589" s="71" t="str">
        <f>IFERROR(VLOOKUP(Table1[[#This Row],[No_]],'Customer Net Price'!A:G,6,FALSE),"0")</f>
        <v>0</v>
      </c>
    </row>
    <row r="590" spans="1:22" x14ac:dyDescent="0.25">
      <c r="A590" s="23" t="s">
        <v>122</v>
      </c>
      <c r="B590" s="23" t="s">
        <v>122</v>
      </c>
      <c r="C590" t="s">
        <v>220</v>
      </c>
      <c r="D590" t="s">
        <v>309</v>
      </c>
      <c r="F590" t="s">
        <v>920</v>
      </c>
      <c r="G590" t="s">
        <v>920</v>
      </c>
      <c r="H590" s="55" t="s">
        <v>373</v>
      </c>
      <c r="I590">
        <v>1</v>
      </c>
      <c r="J590" t="s">
        <v>546</v>
      </c>
      <c r="K590" s="2">
        <v>319.89999999999998</v>
      </c>
      <c r="L590" s="2">
        <v>2379.9</v>
      </c>
      <c r="M590" s="2">
        <v>371.9</v>
      </c>
      <c r="N590" s="2">
        <f ca="1">Table1[[#This Row],[2026 (EUR)]]*(1-INDIRECT(Table1[[#This Row],[Discount Name]]))</f>
        <v>319.89999999999998</v>
      </c>
      <c r="O590" s="2">
        <f ca="1">Table1[[#This Row],[2026 (DKK)]]*(1-INDIRECT(Table1[[#This Row],[Discount Name]]))</f>
        <v>2379.9</v>
      </c>
      <c r="P590" s="2" cm="1">
        <f t="array" aca="1" ref="P590" ca="1">Table1[[#This Row],[2026 (USD)]]*(1-INDIRECT(Table1[[#This Row],[Discount Name]]))</f>
        <v>371.9</v>
      </c>
      <c r="Q590" s="31">
        <f ca="1">INDIRECT(Table1[[#This Row],[Discount Name]])</f>
        <v>0</v>
      </c>
      <c r="S590" s="2">
        <f t="shared" ca="1" si="18"/>
        <v>319.89999999999998</v>
      </c>
      <c r="T590" s="2">
        <f t="shared" ca="1" si="19"/>
        <v>2379.9</v>
      </c>
      <c r="U590" s="71" t="str">
        <f>IFERROR(VLOOKUP(Table1[[#This Row],[No_]],'Customer Net Price'!A:F,5,FALSE),"0")</f>
        <v>0</v>
      </c>
      <c r="V590" s="71" t="str">
        <f>IFERROR(VLOOKUP(Table1[[#This Row],[No_]],'Customer Net Price'!A:G,6,FALSE),"0")</f>
        <v>0</v>
      </c>
    </row>
    <row r="591" spans="1:22" x14ac:dyDescent="0.25">
      <c r="A591" s="23" t="s">
        <v>812</v>
      </c>
      <c r="B591" s="23" t="s">
        <v>812</v>
      </c>
      <c r="C591" t="s">
        <v>813</v>
      </c>
      <c r="D591" t="s">
        <v>310</v>
      </c>
      <c r="E591" t="s">
        <v>546</v>
      </c>
      <c r="F591" t="s">
        <v>918</v>
      </c>
      <c r="G591" t="s">
        <v>923</v>
      </c>
      <c r="H591" s="55" t="s">
        <v>814</v>
      </c>
      <c r="I591">
        <v>20</v>
      </c>
      <c r="J591" t="s">
        <v>546</v>
      </c>
      <c r="K591" s="2">
        <v>37.9</v>
      </c>
      <c r="L591" s="2">
        <v>279.89999999999998</v>
      </c>
      <c r="M591" s="2">
        <v>41.9</v>
      </c>
      <c r="N591" s="2">
        <f ca="1">Table1[[#This Row],[2026 (EUR)]]*(1-INDIRECT(Table1[[#This Row],[Discount Name]]))</f>
        <v>37.9</v>
      </c>
      <c r="O591" s="2">
        <f ca="1">Table1[[#This Row],[2026 (DKK)]]*(1-INDIRECT(Table1[[#This Row],[Discount Name]]))</f>
        <v>279.89999999999998</v>
      </c>
      <c r="P591" s="2" cm="1">
        <f t="array" aca="1" ref="P591" ca="1">Table1[[#This Row],[2026 (USD)]]*(1-INDIRECT(Table1[[#This Row],[Discount Name]]))</f>
        <v>41.9</v>
      </c>
      <c r="Q591" s="31">
        <f ca="1">INDIRECT(Table1[[#This Row],[Discount Name]])</f>
        <v>0</v>
      </c>
      <c r="S591" s="2">
        <f t="shared" ca="1" si="18"/>
        <v>37.9</v>
      </c>
      <c r="T591" s="2">
        <f t="shared" ca="1" si="19"/>
        <v>279.89999999999998</v>
      </c>
      <c r="U591" s="71" t="str">
        <f>IFERROR(VLOOKUP(Table1[[#This Row],[No_]],'Customer Net Price'!A:F,5,FALSE),"0")</f>
        <v>0</v>
      </c>
      <c r="V591" s="71" t="str">
        <f>IFERROR(VLOOKUP(Table1[[#This Row],[No_]],'Customer Net Price'!A:G,6,FALSE),"0")</f>
        <v>0</v>
      </c>
    </row>
    <row r="592" spans="1:22" x14ac:dyDescent="0.25">
      <c r="A592" s="23" t="s">
        <v>815</v>
      </c>
      <c r="B592" s="23" t="s">
        <v>815</v>
      </c>
      <c r="C592" t="s">
        <v>816</v>
      </c>
      <c r="D592" t="s">
        <v>310</v>
      </c>
      <c r="E592" t="s">
        <v>546</v>
      </c>
      <c r="F592" t="s">
        <v>918</v>
      </c>
      <c r="G592" t="s">
        <v>923</v>
      </c>
      <c r="H592" s="55" t="s">
        <v>817</v>
      </c>
      <c r="I592">
        <v>20</v>
      </c>
      <c r="J592" t="s">
        <v>546</v>
      </c>
      <c r="K592" s="2">
        <v>48.9</v>
      </c>
      <c r="L592" s="2">
        <v>364.9</v>
      </c>
      <c r="M592" s="2">
        <v>53.9</v>
      </c>
      <c r="N592" s="2">
        <f ca="1">Table1[[#This Row],[2026 (EUR)]]*(1-INDIRECT(Table1[[#This Row],[Discount Name]]))</f>
        <v>48.9</v>
      </c>
      <c r="O592" s="2">
        <f ca="1">Table1[[#This Row],[2026 (DKK)]]*(1-INDIRECT(Table1[[#This Row],[Discount Name]]))</f>
        <v>364.9</v>
      </c>
      <c r="P592" s="2" cm="1">
        <f t="array" aca="1" ref="P592" ca="1">Table1[[#This Row],[2026 (USD)]]*(1-INDIRECT(Table1[[#This Row],[Discount Name]]))</f>
        <v>53.9</v>
      </c>
      <c r="Q592" s="31">
        <f ca="1">INDIRECT(Table1[[#This Row],[Discount Name]])</f>
        <v>0</v>
      </c>
      <c r="S592" s="2">
        <f t="shared" ca="1" si="18"/>
        <v>48.9</v>
      </c>
      <c r="T592" s="2">
        <f t="shared" ca="1" si="19"/>
        <v>364.9</v>
      </c>
      <c r="U592" s="71" t="str">
        <f>IFERROR(VLOOKUP(Table1[[#This Row],[No_]],'Customer Net Price'!A:F,5,FALSE),"0")</f>
        <v>0</v>
      </c>
      <c r="V592" s="71" t="str">
        <f>IFERROR(VLOOKUP(Table1[[#This Row],[No_]],'Customer Net Price'!A:G,6,FALSE),"0")</f>
        <v>0</v>
      </c>
    </row>
    <row r="593" spans="1:22" x14ac:dyDescent="0.25">
      <c r="A593" t="s">
        <v>1260</v>
      </c>
      <c r="B593" s="23" t="s">
        <v>1260</v>
      </c>
      <c r="C593" t="s">
        <v>1261</v>
      </c>
      <c r="D593" t="s">
        <v>310</v>
      </c>
      <c r="E593" t="s">
        <v>546</v>
      </c>
      <c r="F593" t="s">
        <v>1196</v>
      </c>
      <c r="G593" t="s">
        <v>1196</v>
      </c>
      <c r="H593" s="56" t="s">
        <v>1277</v>
      </c>
      <c r="I593" t="s">
        <v>546</v>
      </c>
      <c r="J593" t="s">
        <v>546</v>
      </c>
      <c r="K593" s="2">
        <v>8.9</v>
      </c>
      <c r="L593" s="2">
        <v>66</v>
      </c>
      <c r="M593" s="2">
        <v>9.9</v>
      </c>
      <c r="N593" s="2">
        <f>Table1[[#This Row],[2026 (EUR)]]</f>
        <v>8.9</v>
      </c>
      <c r="O593" s="2">
        <f>Table1[[#This Row],[2026 (DKK)]]</f>
        <v>66</v>
      </c>
      <c r="Q593" s="45" t="s">
        <v>1197</v>
      </c>
      <c r="S593" s="2">
        <f t="shared" si="18"/>
        <v>8.9</v>
      </c>
      <c r="T593" s="2">
        <f t="shared" si="19"/>
        <v>66</v>
      </c>
      <c r="U593" s="71" t="str">
        <f>IFERROR(VLOOKUP(Table1[[#This Row],[No_]],'Customer Net Price'!A:F,5,FALSE),"0")</f>
        <v>0</v>
      </c>
      <c r="V593" s="71" t="str">
        <f>IFERROR(VLOOKUP(Table1[[#This Row],[No_]],'Customer Net Price'!A:G,6,FALSE),"0")</f>
        <v>0</v>
      </c>
    </row>
    <row r="594" spans="1:22" x14ac:dyDescent="0.25">
      <c r="A594" t="s">
        <v>1230</v>
      </c>
      <c r="B594" s="23" t="s">
        <v>1230</v>
      </c>
      <c r="C594" t="s">
        <v>1258</v>
      </c>
      <c r="D594" t="s">
        <v>310</v>
      </c>
      <c r="E594" t="s">
        <v>546</v>
      </c>
      <c r="F594" t="s">
        <v>1196</v>
      </c>
      <c r="G594" t="s">
        <v>1196</v>
      </c>
      <c r="H594" s="23" t="s">
        <v>1286</v>
      </c>
      <c r="I594" t="s">
        <v>546</v>
      </c>
      <c r="J594" t="s">
        <v>546</v>
      </c>
      <c r="K594" s="2">
        <v>25</v>
      </c>
      <c r="L594" s="2">
        <v>189</v>
      </c>
      <c r="M594" s="2">
        <v>27.9</v>
      </c>
      <c r="N594" s="2">
        <f>Table1[[#This Row],[2026 (EUR)]]</f>
        <v>25</v>
      </c>
      <c r="O594" s="2">
        <f>Table1[[#This Row],[2026 (DKK)]]</f>
        <v>189</v>
      </c>
      <c r="Q594" s="45" t="s">
        <v>1197</v>
      </c>
      <c r="S594" s="2">
        <f t="shared" si="18"/>
        <v>25</v>
      </c>
      <c r="T594" s="2">
        <f t="shared" si="19"/>
        <v>189</v>
      </c>
      <c r="U594" s="71" t="str">
        <f>IFERROR(VLOOKUP(Table1[[#This Row],[No_]],'Customer Net Price'!A:F,5,FALSE),"0")</f>
        <v>0</v>
      </c>
      <c r="V594" s="71" t="str">
        <f>IFERROR(VLOOKUP(Table1[[#This Row],[No_]],'Customer Net Price'!A:G,6,FALSE),"0")</f>
        <v>0</v>
      </c>
    </row>
    <row r="595" spans="1:22" x14ac:dyDescent="0.25">
      <c r="A595" t="s">
        <v>1231</v>
      </c>
      <c r="B595" s="23" t="s">
        <v>1231</v>
      </c>
      <c r="C595" t="s">
        <v>1257</v>
      </c>
      <c r="D595" t="s">
        <v>310</v>
      </c>
      <c r="E595" t="s">
        <v>546</v>
      </c>
      <c r="F595" t="s">
        <v>1196</v>
      </c>
      <c r="G595" t="s">
        <v>1196</v>
      </c>
      <c r="H595" s="23" t="s">
        <v>1287</v>
      </c>
      <c r="I595" t="s">
        <v>546</v>
      </c>
      <c r="J595" t="s">
        <v>546</v>
      </c>
      <c r="K595" s="2">
        <v>25</v>
      </c>
      <c r="L595" s="2">
        <v>189</v>
      </c>
      <c r="M595" s="2">
        <v>27.9</v>
      </c>
      <c r="N595" s="2">
        <f>Table1[[#This Row],[2026 (EUR)]]</f>
        <v>25</v>
      </c>
      <c r="O595" s="2">
        <f>Table1[[#This Row],[2026 (DKK)]]</f>
        <v>189</v>
      </c>
      <c r="Q595" s="45" t="s">
        <v>1197</v>
      </c>
      <c r="S595" s="2">
        <f t="shared" si="18"/>
        <v>25</v>
      </c>
      <c r="T595" s="2">
        <f t="shared" si="19"/>
        <v>189</v>
      </c>
      <c r="U595" s="71" t="str">
        <f>IFERROR(VLOOKUP(Table1[[#This Row],[No_]],'Customer Net Price'!A:F,5,FALSE),"0")</f>
        <v>0</v>
      </c>
      <c r="V595" s="71" t="str">
        <f>IFERROR(VLOOKUP(Table1[[#This Row],[No_]],'Customer Net Price'!A:G,6,FALSE),"0")</f>
        <v>0</v>
      </c>
    </row>
    <row r="596" spans="1:22" x14ac:dyDescent="0.25">
      <c r="A596" t="s">
        <v>1255</v>
      </c>
      <c r="B596" s="23" t="s">
        <v>1255</v>
      </c>
      <c r="C596" t="s">
        <v>1256</v>
      </c>
      <c r="D596" t="s">
        <v>310</v>
      </c>
      <c r="E596" t="s">
        <v>546</v>
      </c>
      <c r="F596" t="s">
        <v>1196</v>
      </c>
      <c r="G596" t="s">
        <v>1196</v>
      </c>
      <c r="H596" s="56" t="s">
        <v>1278</v>
      </c>
      <c r="I596" t="s">
        <v>546</v>
      </c>
      <c r="J596" t="s">
        <v>546</v>
      </c>
      <c r="K596" s="2">
        <v>465</v>
      </c>
      <c r="L596" s="2">
        <v>3460</v>
      </c>
      <c r="M596" s="2">
        <v>516.9</v>
      </c>
      <c r="N596" s="2">
        <f>Table1[[#This Row],[2026 (EUR)]]</f>
        <v>465</v>
      </c>
      <c r="O596" s="2">
        <f>Table1[[#This Row],[2026 (DKK)]]</f>
        <v>3460</v>
      </c>
      <c r="Q596" s="45" t="s">
        <v>1197</v>
      </c>
      <c r="S596" s="2">
        <f t="shared" si="18"/>
        <v>465</v>
      </c>
      <c r="T596" s="2">
        <f t="shared" si="19"/>
        <v>3460</v>
      </c>
      <c r="U596" s="71" t="str">
        <f>IFERROR(VLOOKUP(Table1[[#This Row],[No_]],'Customer Net Price'!A:F,5,FALSE),"0")</f>
        <v>0</v>
      </c>
      <c r="V596" s="71" t="str">
        <f>IFERROR(VLOOKUP(Table1[[#This Row],[No_]],'Customer Net Price'!A:G,6,FALSE),"0")</f>
        <v>0</v>
      </c>
    </row>
    <row r="597" spans="1:22" x14ac:dyDescent="0.25">
      <c r="A597" s="23" t="s">
        <v>818</v>
      </c>
      <c r="B597" s="23" t="s">
        <v>818</v>
      </c>
      <c r="C597" t="s">
        <v>1242</v>
      </c>
      <c r="D597" t="s">
        <v>310</v>
      </c>
      <c r="E597" t="s">
        <v>546</v>
      </c>
      <c r="F597" t="s">
        <v>918</v>
      </c>
      <c r="G597" t="s">
        <v>923</v>
      </c>
      <c r="H597" s="55" t="s">
        <v>819</v>
      </c>
      <c r="I597">
        <v>1</v>
      </c>
      <c r="J597" t="s">
        <v>546</v>
      </c>
      <c r="K597" s="2">
        <v>96.9</v>
      </c>
      <c r="L597" s="2">
        <v>719.9</v>
      </c>
      <c r="M597" s="2">
        <v>108.9</v>
      </c>
      <c r="N597" s="2">
        <f ca="1">Table1[[#This Row],[2026 (EUR)]]*(1-INDIRECT(Table1[[#This Row],[Discount Name]]))</f>
        <v>96.9</v>
      </c>
      <c r="O597" s="2">
        <f ca="1">Table1[[#This Row],[2026 (DKK)]]*(1-INDIRECT(Table1[[#This Row],[Discount Name]]))</f>
        <v>719.9</v>
      </c>
      <c r="P597" s="2" cm="1">
        <f t="array" aca="1" ref="P597" ca="1">Table1[[#This Row],[2026 (USD)]]*(1-INDIRECT(Table1[[#This Row],[Discount Name]]))</f>
        <v>108.9</v>
      </c>
      <c r="Q597" s="31">
        <f ca="1">INDIRECT(Table1[[#This Row],[Discount Name]])</f>
        <v>0</v>
      </c>
      <c r="S597" s="2">
        <f t="shared" ca="1" si="18"/>
        <v>96.9</v>
      </c>
      <c r="T597" s="2">
        <f t="shared" ca="1" si="19"/>
        <v>719.9</v>
      </c>
      <c r="U597" s="71" t="str">
        <f>IFERROR(VLOOKUP(Table1[[#This Row],[No_]],'Customer Net Price'!A:F,5,FALSE),"0")</f>
        <v>0</v>
      </c>
      <c r="V597" s="71" t="str">
        <f>IFERROR(VLOOKUP(Table1[[#This Row],[No_]],'Customer Net Price'!A:G,6,FALSE),"0")</f>
        <v>0</v>
      </c>
    </row>
    <row r="598" spans="1:22" x14ac:dyDescent="0.25">
      <c r="A598" s="23" t="s">
        <v>820</v>
      </c>
      <c r="B598" s="23" t="s">
        <v>820</v>
      </c>
      <c r="C598" t="s">
        <v>1243</v>
      </c>
      <c r="D598" t="s">
        <v>310</v>
      </c>
      <c r="E598" t="s">
        <v>546</v>
      </c>
      <c r="F598" t="s">
        <v>918</v>
      </c>
      <c r="G598" t="s">
        <v>923</v>
      </c>
      <c r="H598" s="55" t="s">
        <v>821</v>
      </c>
      <c r="I598">
        <v>1</v>
      </c>
      <c r="J598" t="s">
        <v>546</v>
      </c>
      <c r="K598" s="2">
        <v>171.9</v>
      </c>
      <c r="L598" s="2">
        <v>1279.9000000000001</v>
      </c>
      <c r="M598" s="2">
        <v>192.9</v>
      </c>
      <c r="N598" s="2">
        <f ca="1">Table1[[#This Row],[2026 (EUR)]]*(1-INDIRECT(Table1[[#This Row],[Discount Name]]))</f>
        <v>171.9</v>
      </c>
      <c r="O598" s="2">
        <f ca="1">Table1[[#This Row],[2026 (DKK)]]*(1-INDIRECT(Table1[[#This Row],[Discount Name]]))</f>
        <v>1279.9000000000001</v>
      </c>
      <c r="P598" s="2" cm="1">
        <f t="array" aca="1" ref="P598" ca="1">Table1[[#This Row],[2026 (USD)]]*(1-INDIRECT(Table1[[#This Row],[Discount Name]]))</f>
        <v>192.9</v>
      </c>
      <c r="Q598" s="31">
        <f ca="1">INDIRECT(Table1[[#This Row],[Discount Name]])</f>
        <v>0</v>
      </c>
      <c r="S598" s="2">
        <f t="shared" ca="1" si="18"/>
        <v>171.9</v>
      </c>
      <c r="T598" s="2">
        <f t="shared" ca="1" si="19"/>
        <v>1279.9000000000001</v>
      </c>
      <c r="U598" s="71" t="str">
        <f>IFERROR(VLOOKUP(Table1[[#This Row],[No_]],'Customer Net Price'!A:F,5,FALSE),"0")</f>
        <v>0</v>
      </c>
      <c r="V598" s="71" t="str">
        <f>IFERROR(VLOOKUP(Table1[[#This Row],[No_]],'Customer Net Price'!A:G,6,FALSE),"0")</f>
        <v>0</v>
      </c>
    </row>
    <row r="599" spans="1:22" x14ac:dyDescent="0.25">
      <c r="A599" t="s">
        <v>1236</v>
      </c>
      <c r="B599" s="23" t="s">
        <v>1236</v>
      </c>
      <c r="C599" t="s">
        <v>1237</v>
      </c>
      <c r="D599" t="s">
        <v>305</v>
      </c>
      <c r="E599" t="s">
        <v>505</v>
      </c>
      <c r="F599" t="s">
        <v>924</v>
      </c>
      <c r="G599" t="s">
        <v>924</v>
      </c>
      <c r="H599" s="56" t="s">
        <v>1268</v>
      </c>
      <c r="I599">
        <v>1</v>
      </c>
      <c r="J599" t="s">
        <v>546</v>
      </c>
      <c r="K599" s="2">
        <v>739.9</v>
      </c>
      <c r="L599" s="2">
        <v>5499.9</v>
      </c>
      <c r="M599" s="2">
        <v>802.9</v>
      </c>
      <c r="N599" s="2">
        <f ca="1">Table1[[#This Row],[2026 (EUR)]]*(1-INDIRECT(Table1[[#This Row],[Discount Name]]))</f>
        <v>739.9</v>
      </c>
      <c r="O599" s="2">
        <f ca="1">Table1[[#This Row],[2026 (DKK)]]*(1-INDIRECT(Table1[[#This Row],[Discount Name]]))</f>
        <v>5499.9</v>
      </c>
      <c r="P599" s="2" cm="1">
        <f t="array" aca="1" ref="P599" ca="1">Table1[[#This Row],[2026 (USD)]]*(1-INDIRECT(Table1[[#This Row],[Discount Name]]))</f>
        <v>802.9</v>
      </c>
      <c r="Q599" s="32">
        <f ca="1">INDIRECT(Table1[[#This Row],[Discount Name]])</f>
        <v>0</v>
      </c>
      <c r="S599" s="2">
        <f t="shared" ca="1" si="18"/>
        <v>739.9</v>
      </c>
      <c r="T599" s="2">
        <f t="shared" ca="1" si="19"/>
        <v>5499.9</v>
      </c>
      <c r="U599" s="71" t="str">
        <f>IFERROR(VLOOKUP(Table1[[#This Row],[No_]],'Customer Net Price'!A:F,5,FALSE),"0")</f>
        <v>0</v>
      </c>
      <c r="V599" s="71" t="str">
        <f>IFERROR(VLOOKUP(Table1[[#This Row],[No_]],'Customer Net Price'!A:G,6,FALSE),"0")</f>
        <v>0</v>
      </c>
    </row>
    <row r="600" spans="1:22" x14ac:dyDescent="0.25">
      <c r="A600" t="s">
        <v>1238</v>
      </c>
      <c r="B600" s="23" t="s">
        <v>1238</v>
      </c>
      <c r="C600" t="s">
        <v>1239</v>
      </c>
      <c r="D600" t="s">
        <v>305</v>
      </c>
      <c r="E600" t="s">
        <v>505</v>
      </c>
      <c r="F600" t="s">
        <v>924</v>
      </c>
      <c r="G600" t="s">
        <v>924</v>
      </c>
      <c r="H600" s="56" t="s">
        <v>1269</v>
      </c>
      <c r="I600">
        <v>1</v>
      </c>
      <c r="J600" t="s">
        <v>546</v>
      </c>
      <c r="K600" s="2">
        <v>1179.9000000000001</v>
      </c>
      <c r="L600" s="2">
        <v>8779.9</v>
      </c>
      <c r="M600" s="2">
        <v>1281.9000000000001</v>
      </c>
      <c r="N600" s="2">
        <f ca="1">Table1[[#This Row],[2026 (EUR)]]*(1-INDIRECT(Table1[[#This Row],[Discount Name]]))</f>
        <v>1179.9000000000001</v>
      </c>
      <c r="O600" s="2">
        <f ca="1">Table1[[#This Row],[2026 (DKK)]]*(1-INDIRECT(Table1[[#This Row],[Discount Name]]))</f>
        <v>8779.9</v>
      </c>
      <c r="P600" s="2" cm="1">
        <f t="array" aca="1" ref="P600" ca="1">Table1[[#This Row],[2026 (USD)]]*(1-INDIRECT(Table1[[#This Row],[Discount Name]]))</f>
        <v>1281.9000000000001</v>
      </c>
      <c r="Q600" s="32">
        <f ca="1">INDIRECT(Table1[[#This Row],[Discount Name]])</f>
        <v>0</v>
      </c>
      <c r="S600" s="2">
        <f t="shared" ca="1" si="18"/>
        <v>1179.9000000000001</v>
      </c>
      <c r="T600" s="2">
        <f t="shared" ca="1" si="19"/>
        <v>8779.9</v>
      </c>
      <c r="U600" s="71" t="str">
        <f>IFERROR(VLOOKUP(Table1[[#This Row],[No_]],'Customer Net Price'!A:F,5,FALSE),"0")</f>
        <v>0</v>
      </c>
      <c r="V600" s="71" t="str">
        <f>IFERROR(VLOOKUP(Table1[[#This Row],[No_]],'Customer Net Price'!A:G,6,FALSE),"0")</f>
        <v>0</v>
      </c>
    </row>
    <row r="601" spans="1:22" x14ac:dyDescent="0.25">
      <c r="A601" t="s">
        <v>1251</v>
      </c>
      <c r="B601" s="23" t="s">
        <v>1251</v>
      </c>
      <c r="C601" t="s">
        <v>1252</v>
      </c>
      <c r="D601" t="s">
        <v>310</v>
      </c>
      <c r="E601" t="s">
        <v>546</v>
      </c>
      <c r="F601" t="s">
        <v>1196</v>
      </c>
      <c r="G601" t="s">
        <v>1196</v>
      </c>
      <c r="H601" s="57" t="s">
        <v>1279</v>
      </c>
      <c r="I601" t="s">
        <v>546</v>
      </c>
      <c r="J601" t="s">
        <v>546</v>
      </c>
      <c r="K601" s="2">
        <v>8</v>
      </c>
      <c r="L601" s="2">
        <v>60</v>
      </c>
      <c r="M601" s="2">
        <v>8.9</v>
      </c>
      <c r="N601" s="2">
        <f>Table1[[#This Row],[2026 (EUR)]]</f>
        <v>8</v>
      </c>
      <c r="O601" s="2">
        <f>Table1[[#This Row],[2026 (DKK)]]</f>
        <v>60</v>
      </c>
      <c r="Q601" s="45" t="s">
        <v>1197</v>
      </c>
      <c r="S601" s="2">
        <f t="shared" si="18"/>
        <v>8</v>
      </c>
      <c r="T601" s="2">
        <f t="shared" si="19"/>
        <v>60</v>
      </c>
      <c r="U601" s="71" t="str">
        <f>IFERROR(VLOOKUP(Table1[[#This Row],[No_]],'Customer Net Price'!A:F,5,FALSE),"0")</f>
        <v>0</v>
      </c>
      <c r="V601" s="71" t="str">
        <f>IFERROR(VLOOKUP(Table1[[#This Row],[No_]],'Customer Net Price'!A:G,6,FALSE),"0")</f>
        <v>0</v>
      </c>
    </row>
    <row r="602" spans="1:22" x14ac:dyDescent="0.25">
      <c r="A602" s="23" t="s">
        <v>1282</v>
      </c>
      <c r="B602" s="23" t="s">
        <v>1282</v>
      </c>
      <c r="C602" t="s">
        <v>1259</v>
      </c>
      <c r="D602" t="s">
        <v>310</v>
      </c>
      <c r="E602" t="s">
        <v>546</v>
      </c>
      <c r="F602" t="s">
        <v>1196</v>
      </c>
      <c r="G602" t="s">
        <v>1196</v>
      </c>
      <c r="H602" s="23" t="s">
        <v>1288</v>
      </c>
      <c r="I602" t="s">
        <v>546</v>
      </c>
      <c r="J602" t="s">
        <v>546</v>
      </c>
      <c r="K602" s="2">
        <v>25</v>
      </c>
      <c r="L602" s="2">
        <v>189</v>
      </c>
      <c r="M602" s="2">
        <v>27.9</v>
      </c>
      <c r="N602" s="2">
        <f>Table1[[#This Row],[2026 (EUR)]]</f>
        <v>25</v>
      </c>
      <c r="O602" s="2">
        <f>Table1[[#This Row],[2026 (DKK)]]</f>
        <v>189</v>
      </c>
      <c r="Q602" s="45" t="s">
        <v>1197</v>
      </c>
      <c r="S602" s="2">
        <f t="shared" si="18"/>
        <v>25</v>
      </c>
      <c r="T602" s="2">
        <f t="shared" si="19"/>
        <v>189</v>
      </c>
      <c r="U602" s="71" t="str">
        <f>IFERROR(VLOOKUP(Table1[[#This Row],[No_]],'Customer Net Price'!A:F,5,FALSE),"0")</f>
        <v>0</v>
      </c>
      <c r="V602" s="71" t="str">
        <f>IFERROR(VLOOKUP(Table1[[#This Row],[No_]],'Customer Net Price'!A:G,6,FALSE),"0")</f>
        <v>0</v>
      </c>
    </row>
    <row r="603" spans="1:22" x14ac:dyDescent="0.25">
      <c r="A603" t="s">
        <v>1245</v>
      </c>
      <c r="B603" s="23" t="s">
        <v>1245</v>
      </c>
      <c r="C603" t="s">
        <v>1246</v>
      </c>
      <c r="D603" t="s">
        <v>310</v>
      </c>
      <c r="E603" t="s">
        <v>546</v>
      </c>
      <c r="F603" t="s">
        <v>1196</v>
      </c>
      <c r="G603" t="s">
        <v>1196</v>
      </c>
      <c r="H603" s="56" t="s">
        <v>1280</v>
      </c>
      <c r="I603" t="s">
        <v>546</v>
      </c>
      <c r="J603" t="s">
        <v>546</v>
      </c>
      <c r="K603" s="2">
        <v>39</v>
      </c>
      <c r="L603" s="2">
        <v>289</v>
      </c>
      <c r="M603" s="2">
        <v>43.9</v>
      </c>
      <c r="N603" s="2">
        <f>Table1[[#This Row],[2026 (EUR)]]</f>
        <v>39</v>
      </c>
      <c r="O603" s="2">
        <f>Table1[[#This Row],[2026 (DKK)]]</f>
        <v>289</v>
      </c>
      <c r="Q603" s="45" t="s">
        <v>1197</v>
      </c>
      <c r="S603" s="2">
        <f t="shared" si="18"/>
        <v>39</v>
      </c>
      <c r="T603" s="2">
        <f t="shared" si="19"/>
        <v>289</v>
      </c>
      <c r="U603" s="71" t="str">
        <f>IFERROR(VLOOKUP(Table1[[#This Row],[No_]],'Customer Net Price'!A:F,5,FALSE),"0")</f>
        <v>0</v>
      </c>
      <c r="V603" s="71" t="str">
        <f>IFERROR(VLOOKUP(Table1[[#This Row],[No_]],'Customer Net Price'!A:G,6,FALSE),"0")</f>
        <v>0</v>
      </c>
    </row>
    <row r="604" spans="1:22" x14ac:dyDescent="0.25">
      <c r="A604" s="23" t="s">
        <v>1193</v>
      </c>
      <c r="B604" s="23" t="s">
        <v>1193</v>
      </c>
      <c r="C604" t="s">
        <v>1194</v>
      </c>
      <c r="D604" t="s">
        <v>310</v>
      </c>
      <c r="E604" t="s">
        <v>546</v>
      </c>
      <c r="F604" t="s">
        <v>1196</v>
      </c>
      <c r="G604" t="s">
        <v>1196</v>
      </c>
      <c r="H604" s="56" t="s">
        <v>1195</v>
      </c>
      <c r="I604" t="s">
        <v>546</v>
      </c>
      <c r="J604" t="s">
        <v>546</v>
      </c>
      <c r="K604" s="2">
        <v>59.9</v>
      </c>
      <c r="L604" s="2">
        <v>439.9</v>
      </c>
      <c r="M604" s="2">
        <v>72.900000000000006</v>
      </c>
      <c r="N604" s="2">
        <f>Table1[[#This Row],[2026 (EUR)]]</f>
        <v>59.9</v>
      </c>
      <c r="O604" s="2">
        <f>Table1[[#This Row],[2026 (DKK)]]</f>
        <v>439.9</v>
      </c>
      <c r="Q604" s="45" t="s">
        <v>1197</v>
      </c>
      <c r="S604" s="2">
        <f t="shared" si="18"/>
        <v>59.9</v>
      </c>
      <c r="T604" s="2">
        <f t="shared" si="19"/>
        <v>439.9</v>
      </c>
      <c r="U604" s="71" t="str">
        <f>IFERROR(VLOOKUP(Table1[[#This Row],[No_]],'Customer Net Price'!A:F,5,FALSE),"0")</f>
        <v>0</v>
      </c>
      <c r="V604" s="71" t="str">
        <f>IFERROR(VLOOKUP(Table1[[#This Row],[No_]],'Customer Net Price'!A:G,6,FALSE),"0")</f>
        <v>0</v>
      </c>
    </row>
    <row r="605" spans="1:22" x14ac:dyDescent="0.25">
      <c r="A605" s="23" t="s">
        <v>1206</v>
      </c>
      <c r="B605" s="23" t="s">
        <v>1206</v>
      </c>
      <c r="C605" s="60" t="s">
        <v>1208</v>
      </c>
      <c r="D605" t="s">
        <v>305</v>
      </c>
      <c r="E605" t="s">
        <v>199</v>
      </c>
      <c r="F605" t="s">
        <v>916</v>
      </c>
      <c r="G605" t="s">
        <v>916</v>
      </c>
      <c r="H605" s="56" t="s">
        <v>1207</v>
      </c>
      <c r="I605">
        <v>1</v>
      </c>
      <c r="J605" t="s">
        <v>546</v>
      </c>
      <c r="K605" s="2">
        <v>104.8</v>
      </c>
      <c r="L605" s="2">
        <v>784.8</v>
      </c>
      <c r="M605" s="2">
        <v>114.9</v>
      </c>
      <c r="N605" s="2">
        <f ca="1">Table1[[#This Row],[2026 (EUR)]]*(1-INDIRECT(Table1[[#This Row],[Discount Name]]))</f>
        <v>104.8</v>
      </c>
      <c r="O605" s="2">
        <f ca="1">Table1[[#This Row],[2026 (DKK)]]*(1-INDIRECT(Table1[[#This Row],[Discount Name]]))</f>
        <v>784.8</v>
      </c>
      <c r="P605" s="2" cm="1">
        <f t="array" aca="1" ref="P605" ca="1">Table1[[#This Row],[2026 (USD)]]*(1-INDIRECT(Table1[[#This Row],[Discount Name]]))</f>
        <v>114.9</v>
      </c>
      <c r="Q605" s="32">
        <f ca="1">INDIRECT(Table1[[#This Row],[Discount Name]])</f>
        <v>0</v>
      </c>
      <c r="S605" s="2">
        <f t="shared" ca="1" si="18"/>
        <v>104.8</v>
      </c>
      <c r="T605" s="2">
        <f t="shared" ca="1" si="19"/>
        <v>784.8</v>
      </c>
      <c r="U605" s="71" t="str">
        <f>IFERROR(VLOOKUP(Table1[[#This Row],[No_]],'Customer Net Price'!A:F,5,FALSE),"0")</f>
        <v>0</v>
      </c>
      <c r="V605" s="71" t="str">
        <f>IFERROR(VLOOKUP(Table1[[#This Row],[No_]],'Customer Net Price'!A:G,6,FALSE),"0")</f>
        <v>0</v>
      </c>
    </row>
    <row r="606" spans="1:22" x14ac:dyDescent="0.25">
      <c r="A606" s="23" t="s">
        <v>1209</v>
      </c>
      <c r="B606" s="23" t="s">
        <v>1209</v>
      </c>
      <c r="C606" s="61" t="s">
        <v>1211</v>
      </c>
      <c r="D606" t="s">
        <v>1011</v>
      </c>
      <c r="F606" t="s">
        <v>1196</v>
      </c>
      <c r="G606" t="s">
        <v>1196</v>
      </c>
      <c r="H606" s="56" t="s">
        <v>1210</v>
      </c>
      <c r="I606">
        <v>1</v>
      </c>
      <c r="J606" t="s">
        <v>546</v>
      </c>
      <c r="K606" s="2">
        <v>179.9</v>
      </c>
      <c r="L606" s="2">
        <v>1339.9</v>
      </c>
      <c r="M606" s="2">
        <v>199.9</v>
      </c>
      <c r="N606" s="2">
        <f>Table1[[#This Row],[2026 (EUR)]]</f>
        <v>179.9</v>
      </c>
      <c r="O606" s="2">
        <f>Table1[[#This Row],[2026 (DKK)]]</f>
        <v>1339.9</v>
      </c>
      <c r="P606" s="2">
        <f>Table1[[#This Row],[2026 (USD)]]</f>
        <v>199.9</v>
      </c>
      <c r="Q606" s="45" t="s">
        <v>1197</v>
      </c>
      <c r="R606" s="111"/>
      <c r="S606" s="2">
        <f t="shared" si="18"/>
        <v>179.9</v>
      </c>
      <c r="T606" s="2">
        <f t="shared" si="19"/>
        <v>1339.9</v>
      </c>
      <c r="U606" s="71" t="str">
        <f>IFERROR(VLOOKUP(Table1[[#This Row],[No_]],'Customer Net Price'!A:F,5,FALSE),"0")</f>
        <v>0</v>
      </c>
      <c r="V606" s="71" t="str">
        <f>IFERROR(VLOOKUP(Table1[[#This Row],[No_]],'Customer Net Price'!A:G,6,FALSE),"0")</f>
        <v>0</v>
      </c>
    </row>
    <row r="607" spans="1:22" x14ac:dyDescent="0.25">
      <c r="A607" s="23" t="s">
        <v>1649</v>
      </c>
      <c r="B607" s="23" t="s">
        <v>1649</v>
      </c>
      <c r="C607" s="61" t="s">
        <v>1831</v>
      </c>
      <c r="D607" t="s">
        <v>1011</v>
      </c>
      <c r="F607" t="s">
        <v>919</v>
      </c>
      <c r="G607" t="s">
        <v>919</v>
      </c>
      <c r="H607" s="54" t="s">
        <v>1650</v>
      </c>
      <c r="I607" t="s">
        <v>546</v>
      </c>
      <c r="J607" t="s">
        <v>546</v>
      </c>
      <c r="K607" s="2">
        <v>159.9</v>
      </c>
      <c r="L607" s="2">
        <v>1189.9000000000001</v>
      </c>
      <c r="M607" s="2">
        <v>174.9</v>
      </c>
      <c r="N607" s="2">
        <f ca="1">Table1[[#This Row],[2026 (EUR)]]*(1-INDIRECT(Table1[[#This Row],[Discount Name]]))</f>
        <v>159.9</v>
      </c>
      <c r="O607" s="2">
        <f ca="1">Table1[[#This Row],[2026 (DKK)]]*(1-INDIRECT(Table1[[#This Row],[Discount Name]]))</f>
        <v>1189.9000000000001</v>
      </c>
      <c r="P607" s="2" cm="1">
        <f t="array" aca="1" ref="P607" ca="1">Table1[[#This Row],[2026 (USD)]]*(1-INDIRECT(Table1[[#This Row],[Discount Name]]))</f>
        <v>174.9</v>
      </c>
      <c r="Q607" s="32">
        <f ca="1">INDIRECT(Table1[[#This Row],[Discount Name]])</f>
        <v>0</v>
      </c>
      <c r="R607" s="111"/>
      <c r="S607" s="2">
        <f t="shared" ca="1" si="18"/>
        <v>159.9</v>
      </c>
      <c r="T607" s="2">
        <f t="shared" ca="1" si="19"/>
        <v>1189.9000000000001</v>
      </c>
      <c r="U607" s="71" t="str">
        <f>IFERROR(VLOOKUP(Table1[[#This Row],[No_]],'Customer Net Price'!A:F,5,FALSE),"0")</f>
        <v>0</v>
      </c>
      <c r="V607" s="71" t="str">
        <f>IFERROR(VLOOKUP(Table1[[#This Row],[No_]],'Customer Net Price'!A:G,6,FALSE),"0")</f>
        <v>0</v>
      </c>
    </row>
    <row r="608" spans="1:22" x14ac:dyDescent="0.25">
      <c r="A608" s="23" t="s">
        <v>86</v>
      </c>
      <c r="B608" s="23" t="s">
        <v>86</v>
      </c>
      <c r="C608" t="s">
        <v>281</v>
      </c>
      <c r="D608" t="s">
        <v>308</v>
      </c>
      <c r="E608" t="s">
        <v>546</v>
      </c>
      <c r="F608" t="s">
        <v>308</v>
      </c>
      <c r="G608" t="s">
        <v>308</v>
      </c>
      <c r="H608" s="55" t="s">
        <v>424</v>
      </c>
      <c r="I608" t="s">
        <v>546</v>
      </c>
      <c r="J608" t="s">
        <v>546</v>
      </c>
      <c r="K608" s="2">
        <v>74.900000000000006</v>
      </c>
      <c r="L608" s="2">
        <v>557.9</v>
      </c>
      <c r="M608" s="2">
        <v>84.9</v>
      </c>
      <c r="N608" s="2">
        <f ca="1">Table1[[#This Row],[2026 (EUR)]]*(1-INDIRECT(Table1[[#This Row],[Discount Name]]))</f>
        <v>74.900000000000006</v>
      </c>
      <c r="O608" s="2">
        <f ca="1">Table1[[#This Row],[2026 (DKK)]]*(1-INDIRECT(Table1[[#This Row],[Discount Name]]))</f>
        <v>557.9</v>
      </c>
      <c r="P608" s="2" cm="1">
        <f t="array" aca="1" ref="P608" ca="1">Table1[[#This Row],[2026 (USD)]]*(1-INDIRECT(Table1[[#This Row],[Discount Name]]))</f>
        <v>84.9</v>
      </c>
      <c r="Q608" s="31">
        <f ca="1">INDIRECT(Table1[[#This Row],[Discount Name]])</f>
        <v>0</v>
      </c>
      <c r="R608" s="111"/>
      <c r="S608" s="2">
        <f t="shared" ca="1" si="18"/>
        <v>74.900000000000006</v>
      </c>
      <c r="T608" s="2">
        <f t="shared" ca="1" si="19"/>
        <v>557.9</v>
      </c>
      <c r="U608" s="71" t="str">
        <f>IFERROR(VLOOKUP(Table1[[#This Row],[No_]],'Customer Net Price'!A:F,5,FALSE),"0")</f>
        <v>0</v>
      </c>
      <c r="V608" s="71" t="str">
        <f>IFERROR(VLOOKUP(Table1[[#This Row],[No_]],'Customer Net Price'!A:G,6,FALSE),"0")</f>
        <v>0</v>
      </c>
    </row>
    <row r="609" spans="1:22" x14ac:dyDescent="0.25">
      <c r="A609" s="23" t="s">
        <v>97</v>
      </c>
      <c r="B609" s="23" t="s">
        <v>97</v>
      </c>
      <c r="C609" t="s">
        <v>282</v>
      </c>
      <c r="D609" t="s">
        <v>308</v>
      </c>
      <c r="E609" t="s">
        <v>546</v>
      </c>
      <c r="F609" t="s">
        <v>308</v>
      </c>
      <c r="G609" t="s">
        <v>308</v>
      </c>
      <c r="H609" s="55" t="s">
        <v>425</v>
      </c>
      <c r="I609" t="s">
        <v>546</v>
      </c>
      <c r="J609" t="s">
        <v>546</v>
      </c>
      <c r="K609" s="2">
        <v>86.9</v>
      </c>
      <c r="L609" s="2">
        <v>646.9</v>
      </c>
      <c r="M609" s="2">
        <v>96.9</v>
      </c>
      <c r="N609" s="2">
        <f ca="1">Table1[[#This Row],[2026 (EUR)]]*(1-INDIRECT(Table1[[#This Row],[Discount Name]]))</f>
        <v>86.9</v>
      </c>
      <c r="O609" s="2">
        <f ca="1">Table1[[#This Row],[2026 (DKK)]]*(1-INDIRECT(Table1[[#This Row],[Discount Name]]))</f>
        <v>646.9</v>
      </c>
      <c r="P609" s="2" cm="1">
        <f t="array" aca="1" ref="P609" ca="1">Table1[[#This Row],[2026 (USD)]]*(1-INDIRECT(Table1[[#This Row],[Discount Name]]))</f>
        <v>96.9</v>
      </c>
      <c r="Q609" s="31">
        <f ca="1">INDIRECT(Table1[[#This Row],[Discount Name]])</f>
        <v>0</v>
      </c>
      <c r="R609" s="111"/>
      <c r="S609" s="2">
        <f t="shared" ca="1" si="18"/>
        <v>86.9</v>
      </c>
      <c r="T609" s="2">
        <f t="shared" ca="1" si="19"/>
        <v>646.9</v>
      </c>
      <c r="U609" s="71" t="str">
        <f>IFERROR(VLOOKUP(Table1[[#This Row],[No_]],'Customer Net Price'!A:F,5,FALSE),"0")</f>
        <v>0</v>
      </c>
      <c r="V609" s="71" t="str">
        <f>IFERROR(VLOOKUP(Table1[[#This Row],[No_]],'Customer Net Price'!A:G,6,FALSE),"0")</f>
        <v>0</v>
      </c>
    </row>
    <row r="610" spans="1:22" x14ac:dyDescent="0.25">
      <c r="A610" s="23" t="s">
        <v>87</v>
      </c>
      <c r="B610" s="23" t="s">
        <v>87</v>
      </c>
      <c r="C610" t="s">
        <v>283</v>
      </c>
      <c r="D610" t="s">
        <v>308</v>
      </c>
      <c r="E610" t="s">
        <v>546</v>
      </c>
      <c r="F610" t="s">
        <v>308</v>
      </c>
      <c r="G610" t="s">
        <v>308</v>
      </c>
      <c r="H610" s="55" t="s">
        <v>426</v>
      </c>
      <c r="I610" t="s">
        <v>546</v>
      </c>
      <c r="J610" t="s">
        <v>546</v>
      </c>
      <c r="K610" s="2">
        <v>86.9</v>
      </c>
      <c r="L610" s="2">
        <v>646.9</v>
      </c>
      <c r="M610" s="2">
        <v>96.9</v>
      </c>
      <c r="N610" s="2">
        <f ca="1">Table1[[#This Row],[2026 (EUR)]]*(1-INDIRECT(Table1[[#This Row],[Discount Name]]))</f>
        <v>86.9</v>
      </c>
      <c r="O610" s="2">
        <f ca="1">Table1[[#This Row],[2026 (DKK)]]*(1-INDIRECT(Table1[[#This Row],[Discount Name]]))</f>
        <v>646.9</v>
      </c>
      <c r="P610" s="2" cm="1">
        <f t="array" aca="1" ref="P610" ca="1">Table1[[#This Row],[2026 (USD)]]*(1-INDIRECT(Table1[[#This Row],[Discount Name]]))</f>
        <v>96.9</v>
      </c>
      <c r="Q610" s="31">
        <f ca="1">INDIRECT(Table1[[#This Row],[Discount Name]])</f>
        <v>0</v>
      </c>
      <c r="R610" s="111"/>
      <c r="S610" s="2">
        <f t="shared" ca="1" si="18"/>
        <v>86.9</v>
      </c>
      <c r="T610" s="2">
        <f t="shared" ca="1" si="19"/>
        <v>646.9</v>
      </c>
      <c r="U610" s="71" t="str">
        <f>IFERROR(VLOOKUP(Table1[[#This Row],[No_]],'Customer Net Price'!A:F,5,FALSE),"0")</f>
        <v>0</v>
      </c>
      <c r="V610" s="71" t="str">
        <f>IFERROR(VLOOKUP(Table1[[#This Row],[No_]],'Customer Net Price'!A:G,6,FALSE),"0")</f>
        <v>0</v>
      </c>
    </row>
    <row r="611" spans="1:22" x14ac:dyDescent="0.25">
      <c r="A611" s="23" t="s">
        <v>98</v>
      </c>
      <c r="B611" s="23" t="s">
        <v>98</v>
      </c>
      <c r="C611" t="s">
        <v>284</v>
      </c>
      <c r="D611" t="s">
        <v>308</v>
      </c>
      <c r="E611" t="s">
        <v>546</v>
      </c>
      <c r="F611" t="s">
        <v>308</v>
      </c>
      <c r="G611" t="s">
        <v>308</v>
      </c>
      <c r="H611" s="55" t="s">
        <v>427</v>
      </c>
      <c r="I611" t="s">
        <v>546</v>
      </c>
      <c r="J611" t="s">
        <v>546</v>
      </c>
      <c r="K611" s="2">
        <v>124.9</v>
      </c>
      <c r="L611" s="2">
        <v>929.9</v>
      </c>
      <c r="M611" s="2">
        <v>139.9</v>
      </c>
      <c r="N611" s="2">
        <f ca="1">Table1[[#This Row],[2026 (EUR)]]*(1-INDIRECT(Table1[[#This Row],[Discount Name]]))</f>
        <v>124.9</v>
      </c>
      <c r="O611" s="2">
        <f ca="1">Table1[[#This Row],[2026 (DKK)]]*(1-INDIRECT(Table1[[#This Row],[Discount Name]]))</f>
        <v>929.9</v>
      </c>
      <c r="P611" s="2" cm="1">
        <f t="array" aca="1" ref="P611" ca="1">Table1[[#This Row],[2026 (USD)]]*(1-INDIRECT(Table1[[#This Row],[Discount Name]]))</f>
        <v>139.9</v>
      </c>
      <c r="Q611" s="31">
        <f ca="1">INDIRECT(Table1[[#This Row],[Discount Name]])</f>
        <v>0</v>
      </c>
      <c r="R611" s="111"/>
      <c r="S611" s="2">
        <f t="shared" ca="1" si="18"/>
        <v>124.9</v>
      </c>
      <c r="T611" s="2">
        <f t="shared" ca="1" si="19"/>
        <v>929.9</v>
      </c>
      <c r="U611" s="71" t="str">
        <f>IFERROR(VLOOKUP(Table1[[#This Row],[No_]],'Customer Net Price'!A:F,5,FALSE),"0")</f>
        <v>0</v>
      </c>
      <c r="V611" s="71" t="str">
        <f>IFERROR(VLOOKUP(Table1[[#This Row],[No_]],'Customer Net Price'!A:G,6,FALSE),"0")</f>
        <v>0</v>
      </c>
    </row>
    <row r="612" spans="1:22" x14ac:dyDescent="0.25">
      <c r="A612" s="23" t="s">
        <v>88</v>
      </c>
      <c r="B612" s="23" t="s">
        <v>88</v>
      </c>
      <c r="C612" t="s">
        <v>285</v>
      </c>
      <c r="D612" t="s">
        <v>308</v>
      </c>
      <c r="E612" t="s">
        <v>546</v>
      </c>
      <c r="F612" t="s">
        <v>308</v>
      </c>
      <c r="G612" t="s">
        <v>308</v>
      </c>
      <c r="H612" s="55" t="s">
        <v>428</v>
      </c>
      <c r="I612" t="s">
        <v>546</v>
      </c>
      <c r="J612" t="s">
        <v>546</v>
      </c>
      <c r="K612" s="2">
        <v>83.9</v>
      </c>
      <c r="L612" s="2">
        <v>624.9</v>
      </c>
      <c r="M612" s="2">
        <v>92.9</v>
      </c>
      <c r="N612" s="2">
        <f ca="1">Table1[[#This Row],[2026 (EUR)]]*(1-INDIRECT(Table1[[#This Row],[Discount Name]]))</f>
        <v>83.9</v>
      </c>
      <c r="O612" s="2">
        <f ca="1">Table1[[#This Row],[2026 (DKK)]]*(1-INDIRECT(Table1[[#This Row],[Discount Name]]))</f>
        <v>624.9</v>
      </c>
      <c r="P612" s="2" cm="1">
        <f t="array" aca="1" ref="P612" ca="1">Table1[[#This Row],[2026 (USD)]]*(1-INDIRECT(Table1[[#This Row],[Discount Name]]))</f>
        <v>92.9</v>
      </c>
      <c r="Q612" s="31">
        <f ca="1">INDIRECT(Table1[[#This Row],[Discount Name]])</f>
        <v>0</v>
      </c>
      <c r="R612" s="111"/>
      <c r="S612" s="2">
        <f t="shared" ca="1" si="18"/>
        <v>83.9</v>
      </c>
      <c r="T612" s="2">
        <f t="shared" ca="1" si="19"/>
        <v>624.9</v>
      </c>
      <c r="U612" s="71" t="str">
        <f>IFERROR(VLOOKUP(Table1[[#This Row],[No_]],'Customer Net Price'!A:F,5,FALSE),"0")</f>
        <v>0</v>
      </c>
      <c r="V612" s="71" t="str">
        <f>IFERROR(VLOOKUP(Table1[[#This Row],[No_]],'Customer Net Price'!A:G,6,FALSE),"0")</f>
        <v>0</v>
      </c>
    </row>
    <row r="613" spans="1:22" x14ac:dyDescent="0.25">
      <c r="A613" s="23" t="s">
        <v>89</v>
      </c>
      <c r="B613" s="23" t="s">
        <v>89</v>
      </c>
      <c r="C613" t="s">
        <v>286</v>
      </c>
      <c r="D613" t="s">
        <v>308</v>
      </c>
      <c r="E613" t="s">
        <v>546</v>
      </c>
      <c r="F613" t="s">
        <v>308</v>
      </c>
      <c r="G613" t="s">
        <v>308</v>
      </c>
      <c r="H613" s="55" t="s">
        <v>429</v>
      </c>
      <c r="I613" t="s">
        <v>546</v>
      </c>
      <c r="J613" t="s">
        <v>546</v>
      </c>
      <c r="K613" s="2">
        <v>103.9</v>
      </c>
      <c r="L613" s="2">
        <v>773.9</v>
      </c>
      <c r="M613" s="2">
        <v>115.9</v>
      </c>
      <c r="N613" s="2">
        <f ca="1">Table1[[#This Row],[2026 (EUR)]]*(1-INDIRECT(Table1[[#This Row],[Discount Name]]))</f>
        <v>103.9</v>
      </c>
      <c r="O613" s="2">
        <f ca="1">Table1[[#This Row],[2026 (DKK)]]*(1-INDIRECT(Table1[[#This Row],[Discount Name]]))</f>
        <v>773.9</v>
      </c>
      <c r="P613" s="2" cm="1">
        <f t="array" aca="1" ref="P613" ca="1">Table1[[#This Row],[2026 (USD)]]*(1-INDIRECT(Table1[[#This Row],[Discount Name]]))</f>
        <v>115.9</v>
      </c>
      <c r="Q613" s="31">
        <f ca="1">INDIRECT(Table1[[#This Row],[Discount Name]])</f>
        <v>0</v>
      </c>
      <c r="R613" s="111"/>
      <c r="S613" s="2">
        <f t="shared" ca="1" si="18"/>
        <v>103.9</v>
      </c>
      <c r="T613" s="2">
        <f t="shared" ca="1" si="19"/>
        <v>773.9</v>
      </c>
      <c r="U613" s="71" t="str">
        <f>IFERROR(VLOOKUP(Table1[[#This Row],[No_]],'Customer Net Price'!A:F,5,FALSE),"0")</f>
        <v>0</v>
      </c>
      <c r="V613" s="71" t="str">
        <f>IFERROR(VLOOKUP(Table1[[#This Row],[No_]],'Customer Net Price'!A:G,6,FALSE),"0")</f>
        <v>0</v>
      </c>
    </row>
    <row r="614" spans="1:22" x14ac:dyDescent="0.25">
      <c r="A614" s="23" t="s">
        <v>90</v>
      </c>
      <c r="B614" s="23" t="s">
        <v>90</v>
      </c>
      <c r="C614" t="s">
        <v>287</v>
      </c>
      <c r="D614" t="s">
        <v>308</v>
      </c>
      <c r="E614" t="s">
        <v>546</v>
      </c>
      <c r="F614" t="s">
        <v>308</v>
      </c>
      <c r="G614" t="s">
        <v>308</v>
      </c>
      <c r="H614" s="1" t="s">
        <v>430</v>
      </c>
      <c r="I614" t="s">
        <v>546</v>
      </c>
      <c r="J614" t="s">
        <v>546</v>
      </c>
      <c r="K614" s="2">
        <v>235.9</v>
      </c>
      <c r="L614" s="2">
        <v>1755.9</v>
      </c>
      <c r="M614" s="2">
        <v>261.89999999999998</v>
      </c>
      <c r="N614" s="2">
        <f ca="1">Table1[[#This Row],[2026 (EUR)]]*(1-INDIRECT(Table1[[#This Row],[Discount Name]]))</f>
        <v>235.9</v>
      </c>
      <c r="O614" s="2">
        <f ca="1">Table1[[#This Row],[2026 (DKK)]]*(1-INDIRECT(Table1[[#This Row],[Discount Name]]))</f>
        <v>1755.9</v>
      </c>
      <c r="P614" s="2" cm="1">
        <f t="array" aca="1" ref="P614" ca="1">Table1[[#This Row],[2026 (USD)]]*(1-INDIRECT(Table1[[#This Row],[Discount Name]]))</f>
        <v>261.89999999999998</v>
      </c>
      <c r="Q614" s="31">
        <f ca="1">INDIRECT(Table1[[#This Row],[Discount Name]])</f>
        <v>0</v>
      </c>
      <c r="R614" s="111"/>
      <c r="S614" s="2">
        <f t="shared" ca="1" si="18"/>
        <v>235.9</v>
      </c>
      <c r="T614" s="2">
        <f t="shared" ca="1" si="19"/>
        <v>1755.9</v>
      </c>
      <c r="U614" s="71" t="str">
        <f>IFERROR(VLOOKUP(Table1[[#This Row],[No_]],'Customer Net Price'!A:F,5,FALSE),"0")</f>
        <v>0</v>
      </c>
      <c r="V614" s="71" t="str">
        <f>IFERROR(VLOOKUP(Table1[[#This Row],[No_]],'Customer Net Price'!A:G,6,FALSE),"0")</f>
        <v>0</v>
      </c>
    </row>
    <row r="615" spans="1:22" x14ac:dyDescent="0.25">
      <c r="A615" s="23" t="s">
        <v>99</v>
      </c>
      <c r="B615" s="23" t="s">
        <v>99</v>
      </c>
      <c r="C615" t="s">
        <v>288</v>
      </c>
      <c r="D615" t="s">
        <v>308</v>
      </c>
      <c r="E615" t="s">
        <v>546</v>
      </c>
      <c r="F615" t="s">
        <v>308</v>
      </c>
      <c r="G615" t="s">
        <v>308</v>
      </c>
      <c r="H615" s="46" t="s">
        <v>827</v>
      </c>
      <c r="I615" t="s">
        <v>546</v>
      </c>
      <c r="J615" t="s">
        <v>546</v>
      </c>
      <c r="K615" s="2">
        <v>279.89999999999998</v>
      </c>
      <c r="L615" s="2">
        <v>2082.9</v>
      </c>
      <c r="M615" s="2">
        <v>311.89999999999998</v>
      </c>
      <c r="N615" s="2">
        <f ca="1">Table1[[#This Row],[2026 (EUR)]]*(1-INDIRECT(Table1[[#This Row],[Discount Name]]))</f>
        <v>279.89999999999998</v>
      </c>
      <c r="O615" s="2">
        <f ca="1">Table1[[#This Row],[2026 (DKK)]]*(1-INDIRECT(Table1[[#This Row],[Discount Name]]))</f>
        <v>2082.9</v>
      </c>
      <c r="P615" s="2" cm="1">
        <f t="array" aca="1" ref="P615" ca="1">Table1[[#This Row],[2026 (USD)]]*(1-INDIRECT(Table1[[#This Row],[Discount Name]]))</f>
        <v>311.89999999999998</v>
      </c>
      <c r="Q615" s="31">
        <f ca="1">INDIRECT(Table1[[#This Row],[Discount Name]])</f>
        <v>0</v>
      </c>
      <c r="R615" s="111"/>
      <c r="S615" s="2">
        <f t="shared" ca="1" si="18"/>
        <v>279.89999999999998</v>
      </c>
      <c r="T615" s="2">
        <f t="shared" ca="1" si="19"/>
        <v>2082.9</v>
      </c>
      <c r="U615" s="71" t="str">
        <f>IFERROR(VLOOKUP(Table1[[#This Row],[No_]],'Customer Net Price'!A:F,5,FALSE),"0")</f>
        <v>0</v>
      </c>
      <c r="V615" s="71" t="str">
        <f>IFERROR(VLOOKUP(Table1[[#This Row],[No_]],'Customer Net Price'!A:G,6,FALSE),"0")</f>
        <v>0</v>
      </c>
    </row>
    <row r="616" spans="1:22" x14ac:dyDescent="0.25">
      <c r="A616" s="23" t="s">
        <v>91</v>
      </c>
      <c r="B616" s="23" t="s">
        <v>91</v>
      </c>
      <c r="C616" t="s">
        <v>289</v>
      </c>
      <c r="D616" t="s">
        <v>308</v>
      </c>
      <c r="E616" t="s">
        <v>546</v>
      </c>
      <c r="F616" t="s">
        <v>308</v>
      </c>
      <c r="G616" t="s">
        <v>308</v>
      </c>
      <c r="H616" s="1" t="s">
        <v>431</v>
      </c>
      <c r="I616" t="s">
        <v>546</v>
      </c>
      <c r="J616" t="s">
        <v>546</v>
      </c>
      <c r="K616" s="2">
        <v>184.9</v>
      </c>
      <c r="L616" s="2">
        <v>1375.9</v>
      </c>
      <c r="M616" s="2">
        <v>205.9</v>
      </c>
      <c r="N616" s="2">
        <f ca="1">Table1[[#This Row],[2026 (EUR)]]*(1-INDIRECT(Table1[[#This Row],[Discount Name]]))</f>
        <v>184.9</v>
      </c>
      <c r="O616" s="2">
        <f ca="1">Table1[[#This Row],[2026 (DKK)]]*(1-INDIRECT(Table1[[#This Row],[Discount Name]]))</f>
        <v>1375.9</v>
      </c>
      <c r="P616" s="2" cm="1">
        <f t="array" aca="1" ref="P616" ca="1">Table1[[#This Row],[2026 (USD)]]*(1-INDIRECT(Table1[[#This Row],[Discount Name]]))</f>
        <v>205.9</v>
      </c>
      <c r="Q616" s="31">
        <f ca="1">INDIRECT(Table1[[#This Row],[Discount Name]])</f>
        <v>0</v>
      </c>
      <c r="R616" s="111"/>
      <c r="S616" s="2">
        <f t="shared" ca="1" si="18"/>
        <v>184.9</v>
      </c>
      <c r="T616" s="2">
        <f t="shared" ca="1" si="19"/>
        <v>1375.9</v>
      </c>
      <c r="U616" s="71" t="str">
        <f>IFERROR(VLOOKUP(Table1[[#This Row],[No_]],'Customer Net Price'!A:F,5,FALSE),"0")</f>
        <v>0</v>
      </c>
      <c r="V616" s="71" t="str">
        <f>IFERROR(VLOOKUP(Table1[[#This Row],[No_]],'Customer Net Price'!A:G,6,FALSE),"0")</f>
        <v>0</v>
      </c>
    </row>
    <row r="617" spans="1:22" x14ac:dyDescent="0.25">
      <c r="A617" s="23" t="s">
        <v>92</v>
      </c>
      <c r="B617" s="23" t="s">
        <v>92</v>
      </c>
      <c r="C617" t="s">
        <v>290</v>
      </c>
      <c r="D617" t="s">
        <v>308</v>
      </c>
      <c r="E617" t="s">
        <v>546</v>
      </c>
      <c r="F617" t="s">
        <v>308</v>
      </c>
      <c r="G617" t="s">
        <v>308</v>
      </c>
      <c r="H617" s="1" t="s">
        <v>432</v>
      </c>
      <c r="I617" t="s">
        <v>546</v>
      </c>
      <c r="J617" t="s">
        <v>546</v>
      </c>
      <c r="K617" s="2">
        <v>217.9</v>
      </c>
      <c r="L617" s="2">
        <v>1621.9</v>
      </c>
      <c r="M617" s="2">
        <v>241.9</v>
      </c>
      <c r="N617" s="2">
        <f ca="1">Table1[[#This Row],[2026 (EUR)]]*(1-INDIRECT(Table1[[#This Row],[Discount Name]]))</f>
        <v>217.9</v>
      </c>
      <c r="O617" s="2">
        <f ca="1">Table1[[#This Row],[2026 (DKK)]]*(1-INDIRECT(Table1[[#This Row],[Discount Name]]))</f>
        <v>1621.9</v>
      </c>
      <c r="P617" s="2" cm="1">
        <f t="array" aca="1" ref="P617" ca="1">Table1[[#This Row],[2026 (USD)]]*(1-INDIRECT(Table1[[#This Row],[Discount Name]]))</f>
        <v>241.9</v>
      </c>
      <c r="Q617" s="31">
        <f ca="1">INDIRECT(Table1[[#This Row],[Discount Name]])</f>
        <v>0</v>
      </c>
      <c r="R617" s="111"/>
      <c r="S617" s="2">
        <f t="shared" ca="1" si="18"/>
        <v>217.9</v>
      </c>
      <c r="T617" s="2">
        <f t="shared" ca="1" si="19"/>
        <v>1621.9</v>
      </c>
      <c r="U617" s="71" t="str">
        <f>IFERROR(VLOOKUP(Table1[[#This Row],[No_]],'Customer Net Price'!A:F,5,FALSE),"0")</f>
        <v>0</v>
      </c>
      <c r="V617" s="71" t="str">
        <f>IFERROR(VLOOKUP(Table1[[#This Row],[No_]],'Customer Net Price'!A:G,6,FALSE),"0")</f>
        <v>0</v>
      </c>
    </row>
    <row r="618" spans="1:22" x14ac:dyDescent="0.25">
      <c r="A618" s="23" t="s">
        <v>93</v>
      </c>
      <c r="B618" s="23" t="s">
        <v>93</v>
      </c>
      <c r="C618" t="s">
        <v>291</v>
      </c>
      <c r="D618" t="s">
        <v>308</v>
      </c>
      <c r="E618" t="s">
        <v>546</v>
      </c>
      <c r="F618" t="s">
        <v>308</v>
      </c>
      <c r="G618" t="s">
        <v>308</v>
      </c>
      <c r="H618" s="1" t="s">
        <v>433</v>
      </c>
      <c r="I618" t="s">
        <v>546</v>
      </c>
      <c r="J618" t="s">
        <v>546</v>
      </c>
      <c r="K618" s="2">
        <v>148.9</v>
      </c>
      <c r="L618" s="2">
        <v>1107.9000000000001</v>
      </c>
      <c r="M618" s="2">
        <v>165.9</v>
      </c>
      <c r="N618" s="2">
        <f ca="1">Table1[[#This Row],[2026 (EUR)]]*(1-INDIRECT(Table1[[#This Row],[Discount Name]]))</f>
        <v>148.9</v>
      </c>
      <c r="O618" s="2">
        <f ca="1">Table1[[#This Row],[2026 (DKK)]]*(1-INDIRECT(Table1[[#This Row],[Discount Name]]))</f>
        <v>1107.9000000000001</v>
      </c>
      <c r="P618" s="2" cm="1">
        <f t="array" aca="1" ref="P618" ca="1">Table1[[#This Row],[2026 (USD)]]*(1-INDIRECT(Table1[[#This Row],[Discount Name]]))</f>
        <v>165.9</v>
      </c>
      <c r="Q618" s="31">
        <f ca="1">INDIRECT(Table1[[#This Row],[Discount Name]])</f>
        <v>0</v>
      </c>
      <c r="R618" s="111"/>
      <c r="S618" s="2">
        <f t="shared" ca="1" si="18"/>
        <v>148.9</v>
      </c>
      <c r="T618" s="2">
        <f t="shared" ca="1" si="19"/>
        <v>1107.9000000000001</v>
      </c>
      <c r="U618" s="71" t="str">
        <f>IFERROR(VLOOKUP(Table1[[#This Row],[No_]],'Customer Net Price'!A:F,5,FALSE),"0")</f>
        <v>0</v>
      </c>
      <c r="V618" s="71" t="str">
        <f>IFERROR(VLOOKUP(Table1[[#This Row],[No_]],'Customer Net Price'!A:G,6,FALSE),"0")</f>
        <v>0</v>
      </c>
    </row>
    <row r="619" spans="1:22" x14ac:dyDescent="0.25">
      <c r="A619" s="23" t="s">
        <v>822</v>
      </c>
      <c r="B619" s="23" t="s">
        <v>823</v>
      </c>
      <c r="C619" t="s">
        <v>824</v>
      </c>
      <c r="D619" t="s">
        <v>308</v>
      </c>
      <c r="E619" t="s">
        <v>546</v>
      </c>
      <c r="F619" t="s">
        <v>308</v>
      </c>
      <c r="G619" t="s">
        <v>308</v>
      </c>
      <c r="H619" s="1" t="s">
        <v>825</v>
      </c>
      <c r="I619" t="s">
        <v>546</v>
      </c>
      <c r="J619" t="s">
        <v>546</v>
      </c>
      <c r="K619" s="2">
        <v>144.9</v>
      </c>
      <c r="L619" s="2">
        <v>1078.9000000000001</v>
      </c>
      <c r="M619" s="2">
        <v>162.9</v>
      </c>
      <c r="N619" s="2">
        <f ca="1">Table1[[#This Row],[2026 (EUR)]]*(1-INDIRECT(Table1[[#This Row],[Discount Name]]))</f>
        <v>144.9</v>
      </c>
      <c r="O619" s="2">
        <f ca="1">Table1[[#This Row],[2026 (DKK)]]*(1-INDIRECT(Table1[[#This Row],[Discount Name]]))</f>
        <v>1078.9000000000001</v>
      </c>
      <c r="P619" s="2" cm="1">
        <f t="array" aca="1" ref="P619" ca="1">Table1[[#This Row],[2026 (USD)]]*(1-INDIRECT(Table1[[#This Row],[Discount Name]]))</f>
        <v>162.9</v>
      </c>
      <c r="Q619" s="31">
        <f ca="1">INDIRECT(Table1[[#This Row],[Discount Name]])</f>
        <v>0</v>
      </c>
      <c r="R619" s="111"/>
      <c r="S619" s="2">
        <f t="shared" ca="1" si="18"/>
        <v>144.9</v>
      </c>
      <c r="T619" s="2">
        <f t="shared" ca="1" si="19"/>
        <v>1078.9000000000001</v>
      </c>
      <c r="U619" s="71" t="str">
        <f>IFERROR(VLOOKUP(Table1[[#This Row],[No_]],'Customer Net Price'!A:F,5,FALSE),"0")</f>
        <v>0</v>
      </c>
      <c r="V619" s="71" t="str">
        <f>IFERROR(VLOOKUP(Table1[[#This Row],[No_]],'Customer Net Price'!A:G,6,FALSE),"0")</f>
        <v>0</v>
      </c>
    </row>
    <row r="620" spans="1:22" x14ac:dyDescent="0.25">
      <c r="A620" s="23" t="s">
        <v>94</v>
      </c>
      <c r="B620" s="23" t="s">
        <v>94</v>
      </c>
      <c r="C620" t="s">
        <v>292</v>
      </c>
      <c r="D620" t="s">
        <v>308</v>
      </c>
      <c r="E620" t="s">
        <v>546</v>
      </c>
      <c r="F620" t="s">
        <v>308</v>
      </c>
      <c r="G620" t="s">
        <v>308</v>
      </c>
      <c r="H620" s="1" t="s">
        <v>434</v>
      </c>
      <c r="I620" t="s">
        <v>546</v>
      </c>
      <c r="J620" t="s">
        <v>546</v>
      </c>
      <c r="K620" s="2">
        <v>187.9</v>
      </c>
      <c r="L620" s="2">
        <v>1397.9</v>
      </c>
      <c r="M620" s="2">
        <v>207.9</v>
      </c>
      <c r="N620" s="2">
        <f ca="1">Table1[[#This Row],[2026 (EUR)]]*(1-INDIRECT(Table1[[#This Row],[Discount Name]]))</f>
        <v>187.9</v>
      </c>
      <c r="O620" s="2">
        <f ca="1">Table1[[#This Row],[2026 (DKK)]]*(1-INDIRECT(Table1[[#This Row],[Discount Name]]))</f>
        <v>1397.9</v>
      </c>
      <c r="P620" s="2" cm="1">
        <f t="array" aca="1" ref="P620" ca="1">Table1[[#This Row],[2026 (USD)]]*(1-INDIRECT(Table1[[#This Row],[Discount Name]]))</f>
        <v>207.9</v>
      </c>
      <c r="Q620" s="31">
        <f ca="1">INDIRECT(Table1[[#This Row],[Discount Name]])</f>
        <v>0</v>
      </c>
      <c r="R620" s="111"/>
      <c r="S620" s="2">
        <f t="shared" ca="1" si="18"/>
        <v>187.9</v>
      </c>
      <c r="T620" s="2">
        <f t="shared" ca="1" si="19"/>
        <v>1397.9</v>
      </c>
      <c r="U620" s="71" t="str">
        <f>IFERROR(VLOOKUP(Table1[[#This Row],[No_]],'Customer Net Price'!A:F,5,FALSE),"0")</f>
        <v>0</v>
      </c>
      <c r="V620" s="71" t="str">
        <f>IFERROR(VLOOKUP(Table1[[#This Row],[No_]],'Customer Net Price'!A:G,6,FALSE),"0")</f>
        <v>0</v>
      </c>
    </row>
    <row r="621" spans="1:22" x14ac:dyDescent="0.25">
      <c r="A621" s="23" t="s">
        <v>46</v>
      </c>
      <c r="B621" s="23" t="s">
        <v>46</v>
      </c>
      <c r="C621" t="s">
        <v>293</v>
      </c>
      <c r="D621" t="s">
        <v>308</v>
      </c>
      <c r="E621" t="s">
        <v>546</v>
      </c>
      <c r="F621" t="s">
        <v>308</v>
      </c>
      <c r="G621" t="s">
        <v>308</v>
      </c>
      <c r="H621" s="79" t="s">
        <v>828</v>
      </c>
      <c r="I621" t="s">
        <v>546</v>
      </c>
      <c r="J621" t="s">
        <v>546</v>
      </c>
      <c r="K621" s="2">
        <v>369.9</v>
      </c>
      <c r="L621" s="2">
        <v>2752.9</v>
      </c>
      <c r="M621" s="2">
        <v>409.9</v>
      </c>
      <c r="N621" s="2">
        <f ca="1">Table1[[#This Row],[2026 (EUR)]]*(1-INDIRECT(Table1[[#This Row],[Discount Name]]))</f>
        <v>369.9</v>
      </c>
      <c r="O621" s="2">
        <f ca="1">Table1[[#This Row],[2026 (DKK)]]*(1-INDIRECT(Table1[[#This Row],[Discount Name]]))</f>
        <v>2752.9</v>
      </c>
      <c r="P621" s="2" cm="1">
        <f t="array" aca="1" ref="P621" ca="1">Table1[[#This Row],[2026 (USD)]]*(1-INDIRECT(Table1[[#This Row],[Discount Name]]))</f>
        <v>409.9</v>
      </c>
      <c r="Q621" s="31">
        <f ca="1">INDIRECT(Table1[[#This Row],[Discount Name]])</f>
        <v>0</v>
      </c>
      <c r="R621" s="111"/>
      <c r="S621" s="2">
        <f t="shared" ca="1" si="18"/>
        <v>369.9</v>
      </c>
      <c r="T621" s="2">
        <f t="shared" ca="1" si="19"/>
        <v>2752.9</v>
      </c>
      <c r="U621" s="71" t="str">
        <f>IFERROR(VLOOKUP(Table1[[#This Row],[No_]],'Customer Net Price'!A:F,5,FALSE),"0")</f>
        <v>0</v>
      </c>
      <c r="V621" s="71" t="str">
        <f>IFERROR(VLOOKUP(Table1[[#This Row],[No_]],'Customer Net Price'!A:G,6,FALSE),"0")</f>
        <v>0</v>
      </c>
    </row>
    <row r="622" spans="1:22" x14ac:dyDescent="0.25">
      <c r="A622" s="23" t="s">
        <v>948</v>
      </c>
      <c r="B622" s="23" t="s">
        <v>948</v>
      </c>
      <c r="C622" s="1" t="s">
        <v>963</v>
      </c>
      <c r="D622" t="s">
        <v>1778</v>
      </c>
      <c r="E622" t="s">
        <v>546</v>
      </c>
      <c r="F622" t="s">
        <v>918</v>
      </c>
      <c r="G622" t="s">
        <v>923</v>
      </c>
      <c r="H622" s="1" t="s">
        <v>1071</v>
      </c>
      <c r="I622" t="s">
        <v>546</v>
      </c>
      <c r="J622" t="s">
        <v>546</v>
      </c>
      <c r="K622" s="2">
        <v>4.9000000000000004</v>
      </c>
      <c r="L622" s="2">
        <v>36.9</v>
      </c>
      <c r="M622" s="2">
        <v>5.9</v>
      </c>
      <c r="N622" s="2">
        <f ca="1">Table1[[#This Row],[2026 (EUR)]]*(1-INDIRECT(Table1[[#This Row],[Discount Name]]))</f>
        <v>4.9000000000000004</v>
      </c>
      <c r="O622" s="2">
        <f ca="1">Table1[[#This Row],[2026 (DKK)]]*(1-INDIRECT(Table1[[#This Row],[Discount Name]]))</f>
        <v>36.9</v>
      </c>
      <c r="P622" s="2" cm="1">
        <f t="array" aca="1" ref="P622" ca="1">Table1[[#This Row],[2026 (USD)]]*(1-INDIRECT(Table1[[#This Row],[Discount Name]]))</f>
        <v>5.9</v>
      </c>
      <c r="Q622" s="32">
        <f ca="1">INDIRECT(Table1[[#This Row],[Discount Name]])</f>
        <v>0</v>
      </c>
      <c r="R622" s="111"/>
      <c r="S622" s="2">
        <f t="shared" ca="1" si="18"/>
        <v>4.9000000000000004</v>
      </c>
      <c r="T622" s="2">
        <f t="shared" ca="1" si="19"/>
        <v>36.9</v>
      </c>
      <c r="U622" s="71" t="str">
        <f>IFERROR(VLOOKUP(Table1[[#This Row],[No_]],'Customer Net Price'!A:F,5,FALSE),"0")</f>
        <v>0</v>
      </c>
      <c r="V622" s="71" t="str">
        <f>IFERROR(VLOOKUP(Table1[[#This Row],[No_]],'Customer Net Price'!A:G,6,FALSE),"0")</f>
        <v>0</v>
      </c>
    </row>
    <row r="623" spans="1:22" x14ac:dyDescent="0.25">
      <c r="A623" s="23" t="s">
        <v>957</v>
      </c>
      <c r="B623" s="23" t="s">
        <v>957</v>
      </c>
      <c r="C623" s="1" t="s">
        <v>972</v>
      </c>
      <c r="D623" t="s">
        <v>1778</v>
      </c>
      <c r="E623" t="s">
        <v>546</v>
      </c>
      <c r="F623" t="s">
        <v>918</v>
      </c>
      <c r="G623" t="s">
        <v>923</v>
      </c>
      <c r="H623" s="1" t="s">
        <v>1075</v>
      </c>
      <c r="I623" t="s">
        <v>546</v>
      </c>
      <c r="J623" t="s">
        <v>546</v>
      </c>
      <c r="K623" s="2">
        <v>5.9</v>
      </c>
      <c r="L623" s="2">
        <v>43.9</v>
      </c>
      <c r="M623" s="2">
        <v>6.9</v>
      </c>
      <c r="N623" s="2">
        <f ca="1">Table1[[#This Row],[2026 (EUR)]]*(1-INDIRECT(Table1[[#This Row],[Discount Name]]))</f>
        <v>5.9</v>
      </c>
      <c r="O623" s="2">
        <f ca="1">Table1[[#This Row],[2026 (DKK)]]*(1-INDIRECT(Table1[[#This Row],[Discount Name]]))</f>
        <v>43.9</v>
      </c>
      <c r="P623" s="2" cm="1">
        <f t="array" aca="1" ref="P623" ca="1">Table1[[#This Row],[2026 (USD)]]*(1-INDIRECT(Table1[[#This Row],[Discount Name]]))</f>
        <v>6.9</v>
      </c>
      <c r="Q623" s="32">
        <f ca="1">INDIRECT(Table1[[#This Row],[Discount Name]])</f>
        <v>0</v>
      </c>
      <c r="S623" s="2">
        <f t="shared" ca="1" si="18"/>
        <v>5.9</v>
      </c>
      <c r="T623" s="2">
        <f t="shared" ca="1" si="19"/>
        <v>43.9</v>
      </c>
      <c r="U623" s="71" t="str">
        <f>IFERROR(VLOOKUP(Table1[[#This Row],[No_]],'Customer Net Price'!A:F,5,FALSE),"0")</f>
        <v>0</v>
      </c>
      <c r="V623" s="71" t="str">
        <f>IFERROR(VLOOKUP(Table1[[#This Row],[No_]],'Customer Net Price'!A:G,6,FALSE),"0")</f>
        <v>0</v>
      </c>
    </row>
    <row r="624" spans="1:22" x14ac:dyDescent="0.25">
      <c r="A624" s="23" t="s">
        <v>1779</v>
      </c>
      <c r="B624" s="23" t="s">
        <v>1779</v>
      </c>
      <c r="C624" t="s">
        <v>1780</v>
      </c>
      <c r="D624" t="s">
        <v>310</v>
      </c>
      <c r="E624" t="s">
        <v>546</v>
      </c>
      <c r="F624" t="s">
        <v>1196</v>
      </c>
      <c r="G624" t="s">
        <v>1196</v>
      </c>
      <c r="H624" s="79" t="s">
        <v>1781</v>
      </c>
      <c r="I624" t="s">
        <v>546</v>
      </c>
      <c r="J624" t="s">
        <v>546</v>
      </c>
      <c r="K624" s="2">
        <v>189.9</v>
      </c>
      <c r="L624" s="2">
        <v>1399.9</v>
      </c>
      <c r="M624" s="2">
        <v>0</v>
      </c>
      <c r="N624" s="2">
        <v>189.9</v>
      </c>
      <c r="O624" s="2">
        <v>1399.9</v>
      </c>
      <c r="P624" s="2">
        <v>0</v>
      </c>
      <c r="Q624" s="45" t="s">
        <v>1197</v>
      </c>
      <c r="S624" s="2">
        <f t="shared" si="18"/>
        <v>189.9</v>
      </c>
      <c r="T624" s="2">
        <f t="shared" si="19"/>
        <v>1399.9</v>
      </c>
      <c r="U624" s="71" t="str">
        <f>IFERROR(VLOOKUP(Table1[[#This Row],[No_]],'Customer Net Price'!A:F,5,FALSE),"0")</f>
        <v>0</v>
      </c>
      <c r="V624" s="71" t="str">
        <f>IFERROR(VLOOKUP(Table1[[#This Row],[No_]],'Customer Net Price'!A:G,6,FALSE),"0")</f>
        <v>0</v>
      </c>
    </row>
    <row r="625" spans="1:22" x14ac:dyDescent="0.25">
      <c r="A625" s="23" t="s">
        <v>1782</v>
      </c>
      <c r="B625" s="23" t="s">
        <v>1782</v>
      </c>
      <c r="C625" t="s">
        <v>1796</v>
      </c>
      <c r="D625" t="s">
        <v>310</v>
      </c>
      <c r="E625" t="s">
        <v>546</v>
      </c>
      <c r="F625" t="s">
        <v>1196</v>
      </c>
      <c r="G625" t="s">
        <v>1196</v>
      </c>
      <c r="H625" s="79" t="s">
        <v>1810</v>
      </c>
      <c r="I625" t="s">
        <v>546</v>
      </c>
      <c r="J625" t="s">
        <v>546</v>
      </c>
      <c r="K625" s="2">
        <v>19.899999999999999</v>
      </c>
      <c r="L625" s="2">
        <v>149</v>
      </c>
      <c r="M625" s="2">
        <v>25.9</v>
      </c>
      <c r="N625" s="2">
        <v>19.899999999999999</v>
      </c>
      <c r="O625" s="2">
        <v>149</v>
      </c>
      <c r="P625" s="2">
        <v>25.9</v>
      </c>
      <c r="Q625" s="45" t="s">
        <v>1197</v>
      </c>
      <c r="S625" s="2">
        <f t="shared" si="18"/>
        <v>19.899999999999999</v>
      </c>
      <c r="T625" s="2">
        <f t="shared" si="19"/>
        <v>149</v>
      </c>
      <c r="U625" s="71" t="str">
        <f>IFERROR(VLOOKUP(Table1[[#This Row],[No_]],'Customer Net Price'!A:F,5,FALSE),"0")</f>
        <v>0</v>
      </c>
      <c r="V625" s="71" t="str">
        <f>IFERROR(VLOOKUP(Table1[[#This Row],[No_]],'Customer Net Price'!A:G,6,FALSE),"0")</f>
        <v>0</v>
      </c>
    </row>
    <row r="626" spans="1:22" x14ac:dyDescent="0.25">
      <c r="A626" s="23" t="s">
        <v>1783</v>
      </c>
      <c r="B626" s="23" t="s">
        <v>1783</v>
      </c>
      <c r="C626" t="s">
        <v>1797</v>
      </c>
      <c r="D626" t="s">
        <v>310</v>
      </c>
      <c r="F626" t="s">
        <v>1196</v>
      </c>
      <c r="G626" t="s">
        <v>1196</v>
      </c>
      <c r="H626" s="79" t="s">
        <v>1811</v>
      </c>
      <c r="I626" t="s">
        <v>546</v>
      </c>
      <c r="J626" t="s">
        <v>546</v>
      </c>
      <c r="K626" s="2">
        <v>19.899999999999999</v>
      </c>
      <c r="L626" s="2">
        <v>149</v>
      </c>
      <c r="M626" s="2">
        <v>25.9</v>
      </c>
      <c r="N626" s="2">
        <v>19.899999999999999</v>
      </c>
      <c r="O626" s="2">
        <v>149</v>
      </c>
      <c r="P626" s="2">
        <v>25.9</v>
      </c>
      <c r="Q626" s="45" t="s">
        <v>1197</v>
      </c>
      <c r="S626" s="2">
        <f t="shared" si="18"/>
        <v>19.899999999999999</v>
      </c>
      <c r="T626" s="2">
        <f t="shared" si="19"/>
        <v>149</v>
      </c>
      <c r="U626" s="71" t="str">
        <f>IFERROR(VLOOKUP(Table1[[#This Row],[No_]],'Customer Net Price'!A:F,5,FALSE),"0")</f>
        <v>0</v>
      </c>
      <c r="V626" s="71" t="str">
        <f>IFERROR(VLOOKUP(Table1[[#This Row],[No_]],'Customer Net Price'!A:G,6,FALSE),"0")</f>
        <v>0</v>
      </c>
    </row>
    <row r="627" spans="1:22" x14ac:dyDescent="0.25">
      <c r="A627" s="23" t="s">
        <v>1784</v>
      </c>
      <c r="B627" s="23" t="s">
        <v>1784</v>
      </c>
      <c r="C627" t="s">
        <v>1798</v>
      </c>
      <c r="D627" t="s">
        <v>310</v>
      </c>
      <c r="E627" t="s">
        <v>546</v>
      </c>
      <c r="F627" t="s">
        <v>1196</v>
      </c>
      <c r="G627" t="s">
        <v>1196</v>
      </c>
      <c r="H627" s="79" t="s">
        <v>1812</v>
      </c>
      <c r="I627" t="s">
        <v>546</v>
      </c>
      <c r="J627" t="s">
        <v>546</v>
      </c>
      <c r="K627" s="2">
        <v>19.899999999999999</v>
      </c>
      <c r="L627" s="2">
        <v>149</v>
      </c>
      <c r="M627" s="2">
        <v>25.9</v>
      </c>
      <c r="N627" s="2">
        <v>19.899999999999999</v>
      </c>
      <c r="O627" s="2">
        <v>149</v>
      </c>
      <c r="P627" s="2">
        <v>25.9</v>
      </c>
      <c r="Q627" s="45" t="s">
        <v>1197</v>
      </c>
      <c r="S627" s="2">
        <f t="shared" si="18"/>
        <v>19.899999999999999</v>
      </c>
      <c r="T627" s="2">
        <f t="shared" si="19"/>
        <v>149</v>
      </c>
      <c r="U627" s="71" t="str">
        <f>IFERROR(VLOOKUP(Table1[[#This Row],[No_]],'Customer Net Price'!A:F,5,FALSE),"0")</f>
        <v>0</v>
      </c>
      <c r="V627" s="71" t="str">
        <f>IFERROR(VLOOKUP(Table1[[#This Row],[No_]],'Customer Net Price'!A:G,6,FALSE),"0")</f>
        <v>0</v>
      </c>
    </row>
    <row r="628" spans="1:22" x14ac:dyDescent="0.25">
      <c r="A628" s="23" t="s">
        <v>1785</v>
      </c>
      <c r="B628" s="23" t="s">
        <v>1785</v>
      </c>
      <c r="C628" t="s">
        <v>1799</v>
      </c>
      <c r="D628" t="s">
        <v>310</v>
      </c>
      <c r="F628" t="s">
        <v>1196</v>
      </c>
      <c r="G628" t="s">
        <v>1196</v>
      </c>
      <c r="H628" s="79" t="s">
        <v>1813</v>
      </c>
      <c r="I628" t="s">
        <v>546</v>
      </c>
      <c r="J628" t="s">
        <v>546</v>
      </c>
      <c r="K628" s="2">
        <v>19.899999999999999</v>
      </c>
      <c r="L628" s="2">
        <v>149</v>
      </c>
      <c r="M628" s="2">
        <v>25.9</v>
      </c>
      <c r="N628" s="2">
        <v>19.899999999999999</v>
      </c>
      <c r="O628" s="2">
        <v>149</v>
      </c>
      <c r="P628" s="2">
        <v>25.9</v>
      </c>
      <c r="Q628" s="45" t="s">
        <v>1197</v>
      </c>
      <c r="S628" s="2">
        <f t="shared" ref="S628:S636" si="20">IF(MAX(U628:U628)=0,+N628,MAX(U628:U628))</f>
        <v>19.899999999999999</v>
      </c>
      <c r="T628" s="2">
        <f t="shared" ref="T628:T636" si="21">IF(MAX(V628:V628)=0,+O628,MAX(V628:V628))</f>
        <v>149</v>
      </c>
      <c r="U628" s="71" t="str">
        <f>IFERROR(VLOOKUP(Table1[[#This Row],[No_]],'Customer Net Price'!A:F,5,FALSE),"0")</f>
        <v>0</v>
      </c>
      <c r="V628" s="71" t="str">
        <f>IFERROR(VLOOKUP(Table1[[#This Row],[No_]],'Customer Net Price'!A:G,6,FALSE),"0")</f>
        <v>0</v>
      </c>
    </row>
    <row r="629" spans="1:22" x14ac:dyDescent="0.25">
      <c r="A629" s="23" t="s">
        <v>1786</v>
      </c>
      <c r="B629" s="23" t="s">
        <v>1786</v>
      </c>
      <c r="C629" t="s">
        <v>1800</v>
      </c>
      <c r="D629" t="s">
        <v>310</v>
      </c>
      <c r="F629" t="s">
        <v>1196</v>
      </c>
      <c r="G629" t="s">
        <v>1196</v>
      </c>
      <c r="H629" s="79" t="s">
        <v>1814</v>
      </c>
      <c r="I629" t="s">
        <v>546</v>
      </c>
      <c r="J629" t="s">
        <v>546</v>
      </c>
      <c r="K629" s="2">
        <v>19.899999999999999</v>
      </c>
      <c r="L629" s="2">
        <v>149</v>
      </c>
      <c r="M629" s="2">
        <v>25.9</v>
      </c>
      <c r="N629" s="2">
        <v>19.899999999999999</v>
      </c>
      <c r="O629" s="2">
        <v>149</v>
      </c>
      <c r="P629" s="2">
        <v>25.9</v>
      </c>
      <c r="Q629" s="45" t="s">
        <v>1197</v>
      </c>
      <c r="S629" s="2">
        <f t="shared" si="20"/>
        <v>19.899999999999999</v>
      </c>
      <c r="T629" s="2">
        <f t="shared" si="21"/>
        <v>149</v>
      </c>
      <c r="U629" s="71" t="str">
        <f>IFERROR(VLOOKUP(Table1[[#This Row],[No_]],'Customer Net Price'!A:F,5,FALSE),"0")</f>
        <v>0</v>
      </c>
      <c r="V629" s="71" t="str">
        <f>IFERROR(VLOOKUP(Table1[[#This Row],[No_]],'Customer Net Price'!A:G,6,FALSE),"0")</f>
        <v>0</v>
      </c>
    </row>
    <row r="630" spans="1:22" x14ac:dyDescent="0.25">
      <c r="A630" s="23" t="s">
        <v>1787</v>
      </c>
      <c r="B630" s="23" t="s">
        <v>1787</v>
      </c>
      <c r="C630" t="s">
        <v>1801</v>
      </c>
      <c r="D630" t="s">
        <v>310</v>
      </c>
      <c r="F630" t="s">
        <v>1196</v>
      </c>
      <c r="G630" t="s">
        <v>1196</v>
      </c>
      <c r="H630" s="79" t="s">
        <v>1815</v>
      </c>
      <c r="I630" t="s">
        <v>546</v>
      </c>
      <c r="J630" t="s">
        <v>546</v>
      </c>
      <c r="K630" s="2">
        <v>19.899999999999999</v>
      </c>
      <c r="L630" s="2">
        <v>149</v>
      </c>
      <c r="M630" s="2">
        <v>25.9</v>
      </c>
      <c r="N630" s="2">
        <v>19.899999999999999</v>
      </c>
      <c r="O630" s="2">
        <v>149</v>
      </c>
      <c r="P630" s="2">
        <v>25.9</v>
      </c>
      <c r="Q630" s="45" t="s">
        <v>1197</v>
      </c>
      <c r="S630" s="2">
        <f t="shared" si="20"/>
        <v>19.899999999999999</v>
      </c>
      <c r="T630" s="2">
        <f t="shared" si="21"/>
        <v>149</v>
      </c>
      <c r="U630" s="71" t="str">
        <f>IFERROR(VLOOKUP(Table1[[#This Row],[No_]],'Customer Net Price'!A:F,5,FALSE),"0")</f>
        <v>0</v>
      </c>
      <c r="V630" s="71" t="str">
        <f>IFERROR(VLOOKUP(Table1[[#This Row],[No_]],'Customer Net Price'!A:G,6,FALSE),"0")</f>
        <v>0</v>
      </c>
    </row>
    <row r="631" spans="1:22" x14ac:dyDescent="0.25">
      <c r="A631" s="23" t="s">
        <v>1788</v>
      </c>
      <c r="B631" s="23" t="s">
        <v>1788</v>
      </c>
      <c r="C631" t="s">
        <v>1802</v>
      </c>
      <c r="D631" t="s">
        <v>310</v>
      </c>
      <c r="F631" t="s">
        <v>1196</v>
      </c>
      <c r="G631" t="s">
        <v>1196</v>
      </c>
      <c r="H631" s="79" t="s">
        <v>1816</v>
      </c>
      <c r="I631" t="s">
        <v>546</v>
      </c>
      <c r="J631" t="s">
        <v>546</v>
      </c>
      <c r="K631" s="2">
        <v>39.9</v>
      </c>
      <c r="L631" s="2">
        <v>299</v>
      </c>
      <c r="M631" s="2">
        <v>51.9</v>
      </c>
      <c r="N631" s="2">
        <v>39.9</v>
      </c>
      <c r="O631" s="2">
        <v>299</v>
      </c>
      <c r="P631" s="2">
        <v>51.9</v>
      </c>
      <c r="Q631" s="45" t="s">
        <v>1197</v>
      </c>
      <c r="S631" s="2">
        <f t="shared" si="20"/>
        <v>39.9</v>
      </c>
      <c r="T631" s="2">
        <f t="shared" si="21"/>
        <v>299</v>
      </c>
      <c r="U631" s="71" t="str">
        <f>IFERROR(VLOOKUP(Table1[[#This Row],[No_]],'Customer Net Price'!A:F,5,FALSE),"0")</f>
        <v>0</v>
      </c>
      <c r="V631" s="71" t="str">
        <f>IFERROR(VLOOKUP(Table1[[#This Row],[No_]],'Customer Net Price'!A:G,6,FALSE),"0")</f>
        <v>0</v>
      </c>
    </row>
    <row r="632" spans="1:22" x14ac:dyDescent="0.25">
      <c r="A632" s="23" t="s">
        <v>1789</v>
      </c>
      <c r="B632" s="23" t="s">
        <v>1789</v>
      </c>
      <c r="C632" t="s">
        <v>1804</v>
      </c>
      <c r="D632" t="s">
        <v>310</v>
      </c>
      <c r="F632" t="s">
        <v>1196</v>
      </c>
      <c r="G632" t="s">
        <v>1196</v>
      </c>
      <c r="H632" s="79" t="s">
        <v>1817</v>
      </c>
      <c r="I632" t="s">
        <v>546</v>
      </c>
      <c r="J632" t="s">
        <v>546</v>
      </c>
      <c r="K632" s="2">
        <v>39.9</v>
      </c>
      <c r="L632" s="2">
        <v>299</v>
      </c>
      <c r="M632" s="2">
        <v>51.9</v>
      </c>
      <c r="N632" s="2">
        <v>39.9</v>
      </c>
      <c r="O632" s="2">
        <v>299</v>
      </c>
      <c r="P632" s="2">
        <v>51.9</v>
      </c>
      <c r="Q632" s="45" t="s">
        <v>1197</v>
      </c>
      <c r="S632" s="2">
        <f t="shared" si="20"/>
        <v>39.9</v>
      </c>
      <c r="T632" s="2">
        <f t="shared" si="21"/>
        <v>299</v>
      </c>
      <c r="U632" s="71" t="str">
        <f>IFERROR(VLOOKUP(Table1[[#This Row],[No_]],'Customer Net Price'!A:F,5,FALSE),"0")</f>
        <v>0</v>
      </c>
      <c r="V632" s="71" t="str">
        <f>IFERROR(VLOOKUP(Table1[[#This Row],[No_]],'Customer Net Price'!A:G,6,FALSE),"0")</f>
        <v>0</v>
      </c>
    </row>
    <row r="633" spans="1:22" x14ac:dyDescent="0.25">
      <c r="A633" s="23" t="s">
        <v>1790</v>
      </c>
      <c r="B633" s="23" t="s">
        <v>1790</v>
      </c>
      <c r="C633" t="s">
        <v>1805</v>
      </c>
      <c r="D633" t="s">
        <v>310</v>
      </c>
      <c r="F633" t="s">
        <v>1196</v>
      </c>
      <c r="G633" t="s">
        <v>1196</v>
      </c>
      <c r="H633" s="79" t="s">
        <v>1818</v>
      </c>
      <c r="I633" t="s">
        <v>546</v>
      </c>
      <c r="J633" t="s">
        <v>546</v>
      </c>
      <c r="K633" s="2">
        <v>39.9</v>
      </c>
      <c r="L633" s="2">
        <v>299</v>
      </c>
      <c r="M633" s="2">
        <v>51.9</v>
      </c>
      <c r="N633" s="2">
        <v>39.9</v>
      </c>
      <c r="O633" s="2">
        <v>299</v>
      </c>
      <c r="P633" s="2">
        <v>51.9</v>
      </c>
      <c r="Q633" s="45" t="s">
        <v>1197</v>
      </c>
      <c r="S633" s="2">
        <f t="shared" si="20"/>
        <v>39.9</v>
      </c>
      <c r="T633" s="2">
        <f t="shared" si="21"/>
        <v>299</v>
      </c>
      <c r="U633" s="71" t="str">
        <f>IFERROR(VLOOKUP(Table1[[#This Row],[No_]],'Customer Net Price'!A:F,5,FALSE),"0")</f>
        <v>0</v>
      </c>
      <c r="V633" s="71" t="str">
        <f>IFERROR(VLOOKUP(Table1[[#This Row],[No_]],'Customer Net Price'!A:G,6,FALSE),"0")</f>
        <v>0</v>
      </c>
    </row>
    <row r="634" spans="1:22" x14ac:dyDescent="0.25">
      <c r="A634" s="23" t="s">
        <v>1791</v>
      </c>
      <c r="B634" s="23" t="s">
        <v>1791</v>
      </c>
      <c r="C634" t="s">
        <v>1806</v>
      </c>
      <c r="D634" t="s">
        <v>310</v>
      </c>
      <c r="F634" t="s">
        <v>1196</v>
      </c>
      <c r="G634" t="s">
        <v>1196</v>
      </c>
      <c r="H634" s="79" t="s">
        <v>1819</v>
      </c>
      <c r="I634" t="s">
        <v>546</v>
      </c>
      <c r="J634" t="s">
        <v>546</v>
      </c>
      <c r="K634" s="2">
        <v>39.9</v>
      </c>
      <c r="L634" s="2">
        <v>299</v>
      </c>
      <c r="M634" s="2">
        <v>51.9</v>
      </c>
      <c r="N634" s="2">
        <v>39.9</v>
      </c>
      <c r="O634" s="2">
        <v>299</v>
      </c>
      <c r="P634" s="2">
        <v>51.9</v>
      </c>
      <c r="Q634" s="45" t="s">
        <v>1197</v>
      </c>
      <c r="S634" s="2">
        <f t="shared" si="20"/>
        <v>39.9</v>
      </c>
      <c r="T634" s="2">
        <f t="shared" si="21"/>
        <v>299</v>
      </c>
      <c r="U634" s="71" t="str">
        <f>IFERROR(VLOOKUP(Table1[[#This Row],[No_]],'Customer Net Price'!A:F,5,FALSE),"0")</f>
        <v>0</v>
      </c>
      <c r="V634" s="71" t="str">
        <f>IFERROR(VLOOKUP(Table1[[#This Row],[No_]],'Customer Net Price'!A:G,6,FALSE),"0")</f>
        <v>0</v>
      </c>
    </row>
    <row r="635" spans="1:22" x14ac:dyDescent="0.25">
      <c r="A635" s="23" t="s">
        <v>1792</v>
      </c>
      <c r="B635" s="23" t="s">
        <v>1792</v>
      </c>
      <c r="C635" t="s">
        <v>1807</v>
      </c>
      <c r="D635" t="s">
        <v>310</v>
      </c>
      <c r="F635" t="s">
        <v>1196</v>
      </c>
      <c r="G635" t="s">
        <v>1196</v>
      </c>
      <c r="H635" s="79" t="s">
        <v>1820</v>
      </c>
      <c r="I635" t="s">
        <v>546</v>
      </c>
      <c r="J635" t="s">
        <v>546</v>
      </c>
      <c r="K635" s="2">
        <v>39.9</v>
      </c>
      <c r="L635" s="2">
        <v>299</v>
      </c>
      <c r="M635" s="2">
        <v>51.9</v>
      </c>
      <c r="N635" s="2">
        <v>39.9</v>
      </c>
      <c r="O635" s="2">
        <v>299</v>
      </c>
      <c r="P635" s="2">
        <v>51.9</v>
      </c>
      <c r="Q635" s="45" t="s">
        <v>1197</v>
      </c>
      <c r="S635" s="2">
        <f t="shared" si="20"/>
        <v>39.9</v>
      </c>
      <c r="T635" s="2">
        <f t="shared" si="21"/>
        <v>299</v>
      </c>
      <c r="U635" s="71" t="str">
        <f>IFERROR(VLOOKUP(Table1[[#This Row],[No_]],'Customer Net Price'!A:F,5,FALSE),"0")</f>
        <v>0</v>
      </c>
      <c r="V635" s="71" t="str">
        <f>IFERROR(VLOOKUP(Table1[[#This Row],[No_]],'Customer Net Price'!A:G,6,FALSE),"0")</f>
        <v>0</v>
      </c>
    </row>
    <row r="636" spans="1:22" x14ac:dyDescent="0.25">
      <c r="A636" s="23" t="s">
        <v>1793</v>
      </c>
      <c r="B636" s="23" t="s">
        <v>1793</v>
      </c>
      <c r="C636" t="s">
        <v>1808</v>
      </c>
      <c r="D636" t="s">
        <v>310</v>
      </c>
      <c r="F636" t="s">
        <v>1196</v>
      </c>
      <c r="G636" t="s">
        <v>1196</v>
      </c>
      <c r="H636" s="79" t="s">
        <v>1821</v>
      </c>
      <c r="I636" t="s">
        <v>546</v>
      </c>
      <c r="J636" t="s">
        <v>546</v>
      </c>
      <c r="K636" s="2">
        <v>39.9</v>
      </c>
      <c r="L636" s="2">
        <v>299</v>
      </c>
      <c r="M636" s="2">
        <v>51.9</v>
      </c>
      <c r="N636" s="2">
        <v>39.9</v>
      </c>
      <c r="O636" s="2">
        <v>299</v>
      </c>
      <c r="P636" s="2">
        <v>51.9</v>
      </c>
      <c r="Q636" s="45" t="s">
        <v>1197</v>
      </c>
      <c r="S636" s="2">
        <f t="shared" si="20"/>
        <v>39.9</v>
      </c>
      <c r="T636" s="2">
        <f t="shared" si="21"/>
        <v>299</v>
      </c>
      <c r="U636" s="71" t="str">
        <f>IFERROR(VLOOKUP(Table1[[#This Row],[No_]],'Customer Net Price'!A:F,5,FALSE),"0")</f>
        <v>0</v>
      </c>
      <c r="V636" s="71" t="str">
        <f>IFERROR(VLOOKUP(Table1[[#This Row],[No_]],'Customer Net Price'!A:G,6,FALSE),"0")</f>
        <v>0</v>
      </c>
    </row>
    <row r="637" spans="1:22" x14ac:dyDescent="0.25">
      <c r="A637" s="23" t="s">
        <v>1794</v>
      </c>
      <c r="B637" s="23" t="s">
        <v>1794</v>
      </c>
      <c r="C637" t="s">
        <v>1809</v>
      </c>
      <c r="D637" t="s">
        <v>310</v>
      </c>
      <c r="F637" t="s">
        <v>1196</v>
      </c>
      <c r="G637" t="s">
        <v>1196</v>
      </c>
      <c r="H637" s="79" t="s">
        <v>1822</v>
      </c>
      <c r="I637" t="s">
        <v>546</v>
      </c>
      <c r="J637" t="s">
        <v>546</v>
      </c>
      <c r="K637" s="2">
        <v>39.9</v>
      </c>
      <c r="L637" s="2">
        <v>299</v>
      </c>
      <c r="M637" s="2">
        <v>51.9</v>
      </c>
      <c r="N637" s="2">
        <v>39.9</v>
      </c>
      <c r="O637" s="2">
        <v>299</v>
      </c>
      <c r="P637" s="2">
        <v>51.9</v>
      </c>
      <c r="Q637" s="45" t="s">
        <v>1197</v>
      </c>
      <c r="S637" s="2">
        <f t="shared" ref="S637" si="22">IF(MAX(U637:U637)=0,+N637,MAX(U637:U637))</f>
        <v>39.9</v>
      </c>
      <c r="T637" s="2">
        <f t="shared" ref="T637" si="23">IF(MAX(V637:V637)=0,+O637,MAX(V637:V637))</f>
        <v>299</v>
      </c>
      <c r="U637" s="71" t="str">
        <f>IFERROR(VLOOKUP(Table1[[#This Row],[No_]],'Customer Net Price'!A:F,5,FALSE),"0")</f>
        <v>0</v>
      </c>
      <c r="V637" s="71" t="str">
        <f>IFERROR(VLOOKUP(Table1[[#This Row],[No_]],'Customer Net Price'!A:G,6,FALSE),"0")</f>
        <v>0</v>
      </c>
    </row>
    <row r="638" spans="1:22" x14ac:dyDescent="0.25">
      <c r="A638" s="23" t="s">
        <v>1795</v>
      </c>
      <c r="B638" s="23" t="s">
        <v>1795</v>
      </c>
      <c r="C638" t="s">
        <v>1803</v>
      </c>
      <c r="D638" t="s">
        <v>310</v>
      </c>
      <c r="F638" t="s">
        <v>1196</v>
      </c>
      <c r="G638" t="s">
        <v>1196</v>
      </c>
      <c r="H638" s="79" t="s">
        <v>1823</v>
      </c>
      <c r="I638" t="s">
        <v>546</v>
      </c>
      <c r="J638" t="s">
        <v>546</v>
      </c>
      <c r="K638" s="2">
        <v>14.9</v>
      </c>
      <c r="L638" s="2">
        <v>109</v>
      </c>
      <c r="M638" s="2">
        <v>18.899999999999999</v>
      </c>
      <c r="N638" s="2">
        <v>14.9</v>
      </c>
      <c r="O638" s="2">
        <v>109</v>
      </c>
      <c r="P638" s="2">
        <v>18.899999999999999</v>
      </c>
      <c r="Q638" s="45" t="s">
        <v>1197</v>
      </c>
      <c r="S638" s="2">
        <f>IF(MAX(U638:U638)=0,+N638,MAX(U638:U638))</f>
        <v>14.9</v>
      </c>
      <c r="T638" s="2">
        <f>IF(MAX(V638:V638)=0,+O638,MAX(V638:V638))</f>
        <v>109</v>
      </c>
      <c r="U638" s="71" t="str">
        <f>IFERROR(VLOOKUP(Table1[[#This Row],[No_]],'Customer Net Price'!A:F,5,FALSE),"0")</f>
        <v>0</v>
      </c>
      <c r="V638" s="71" t="str">
        <f>IFERROR(VLOOKUP(Table1[[#This Row],[No_]],'Customer Net Price'!A:G,6,FALSE),"0")</f>
        <v>0</v>
      </c>
    </row>
    <row r="639" spans="1:22" x14ac:dyDescent="0.25">
      <c r="A639" s="23" t="s">
        <v>1824</v>
      </c>
      <c r="B639" s="23" t="s">
        <v>1824</v>
      </c>
      <c r="C639" t="s">
        <v>1825</v>
      </c>
      <c r="D639" t="s">
        <v>309</v>
      </c>
      <c r="F639" t="s">
        <v>920</v>
      </c>
      <c r="G639" t="s">
        <v>920</v>
      </c>
      <c r="H639" s="79" t="s">
        <v>1826</v>
      </c>
      <c r="I639" t="s">
        <v>546</v>
      </c>
      <c r="J639" t="s">
        <v>546</v>
      </c>
      <c r="K639" s="2">
        <v>249.9</v>
      </c>
      <c r="L639" s="2">
        <v>1859.9</v>
      </c>
      <c r="M639" s="2">
        <v>269.89999999999998</v>
      </c>
      <c r="N639" s="2">
        <f ca="1">Table1[[#This Row],[2026 (EUR)]]*(1-INDIRECT(Table1[[#This Row],[Discount Name]]))</f>
        <v>249.9</v>
      </c>
      <c r="O639" s="2">
        <f ca="1">Table1[[#This Row],[2026 (DKK)]]*(1-INDIRECT(Table1[[#This Row],[Discount Name]]))</f>
        <v>1859.9</v>
      </c>
      <c r="P639" s="2" cm="1">
        <f t="array" aca="1" ref="P639" ca="1">Table1[[#This Row],[2026 (USD)]]*(1-INDIRECT(Table1[[#This Row],[Discount Name]]))</f>
        <v>269.89999999999998</v>
      </c>
      <c r="Q639" s="32">
        <f ca="1">INDIRECT(Table1[[#This Row],[Discount Name]])</f>
        <v>0</v>
      </c>
      <c r="S639" s="2">
        <f t="shared" ref="S639:S640" ca="1" si="24">IF(MAX(U639:U639)=0,+N639,MAX(U639:U639))</f>
        <v>249.9</v>
      </c>
      <c r="T639" s="2">
        <f t="shared" ref="T639:T640" ca="1" si="25">IF(MAX(V639:V639)=0,+O639,MAX(V639:V639))</f>
        <v>1859.9</v>
      </c>
      <c r="U639" s="71" t="str">
        <f>IFERROR(VLOOKUP(Table1[[#This Row],[No_]],'Customer Net Price'!A:F,5,FALSE),"0")</f>
        <v>0</v>
      </c>
      <c r="V639" s="71" t="str">
        <f>IFERROR(VLOOKUP(Table1[[#This Row],[No_]],'Customer Net Price'!A:G,6,FALSE),"0")</f>
        <v>0</v>
      </c>
    </row>
    <row r="640" spans="1:22" x14ac:dyDescent="0.25">
      <c r="A640" s="23" t="s">
        <v>1827</v>
      </c>
      <c r="B640" s="23" t="s">
        <v>1827</v>
      </c>
      <c r="C640" t="s">
        <v>1828</v>
      </c>
      <c r="D640" t="s">
        <v>310</v>
      </c>
      <c r="E640" t="s">
        <v>546</v>
      </c>
      <c r="F640" t="s">
        <v>918</v>
      </c>
      <c r="G640" t="s">
        <v>923</v>
      </c>
      <c r="H640" s="44" t="s">
        <v>1829</v>
      </c>
      <c r="I640" t="s">
        <v>546</v>
      </c>
      <c r="J640" t="s">
        <v>546</v>
      </c>
      <c r="K640" s="2">
        <v>19.899999999999999</v>
      </c>
      <c r="L640" s="2">
        <v>149.9</v>
      </c>
      <c r="M640" s="2">
        <v>24.9</v>
      </c>
      <c r="N640" s="2">
        <f ca="1">Table1[[#This Row],[2026 (EUR)]]*(1-INDIRECT(Table1[[#This Row],[Discount Name]]))</f>
        <v>19.899999999999999</v>
      </c>
      <c r="O640" s="2">
        <f ca="1">Table1[[#This Row],[2026 (DKK)]]*(1-INDIRECT(Table1[[#This Row],[Discount Name]]))</f>
        <v>149.9</v>
      </c>
      <c r="P640" s="2" cm="1">
        <f t="array" aca="1" ref="P640" ca="1">Table1[[#This Row],[2026 (USD)]]*(1-INDIRECT(Table1[[#This Row],[Discount Name]]))</f>
        <v>24.9</v>
      </c>
      <c r="Q640" s="32">
        <f ca="1">INDIRECT(Table1[[#This Row],[Discount Name]])</f>
        <v>0</v>
      </c>
      <c r="S640" s="2">
        <f t="shared" ca="1" si="24"/>
        <v>19.899999999999999</v>
      </c>
      <c r="T640" s="2">
        <f t="shared" ca="1" si="25"/>
        <v>149.9</v>
      </c>
      <c r="U640" s="71" t="str">
        <f>IFERROR(VLOOKUP(Table1[[#This Row],[No_]],'Customer Net Price'!A:F,5,FALSE),"0")</f>
        <v>0</v>
      </c>
      <c r="V640" s="71" t="str">
        <f>IFERROR(VLOOKUP(Table1[[#This Row],[No_]],'Customer Net Price'!A:G,6,FALSE),"0")</f>
        <v>0</v>
      </c>
    </row>
    <row r="641" spans="1:22" x14ac:dyDescent="0.25">
      <c r="A641" s="23" t="s">
        <v>1832</v>
      </c>
      <c r="B641" s="23" t="s">
        <v>1832</v>
      </c>
      <c r="C641" t="s">
        <v>1833</v>
      </c>
      <c r="D641" t="s">
        <v>1778</v>
      </c>
      <c r="E641" t="s">
        <v>546</v>
      </c>
      <c r="F641" t="s">
        <v>918</v>
      </c>
      <c r="G641" t="s">
        <v>923</v>
      </c>
      <c r="H641" s="44" t="s">
        <v>1834</v>
      </c>
      <c r="I641" t="s">
        <v>546</v>
      </c>
      <c r="J641" t="s">
        <v>546</v>
      </c>
      <c r="K641" s="2">
        <v>19.899999999999999</v>
      </c>
      <c r="L641" s="2">
        <v>149.9</v>
      </c>
      <c r="M641" s="2">
        <v>24.9</v>
      </c>
      <c r="N641" s="2">
        <f ca="1">Table1[[#This Row],[2026 (EUR)]]*(1-INDIRECT(Table1[[#This Row],[Discount Name]]))</f>
        <v>19.899999999999999</v>
      </c>
      <c r="O641" s="2">
        <f ca="1">Table1[[#This Row],[2026 (DKK)]]*(1-INDIRECT(Table1[[#This Row],[Discount Name]]))</f>
        <v>149.9</v>
      </c>
      <c r="P641" s="2" cm="1">
        <f t="array" aca="1" ref="P641" ca="1">Table1[[#This Row],[2026 (USD)]]*(1-INDIRECT(Table1[[#This Row],[Discount Name]]))</f>
        <v>24.9</v>
      </c>
      <c r="Q641" s="32">
        <f ca="1">INDIRECT(Table1[[#This Row],[Discount Name]])</f>
        <v>0</v>
      </c>
      <c r="S641" s="2">
        <f t="shared" ref="S641:S648" ca="1" si="26">IF(MAX(U641:U641)=0,+N641,MAX(U641:U641))</f>
        <v>19.899999999999999</v>
      </c>
      <c r="T641" s="2">
        <f t="shared" ref="T641:T648" ca="1" si="27">IF(MAX(V641:V641)=0,+O641,MAX(V641:V641))</f>
        <v>149.9</v>
      </c>
      <c r="U641" s="71" t="str">
        <f>IFERROR(VLOOKUP(Table1[[#This Row],[No_]],'Customer Net Price'!A:F,5,FALSE),"0")</f>
        <v>0</v>
      </c>
      <c r="V641" s="71" t="str">
        <f>IFERROR(VLOOKUP(Table1[[#This Row],[No_]],'Customer Net Price'!A:G,6,FALSE),"0")</f>
        <v>0</v>
      </c>
    </row>
    <row r="642" spans="1:22" x14ac:dyDescent="0.25">
      <c r="A642" s="23" t="s">
        <v>1835</v>
      </c>
      <c r="B642" s="23" t="s">
        <v>1835</v>
      </c>
      <c r="C642" t="s">
        <v>1836</v>
      </c>
      <c r="D642" t="s">
        <v>310</v>
      </c>
      <c r="F642" t="s">
        <v>1196</v>
      </c>
      <c r="G642" t="s">
        <v>1196</v>
      </c>
      <c r="H642" s="44" t="s">
        <v>1837</v>
      </c>
      <c r="I642" t="s">
        <v>546</v>
      </c>
      <c r="J642" t="s">
        <v>546</v>
      </c>
      <c r="K642" s="2">
        <v>45.9</v>
      </c>
      <c r="L642" s="2">
        <v>339.9</v>
      </c>
      <c r="M642" s="2">
        <v>54.9</v>
      </c>
      <c r="N642" s="2">
        <v>45.9</v>
      </c>
      <c r="O642" s="2">
        <v>339.9</v>
      </c>
      <c r="P642" s="2">
        <v>54.9</v>
      </c>
      <c r="Q642" s="32" t="s">
        <v>546</v>
      </c>
      <c r="S642" s="2">
        <f t="shared" si="26"/>
        <v>45.9</v>
      </c>
      <c r="T642" s="2">
        <f t="shared" si="27"/>
        <v>339.9</v>
      </c>
      <c r="U642" s="71" t="str">
        <f>IFERROR(VLOOKUP(Table1[[#This Row],[No_]],'Customer Net Price'!A:F,5,FALSE),"0")</f>
        <v>0</v>
      </c>
      <c r="V642" s="71" t="str">
        <f>IFERROR(VLOOKUP(Table1[[#This Row],[No_]],'Customer Net Price'!A:G,6,FALSE),"0")</f>
        <v>0</v>
      </c>
    </row>
    <row r="643" spans="1:22" x14ac:dyDescent="0.25">
      <c r="A643" s="23" t="s">
        <v>1838</v>
      </c>
      <c r="B643" s="23" t="s">
        <v>1838</v>
      </c>
      <c r="C643" t="s">
        <v>1208</v>
      </c>
      <c r="D643" t="s">
        <v>305</v>
      </c>
      <c r="E643" t="s">
        <v>546</v>
      </c>
      <c r="F643" t="s">
        <v>916</v>
      </c>
      <c r="G643" t="s">
        <v>916</v>
      </c>
      <c r="H643" s="44" t="s">
        <v>1839</v>
      </c>
      <c r="I643" t="s">
        <v>546</v>
      </c>
      <c r="J643" t="s">
        <v>546</v>
      </c>
      <c r="K643" s="2">
        <v>89.9</v>
      </c>
      <c r="L643" s="2">
        <v>169.9</v>
      </c>
      <c r="M643" s="2">
        <v>94.9</v>
      </c>
      <c r="N643" s="2">
        <f ca="1">Table1[[#This Row],[2026 (EUR)]]*(1-INDIRECT(Table1[[#This Row],[Discount Name]]))</f>
        <v>89.9</v>
      </c>
      <c r="O643" s="2">
        <f ca="1">Table1[[#This Row],[2026 (DKK)]]*(1-INDIRECT(Table1[[#This Row],[Discount Name]]))</f>
        <v>169.9</v>
      </c>
      <c r="P643" s="2" cm="1">
        <f t="array" aca="1" ref="P643" ca="1">Table1[[#This Row],[2026 (USD)]]*(1-INDIRECT(Table1[[#This Row],[Discount Name]]))</f>
        <v>94.9</v>
      </c>
      <c r="Q643" s="32">
        <f ca="1">INDIRECT(Table1[[#This Row],[Discount Name]])</f>
        <v>0</v>
      </c>
      <c r="S643" s="2">
        <f t="shared" ca="1" si="26"/>
        <v>89.9</v>
      </c>
      <c r="T643" s="2">
        <f t="shared" ca="1" si="27"/>
        <v>169.9</v>
      </c>
      <c r="U643" s="71" t="str">
        <f>IFERROR(VLOOKUP(Table1[[#This Row],[No_]],'Customer Net Price'!A:F,5,FALSE),"0")</f>
        <v>0</v>
      </c>
      <c r="V643" s="71" t="str">
        <f>IFERROR(VLOOKUP(Table1[[#This Row],[No_]],'Customer Net Price'!A:G,6,FALSE),"0")</f>
        <v>0</v>
      </c>
    </row>
    <row r="644" spans="1:22" x14ac:dyDescent="0.25">
      <c r="A644" s="23" t="s">
        <v>1840</v>
      </c>
      <c r="B644" s="23" t="s">
        <v>1840</v>
      </c>
      <c r="C644" t="s">
        <v>1841</v>
      </c>
      <c r="D644" t="s">
        <v>1778</v>
      </c>
      <c r="E644" t="s">
        <v>546</v>
      </c>
      <c r="F644" t="s">
        <v>918</v>
      </c>
      <c r="G644" t="s">
        <v>923</v>
      </c>
      <c r="H644" s="44" t="s">
        <v>1842</v>
      </c>
      <c r="I644" t="s">
        <v>546</v>
      </c>
      <c r="J644" t="s">
        <v>546</v>
      </c>
      <c r="K644" s="2">
        <v>3.1</v>
      </c>
      <c r="L644" s="2">
        <v>22.9</v>
      </c>
      <c r="M644" s="2">
        <v>3.9</v>
      </c>
      <c r="N644" s="2">
        <f ca="1">Table1[[#This Row],[2026 (EUR)]]*(1-INDIRECT(Table1[[#This Row],[Discount Name]]))</f>
        <v>3.1</v>
      </c>
      <c r="O644" s="2">
        <f ca="1">Table1[[#This Row],[2026 (DKK)]]*(1-INDIRECT(Table1[[#This Row],[Discount Name]]))</f>
        <v>22.9</v>
      </c>
      <c r="P644" s="2" cm="1">
        <f t="array" aca="1" ref="P644" ca="1">Table1[[#This Row],[2026 (USD)]]*(1-INDIRECT(Table1[[#This Row],[Discount Name]]))</f>
        <v>3.9</v>
      </c>
      <c r="Q644" s="32">
        <f ca="1">INDIRECT(Table1[[#This Row],[Discount Name]])</f>
        <v>0</v>
      </c>
      <c r="S644" s="2">
        <f t="shared" ca="1" si="26"/>
        <v>3.1</v>
      </c>
      <c r="T644" s="2">
        <f t="shared" ca="1" si="27"/>
        <v>22.9</v>
      </c>
      <c r="U644" s="71" t="str">
        <f>IFERROR(VLOOKUP(Table1[[#This Row],[No_]],'Customer Net Price'!A:F,5,FALSE),"0")</f>
        <v>0</v>
      </c>
      <c r="V644" s="71" t="str">
        <f>IFERROR(VLOOKUP(Table1[[#This Row],[No_]],'Customer Net Price'!A:G,6,FALSE),"0")</f>
        <v>0</v>
      </c>
    </row>
    <row r="645" spans="1:22" x14ac:dyDescent="0.25">
      <c r="A645" s="23" t="s">
        <v>1843</v>
      </c>
      <c r="B645" s="23" t="s">
        <v>1843</v>
      </c>
      <c r="C645" t="s">
        <v>1845</v>
      </c>
      <c r="D645" t="s">
        <v>1778</v>
      </c>
      <c r="E645" t="s">
        <v>546</v>
      </c>
      <c r="F645" t="s">
        <v>918</v>
      </c>
      <c r="G645" t="s">
        <v>923</v>
      </c>
      <c r="H645" s="44" t="s">
        <v>1844</v>
      </c>
      <c r="I645" t="s">
        <v>546</v>
      </c>
      <c r="J645" t="s">
        <v>546</v>
      </c>
      <c r="K645" s="2">
        <v>3.9</v>
      </c>
      <c r="L645" s="2">
        <v>29.9</v>
      </c>
      <c r="M645" s="2">
        <v>4.9000000000000004</v>
      </c>
      <c r="N645" s="2">
        <f ca="1">Table1[[#This Row],[2026 (EUR)]]*(1-INDIRECT(Table1[[#This Row],[Discount Name]]))</f>
        <v>3.9</v>
      </c>
      <c r="O645" s="2">
        <f ca="1">Table1[[#This Row],[2026 (DKK)]]*(1-INDIRECT(Table1[[#This Row],[Discount Name]]))</f>
        <v>29.9</v>
      </c>
      <c r="P645" s="2" cm="1">
        <f t="array" aca="1" ref="P645" ca="1">Table1[[#This Row],[2026 (USD)]]*(1-INDIRECT(Table1[[#This Row],[Discount Name]]))</f>
        <v>4.9000000000000004</v>
      </c>
      <c r="Q645" s="32">
        <f ca="1">INDIRECT(Table1[[#This Row],[Discount Name]])</f>
        <v>0</v>
      </c>
      <c r="S645" s="2">
        <f t="shared" ref="S645:S647" ca="1" si="28">IF(MAX(U645:U645)=0,+N645,MAX(U645:U645))</f>
        <v>3.9</v>
      </c>
      <c r="T645" s="2">
        <f t="shared" ref="T645:T647" ca="1" si="29">IF(MAX(V645:V645)=0,+O645,MAX(V645:V645))</f>
        <v>29.9</v>
      </c>
      <c r="U645" s="71" t="str">
        <f>IFERROR(VLOOKUP(Table1[[#This Row],[No_]],'Customer Net Price'!A:F,5,FALSE),"0")</f>
        <v>0</v>
      </c>
      <c r="V645" s="71" t="str">
        <f>IFERROR(VLOOKUP(Table1[[#This Row],[No_]],'Customer Net Price'!A:G,6,FALSE),"0")</f>
        <v>0</v>
      </c>
    </row>
    <row r="646" spans="1:22" x14ac:dyDescent="0.25">
      <c r="A646" s="23" t="s">
        <v>1846</v>
      </c>
      <c r="B646" s="23" t="s">
        <v>1846</v>
      </c>
      <c r="C646" t="s">
        <v>1847</v>
      </c>
      <c r="D646" t="s">
        <v>1778</v>
      </c>
      <c r="E646" t="s">
        <v>546</v>
      </c>
      <c r="F646" t="s">
        <v>918</v>
      </c>
      <c r="G646" t="s">
        <v>923</v>
      </c>
      <c r="H646" s="44" t="s">
        <v>1848</v>
      </c>
      <c r="I646" t="s">
        <v>546</v>
      </c>
      <c r="J646" t="s">
        <v>546</v>
      </c>
      <c r="K646" s="2">
        <v>18.899999999999999</v>
      </c>
      <c r="L646" s="2">
        <v>139.9</v>
      </c>
      <c r="M646" s="2">
        <v>20</v>
      </c>
      <c r="N646" s="2">
        <f ca="1">Table1[[#This Row],[2026 (EUR)]]*(1-INDIRECT(Table1[[#This Row],[Discount Name]]))</f>
        <v>18.899999999999999</v>
      </c>
      <c r="O646" s="2">
        <f ca="1">Table1[[#This Row],[2026 (DKK)]]*(1-INDIRECT(Table1[[#This Row],[Discount Name]]))</f>
        <v>139.9</v>
      </c>
      <c r="P646" s="2" cm="1">
        <f t="array" aca="1" ref="P646" ca="1">Table1[[#This Row],[2026 (USD)]]*(1-INDIRECT(Table1[[#This Row],[Discount Name]]))</f>
        <v>20</v>
      </c>
      <c r="Q646" s="32">
        <f ca="1">INDIRECT(Table1[[#This Row],[Discount Name]])</f>
        <v>0</v>
      </c>
      <c r="S646" s="2">
        <f t="shared" ca="1" si="28"/>
        <v>18.899999999999999</v>
      </c>
      <c r="T646" s="2">
        <f t="shared" ca="1" si="29"/>
        <v>139.9</v>
      </c>
      <c r="U646" s="71" t="str">
        <f>IFERROR(VLOOKUP(Table1[[#This Row],[No_]],'Customer Net Price'!A:F,5,FALSE),"0")</f>
        <v>0</v>
      </c>
      <c r="V646" s="71" t="str">
        <f>IFERROR(VLOOKUP(Table1[[#This Row],[No_]],'Customer Net Price'!A:G,6,FALSE),"0")</f>
        <v>0</v>
      </c>
    </row>
    <row r="647" spans="1:22" x14ac:dyDescent="0.25">
      <c r="A647" s="23" t="s">
        <v>1850</v>
      </c>
      <c r="B647" s="23" t="s">
        <v>1850</v>
      </c>
      <c r="C647" t="s">
        <v>1849</v>
      </c>
      <c r="D647" t="s">
        <v>1778</v>
      </c>
      <c r="E647" t="s">
        <v>546</v>
      </c>
      <c r="F647" t="s">
        <v>918</v>
      </c>
      <c r="G647" t="s">
        <v>923</v>
      </c>
      <c r="H647" s="44" t="s">
        <v>1851</v>
      </c>
      <c r="I647" t="s">
        <v>546</v>
      </c>
      <c r="J647" t="s">
        <v>546</v>
      </c>
      <c r="K647" s="2">
        <v>19.899999999999999</v>
      </c>
      <c r="L647" s="2">
        <v>149.9</v>
      </c>
      <c r="M647" s="2">
        <v>24</v>
      </c>
      <c r="N647" s="2">
        <f ca="1">Table1[[#This Row],[2026 (EUR)]]*(1-INDIRECT(Table1[[#This Row],[Discount Name]]))</f>
        <v>19.899999999999999</v>
      </c>
      <c r="O647" s="2">
        <f ca="1">Table1[[#This Row],[2026 (DKK)]]*(1-INDIRECT(Table1[[#This Row],[Discount Name]]))</f>
        <v>149.9</v>
      </c>
      <c r="P647" s="2" cm="1">
        <f t="array" aca="1" ref="P647" ca="1">Table1[[#This Row],[2026 (USD)]]*(1-INDIRECT(Table1[[#This Row],[Discount Name]]))</f>
        <v>24</v>
      </c>
      <c r="Q647" s="32">
        <f ca="1">INDIRECT(Table1[[#This Row],[Discount Name]])</f>
        <v>0</v>
      </c>
      <c r="S647" s="2">
        <f t="shared" ca="1" si="28"/>
        <v>19.899999999999999</v>
      </c>
      <c r="T647" s="2">
        <f t="shared" ca="1" si="29"/>
        <v>149.9</v>
      </c>
      <c r="U647" s="71" t="str">
        <f>IFERROR(VLOOKUP(Table1[[#This Row],[No_]],'Customer Net Price'!A:F,5,FALSE),"0")</f>
        <v>0</v>
      </c>
      <c r="V647" s="71" t="str">
        <f>IFERROR(VLOOKUP(Table1[[#This Row],[No_]],'Customer Net Price'!A:G,6,FALSE),"0")</f>
        <v>0</v>
      </c>
    </row>
    <row r="648" spans="1:22" x14ac:dyDescent="0.25">
      <c r="A648" s="23" t="s">
        <v>1853</v>
      </c>
      <c r="B648" s="23" t="s">
        <v>1853</v>
      </c>
      <c r="C648" t="s">
        <v>1854</v>
      </c>
      <c r="D648" t="s">
        <v>1778</v>
      </c>
      <c r="E648" t="s">
        <v>546</v>
      </c>
      <c r="F648" t="s">
        <v>918</v>
      </c>
      <c r="G648" t="s">
        <v>923</v>
      </c>
      <c r="H648" s="44" t="s">
        <v>1855</v>
      </c>
      <c r="I648" t="s">
        <v>546</v>
      </c>
      <c r="J648" t="s">
        <v>546</v>
      </c>
      <c r="K648" s="2">
        <v>19.899999999999999</v>
      </c>
      <c r="L648" s="2">
        <v>149.9</v>
      </c>
      <c r="M648" s="2">
        <v>24.9</v>
      </c>
      <c r="N648" s="2">
        <f ca="1">Table1[[#This Row],[2026 (EUR)]]*(1-INDIRECT(Table1[[#This Row],[Discount Name]]))</f>
        <v>19.899999999999999</v>
      </c>
      <c r="O648" s="2">
        <f ca="1">Table1[[#This Row],[2026 (DKK)]]*(1-INDIRECT(Table1[[#This Row],[Discount Name]]))</f>
        <v>149.9</v>
      </c>
      <c r="P648" s="2" cm="1">
        <f t="array" aca="1" ref="P648" ca="1">Table1[[#This Row],[2026 (USD)]]*(1-INDIRECT(Table1[[#This Row],[Discount Name]]))</f>
        <v>24.9</v>
      </c>
      <c r="Q648" s="32">
        <f ca="1">INDIRECT(Table1[[#This Row],[Discount Name]])</f>
        <v>0</v>
      </c>
      <c r="S648" s="2">
        <f t="shared" ca="1" si="26"/>
        <v>19.899999999999999</v>
      </c>
      <c r="T648" s="2">
        <f t="shared" ca="1" si="27"/>
        <v>149.9</v>
      </c>
      <c r="U648" s="71" t="str">
        <f>IFERROR(VLOOKUP(Table1[[#This Row],[No_]],'Customer Net Price'!A:F,5,FALSE),"0")</f>
        <v>0</v>
      </c>
      <c r="V648" s="71" t="str">
        <f>IFERROR(VLOOKUP(Table1[[#This Row],[No_]],'Customer Net Price'!A:G,6,FALSE),"0")</f>
        <v>0</v>
      </c>
    </row>
  </sheetData>
  <phoneticPr fontId="12" type="noConversion"/>
  <conditionalFormatting sqref="A476:A639 A3:A473">
    <cfRule type="duplicateValues" dxfId="475" priority="238"/>
  </conditionalFormatting>
  <conditionalFormatting sqref="B17">
    <cfRule type="duplicateValues" dxfId="474" priority="5"/>
  </conditionalFormatting>
  <conditionalFormatting sqref="B206">
    <cfRule type="duplicateValues" dxfId="473" priority="7"/>
  </conditionalFormatting>
  <conditionalFormatting sqref="B358">
    <cfRule type="duplicateValues" dxfId="472" priority="6"/>
  </conditionalFormatting>
  <conditionalFormatting sqref="B618:B623">
    <cfRule type="duplicateValues" dxfId="471" priority="232"/>
  </conditionalFormatting>
  <conditionalFormatting sqref="B624">
    <cfRule type="duplicateValues" dxfId="470" priority="3"/>
  </conditionalFormatting>
  <conditionalFormatting sqref="B625:B638">
    <cfRule type="duplicateValues" dxfId="469" priority="240"/>
  </conditionalFormatting>
  <conditionalFormatting sqref="B639">
    <cfRule type="duplicateValues" dxfId="468" priority="1"/>
  </conditionalFormatting>
  <pageMargins left="0.70866141732283472" right="0.70866141732283472" top="0.74803149606299213" bottom="0.74803149606299213" header="0.31496062992125984" footer="0.31496062992125984"/>
  <pageSetup paperSize="9" scale="82" fitToHeight="0"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7197B-1DD9-4206-B471-F4FA7A7220F8}">
  <sheetPr>
    <tabColor rgb="FFFF0000"/>
  </sheetPr>
  <dimension ref="A1:F20"/>
  <sheetViews>
    <sheetView workbookViewId="0">
      <pane ySplit="4" topLeftCell="A5" activePane="bottomLeft" state="frozen"/>
      <selection pane="bottomLeft" activeCell="E29" sqref="E29"/>
    </sheetView>
  </sheetViews>
  <sheetFormatPr defaultRowHeight="15" x14ac:dyDescent="0.25"/>
  <cols>
    <col min="1" max="1" width="13.140625" style="23" customWidth="1"/>
    <col min="2" max="2" width="27.7109375" customWidth="1"/>
    <col min="3" max="3" width="23.5703125" style="66" customWidth="1"/>
    <col min="4" max="4" width="13" style="66" customWidth="1"/>
    <col min="5" max="5" width="20.5703125" style="67" customWidth="1"/>
    <col min="6" max="6" width="21.85546875" style="67" customWidth="1"/>
  </cols>
  <sheetData>
    <row r="1" spans="1:6" x14ac:dyDescent="0.25">
      <c r="B1" s="67" t="s">
        <v>1328</v>
      </c>
      <c r="C1" s="73" t="s">
        <v>1337</v>
      </c>
    </row>
    <row r="2" spans="1:6" x14ac:dyDescent="0.25">
      <c r="B2" s="67" t="s">
        <v>1329</v>
      </c>
      <c r="C2" s="73" t="s">
        <v>1338</v>
      </c>
    </row>
    <row r="3" spans="1:6" x14ac:dyDescent="0.25">
      <c r="A3" s="23" t="s">
        <v>1332</v>
      </c>
      <c r="B3">
        <v>2</v>
      </c>
      <c r="C3" s="23" t="s">
        <v>1333</v>
      </c>
      <c r="D3">
        <v>4</v>
      </c>
      <c r="E3" s="23" t="s">
        <v>1334</v>
      </c>
      <c r="F3">
        <v>6</v>
      </c>
    </row>
    <row r="4" spans="1:6" x14ac:dyDescent="0.25">
      <c r="A4" s="72" t="s">
        <v>489</v>
      </c>
      <c r="B4" s="68" t="s">
        <v>374</v>
      </c>
      <c r="C4" s="68" t="s">
        <v>898</v>
      </c>
      <c r="D4" s="68" t="s">
        <v>498</v>
      </c>
      <c r="E4" s="68" t="s">
        <v>1330</v>
      </c>
      <c r="F4" s="68" t="s">
        <v>1331</v>
      </c>
    </row>
    <row r="5" spans="1:6" x14ac:dyDescent="0.25">
      <c r="A5" s="76"/>
      <c r="B5" t="e">
        <f>VLOOKUP(A5,'Price Table'!A:V,3,FALSE)</f>
        <v>#N/A</v>
      </c>
      <c r="C5" s="66" t="e">
        <f>VLOOKUP(A5,'Price Table'!A:J,6,FALSE)</f>
        <v>#N/A</v>
      </c>
      <c r="D5" s="69" t="e">
        <f>VLOOKUP(A5,'Price Table'!A:V,17,FALSE)</f>
        <v>#N/A</v>
      </c>
      <c r="E5" s="70"/>
      <c r="F5" s="71"/>
    </row>
    <row r="6" spans="1:6" x14ac:dyDescent="0.25">
      <c r="A6" s="76"/>
      <c r="C6" s="66" t="e">
        <f>VLOOKUP(A6,'Price Table'!A:J,6,FALSE)</f>
        <v>#N/A</v>
      </c>
      <c r="D6" s="69" t="e">
        <f>VLOOKUP(A6,'Price Table'!A:V,17,FALSE)</f>
        <v>#N/A</v>
      </c>
      <c r="E6" s="70"/>
      <c r="F6" s="71"/>
    </row>
    <row r="7" spans="1:6" x14ac:dyDescent="0.25">
      <c r="A7" s="76"/>
      <c r="B7" t="e">
        <f>VLOOKUP(A7,'Price Table'!A:V,3,FALSE)</f>
        <v>#N/A</v>
      </c>
      <c r="C7" s="66" t="e">
        <f>VLOOKUP(A7,'Price Table'!A:J,6,FALSE)</f>
        <v>#N/A</v>
      </c>
      <c r="D7" s="69" t="e">
        <f>VLOOKUP(A7,'Price Table'!A:V,17,FALSE)</f>
        <v>#N/A</v>
      </c>
      <c r="E7" s="70"/>
      <c r="F7" s="71"/>
    </row>
    <row r="8" spans="1:6" x14ac:dyDescent="0.25">
      <c r="A8" s="76"/>
      <c r="B8" t="e">
        <f>VLOOKUP(A8,'Price Table'!A:V,3,FALSE)</f>
        <v>#N/A</v>
      </c>
      <c r="C8" s="66" t="e">
        <f>VLOOKUP(A8,'Price Table'!A:J,6,FALSE)</f>
        <v>#N/A</v>
      </c>
      <c r="D8" s="69" t="e">
        <f>VLOOKUP(A8,'Price Table'!A:V,17,FALSE)</f>
        <v>#N/A</v>
      </c>
      <c r="E8" s="70"/>
      <c r="F8" s="71"/>
    </row>
    <row r="9" spans="1:6" x14ac:dyDescent="0.25">
      <c r="A9" s="76"/>
      <c r="B9" t="e">
        <f>VLOOKUP(A9,'Price Table'!A:V,3,FALSE)</f>
        <v>#N/A</v>
      </c>
      <c r="C9" s="66" t="e">
        <f>VLOOKUP(A9,'Price Table'!A:J,6,FALSE)</f>
        <v>#N/A</v>
      </c>
      <c r="D9" s="69" t="e">
        <f>VLOOKUP(A9,'Price Table'!A:V,17,FALSE)</f>
        <v>#N/A</v>
      </c>
      <c r="E9" s="70"/>
      <c r="F9" s="71"/>
    </row>
    <row r="10" spans="1:6" x14ac:dyDescent="0.25">
      <c r="A10" s="76"/>
      <c r="B10" t="e">
        <f>VLOOKUP(A10,'Price Table'!A:V,3,FALSE)</f>
        <v>#N/A</v>
      </c>
      <c r="C10" s="66" t="e">
        <f>VLOOKUP(A10,'Price Table'!A:J,6,FALSE)</f>
        <v>#N/A</v>
      </c>
      <c r="D10" s="69" t="e">
        <f>VLOOKUP(A10,'Price Table'!A:V,17,FALSE)</f>
        <v>#N/A</v>
      </c>
      <c r="E10" s="70"/>
      <c r="F10" s="71"/>
    </row>
    <row r="11" spans="1:6" x14ac:dyDescent="0.25">
      <c r="A11" s="76"/>
      <c r="B11" t="e">
        <f>VLOOKUP(A11,'Price Table'!A:V,3,FALSE)</f>
        <v>#N/A</v>
      </c>
      <c r="C11" s="66" t="e">
        <f>VLOOKUP(A11,'Price Table'!A:J,6,FALSE)</f>
        <v>#N/A</v>
      </c>
      <c r="D11" s="69" t="e">
        <f>VLOOKUP(A11,'Price Table'!A:V,17,FALSE)</f>
        <v>#N/A</v>
      </c>
      <c r="E11" s="70"/>
      <c r="F11" s="71"/>
    </row>
    <row r="12" spans="1:6" x14ac:dyDescent="0.25">
      <c r="A12" s="76"/>
      <c r="B12" t="e">
        <f>VLOOKUP(A12,'Price Table'!A:V,3,FALSE)</f>
        <v>#N/A</v>
      </c>
      <c r="C12" s="66" t="e">
        <f>VLOOKUP(A12,'Price Table'!A:J,6,FALSE)</f>
        <v>#N/A</v>
      </c>
      <c r="D12" s="69" t="e">
        <f>VLOOKUP(A12,'Price Table'!A:V,17,FALSE)</f>
        <v>#N/A</v>
      </c>
      <c r="E12" s="70"/>
      <c r="F12" s="71"/>
    </row>
    <row r="13" spans="1:6" x14ac:dyDescent="0.25">
      <c r="A13" s="76"/>
      <c r="B13" t="e">
        <f>VLOOKUP(A13,'Price Table'!A:V,3,FALSE)</f>
        <v>#N/A</v>
      </c>
      <c r="C13" s="66" t="e">
        <f>VLOOKUP(A13,'Price Table'!A:J,6,FALSE)</f>
        <v>#N/A</v>
      </c>
      <c r="D13" s="69" t="e">
        <f>VLOOKUP(A13,'Price Table'!A:V,17,FALSE)</f>
        <v>#N/A</v>
      </c>
      <c r="E13" s="70"/>
      <c r="F13" s="71"/>
    </row>
    <row r="14" spans="1:6" x14ac:dyDescent="0.25">
      <c r="A14" s="76"/>
      <c r="B14" t="e">
        <f>VLOOKUP(A14,'Price Table'!A:V,3,FALSE)</f>
        <v>#N/A</v>
      </c>
      <c r="C14" s="66" t="e">
        <f>VLOOKUP(A14,'Price Table'!A:J,6,FALSE)</f>
        <v>#N/A</v>
      </c>
      <c r="D14" s="69" t="e">
        <f>VLOOKUP(A14,'Price Table'!A:V,17,FALSE)</f>
        <v>#N/A</v>
      </c>
      <c r="E14" s="70"/>
      <c r="F14" s="71"/>
    </row>
    <row r="15" spans="1:6" x14ac:dyDescent="0.25">
      <c r="A15" s="76"/>
      <c r="B15" t="e">
        <f>VLOOKUP(A15,'Price Table'!A:V,3,FALSE)</f>
        <v>#N/A</v>
      </c>
      <c r="C15" s="66" t="e">
        <f>VLOOKUP(A15,'Price Table'!A:J,6,FALSE)</f>
        <v>#N/A</v>
      </c>
      <c r="D15" s="69" t="e">
        <f>VLOOKUP(A15,'Price Table'!A:V,17,FALSE)</f>
        <v>#N/A</v>
      </c>
      <c r="E15" s="70"/>
      <c r="F15" s="71"/>
    </row>
    <row r="16" spans="1:6" x14ac:dyDescent="0.25">
      <c r="A16" s="76"/>
      <c r="B16" t="e">
        <f>VLOOKUP(A16,'Price Table'!A:V,3,FALSE)</f>
        <v>#N/A</v>
      </c>
      <c r="C16" s="66" t="e">
        <f>VLOOKUP(A16,'Price Table'!A:J,6,FALSE)</f>
        <v>#N/A</v>
      </c>
      <c r="D16" s="69" t="e">
        <f>VLOOKUP(A16,'Price Table'!A:V,17,FALSE)</f>
        <v>#N/A</v>
      </c>
      <c r="E16" s="70"/>
      <c r="F16" s="71"/>
    </row>
    <row r="17" spans="1:6" x14ac:dyDescent="0.25">
      <c r="A17" s="76"/>
      <c r="B17" t="e">
        <f>VLOOKUP(A17,'Price Table'!A:V,3,FALSE)</f>
        <v>#N/A</v>
      </c>
      <c r="C17" s="66" t="e">
        <f>VLOOKUP(A17,'Price Table'!A:J,6,FALSE)</f>
        <v>#N/A</v>
      </c>
      <c r="D17" s="69" t="e">
        <f>VLOOKUP(A17,'Price Table'!A:V,17,FALSE)</f>
        <v>#N/A</v>
      </c>
      <c r="E17" s="70"/>
      <c r="F17" s="71"/>
    </row>
    <row r="18" spans="1:6" x14ac:dyDescent="0.25">
      <c r="A18" s="76"/>
      <c r="B18" t="e">
        <f>VLOOKUP(A18,'Price Table'!A:V,3,FALSE)</f>
        <v>#N/A</v>
      </c>
      <c r="C18" s="66" t="e">
        <f>VLOOKUP(A18,'Price Table'!A:J,6,FALSE)</f>
        <v>#N/A</v>
      </c>
      <c r="D18" s="69" t="e">
        <f>VLOOKUP(A18,'Price Table'!A:V,17,FALSE)</f>
        <v>#N/A</v>
      </c>
      <c r="E18" s="70"/>
      <c r="F18" s="71"/>
    </row>
    <row r="19" spans="1:6" x14ac:dyDescent="0.25">
      <c r="A19" s="76"/>
      <c r="B19" t="e">
        <f>VLOOKUP(A19,'Price Table'!A:V,3,FALSE)</f>
        <v>#N/A</v>
      </c>
      <c r="C19" s="66" t="e">
        <f>VLOOKUP(A19,'Price Table'!A:J,6,FALSE)</f>
        <v>#N/A</v>
      </c>
      <c r="D19" s="69" t="e">
        <f>VLOOKUP(A19,'Price Table'!A:V,17,FALSE)</f>
        <v>#N/A</v>
      </c>
      <c r="E19" s="70"/>
      <c r="F19" s="71"/>
    </row>
    <row r="20" spans="1:6" x14ac:dyDescent="0.25">
      <c r="A20" s="76"/>
      <c r="B20" t="e">
        <f>VLOOKUP(A20,'Price Table'!A:V,3,FALSE)</f>
        <v>#N/A</v>
      </c>
      <c r="C20" s="66" t="e">
        <f>VLOOKUP(A20,'Price Table'!A:J,6,FALSE)</f>
        <v>#N/A</v>
      </c>
      <c r="D20" s="69" t="e">
        <f>VLOOKUP(A20,'Price Table'!A:V,17,FALSE)</f>
        <v>#N/A</v>
      </c>
      <c r="E20" s="70"/>
      <c r="F20" s="71"/>
    </row>
  </sheetData>
  <phoneticPr fontId="12" type="noConversion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E0CB62FDFE0946AB50877BB7EE1C28" ma:contentTypeVersion="17" ma:contentTypeDescription="Create a new document." ma:contentTypeScope="" ma:versionID="033029d6d2ab4c8134446776891363a0">
  <xsd:schema xmlns:xsd="http://www.w3.org/2001/XMLSchema" xmlns:xs="http://www.w3.org/2001/XMLSchema" xmlns:p="http://schemas.microsoft.com/office/2006/metadata/properties" xmlns:ns2="72eab3c8-4ecc-4c7a-b03d-0addb94bef04" xmlns:ns3="c234b4a1-fdfa-4587-a44b-84983436c565" targetNamespace="http://schemas.microsoft.com/office/2006/metadata/properties" ma:root="true" ma:fieldsID="bd469630a42f1a715eca515fe2df5e1f" ns2:_="" ns3:_="">
    <xsd:import namespace="72eab3c8-4ecc-4c7a-b03d-0addb94bef04"/>
    <xsd:import namespace="c234b4a1-fdfa-4587-a44b-84983436c5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2:Erledigt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ab3c8-4ecc-4c7a-b03d-0addb94bef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MediaServiceLocation" ma:internalName="MediaServiceLocation" ma:readOnly="true">
      <xsd:simpleType>
        <xsd:restriction base="dms:Text"/>
      </xsd:simpleType>
    </xsd:element>
    <xsd:element name="Erledigt" ma:index="16" nillable="true" ma:displayName="Erledigt" ma:format="Dropdown" ma:internalName="Erledigt">
      <xsd:simpleType>
        <xsd:restriction base="dms:Text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4dfb31be-c04b-4f1d-b796-474dd18ff8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4b4a1-fdfa-4587-a44b-84983436c56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97d6f080-84c0-4775-af99-37915e80d6e7}" ma:internalName="TaxCatchAll" ma:showField="CatchAllData" ma:web="c234b4a1-fdfa-4587-a44b-84983436c5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2eab3c8-4ecc-4c7a-b03d-0addb94bef04">
      <Terms xmlns="http://schemas.microsoft.com/office/infopath/2007/PartnerControls"/>
    </lcf76f155ced4ddcb4097134ff3c332f>
    <TaxCatchAll xmlns="c234b4a1-fdfa-4587-a44b-84983436c565" xsi:nil="true"/>
    <Erledigt xmlns="72eab3c8-4ecc-4c7a-b03d-0addb94bef04" xsi:nil="true"/>
  </documentManagement>
</p:properties>
</file>

<file path=customXml/item7.xml>�� 
</file>

<file path=customXml/item8.xml>�� 
</file>

<file path=customXml/item9.xml>�� 
</file>

<file path=customXml/itemProps1.xml><?xml version="1.0" encoding="utf-8"?>
<ds:datastoreItem xmlns:ds="http://schemas.openxmlformats.org/officeDocument/2006/customXml" ds:itemID="{A547237A-5479-4C4D-8934-68D4CB11DF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D64FC0-F1FA-4F3A-B8BA-05A9198E2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eab3c8-4ecc-4c7a-b03d-0addb94bef04"/>
    <ds:schemaRef ds:uri="c234b4a1-fdfa-4587-a44b-84983436c5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45C66A-93DC-48B9-B2F3-1BFF79CDD48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699FFA3-23AE-4802-B886-3D545E2DCC5D}">
  <ds:schemaRefs/>
</ds:datastoreItem>
</file>

<file path=customXml/itemProps5.xml><?xml version="1.0" encoding="utf-8"?>
<ds:datastoreItem xmlns:ds="http://schemas.openxmlformats.org/officeDocument/2006/customXml" ds:itemID="{A8F02C55-F880-4ED4-B1F1-20F6FFF65D48}">
  <ds:schemaRefs/>
</ds:datastoreItem>
</file>

<file path=customXml/itemProps6.xml><?xml version="1.0" encoding="utf-8"?>
<ds:datastoreItem xmlns:ds="http://schemas.openxmlformats.org/officeDocument/2006/customXml" ds:itemID="{B21324CC-3949-4455-9AA4-F28A1C6E7F79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206208aa-03e8-4c45-81c1-ef72097b1fb9"/>
    <ds:schemaRef ds:uri="ff682dd8-c1c8-4a68-9c68-40637daea261"/>
    <ds:schemaRef ds:uri="http://schemas.microsoft.com/office/2006/metadata/properties"/>
    <ds:schemaRef ds:uri="72eab3c8-4ecc-4c7a-b03d-0addb94bef04"/>
    <ds:schemaRef ds:uri="c234b4a1-fdfa-4587-a44b-84983436c565"/>
  </ds:schemaRefs>
</ds:datastoreItem>
</file>

<file path=customXml/itemProps7.xml><?xml version="1.0" encoding="utf-8"?>
<ds:datastoreItem xmlns:ds="http://schemas.openxmlformats.org/officeDocument/2006/customXml" ds:itemID="{E1729CBF-2BA1-4F51-BA53-46FE3B186B8C}">
  <ds:schemaRefs/>
</ds:datastoreItem>
</file>

<file path=customXml/itemProps8.xml><?xml version="1.0" encoding="utf-8"?>
<ds:datastoreItem xmlns:ds="http://schemas.openxmlformats.org/officeDocument/2006/customXml" ds:itemID="{9D0DADC8-6B72-450E-9742-6779AB57975A}">
  <ds:schemaRefs/>
</ds:datastoreItem>
</file>

<file path=customXml/itemProps9.xml><?xml version="1.0" encoding="utf-8"?>
<ds:datastoreItem xmlns:ds="http://schemas.openxmlformats.org/officeDocument/2006/customXml" ds:itemID="{F5F786EB-4E27-4C21-AF4C-7A4B7280128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5</vt:i4>
      </vt:variant>
      <vt:variant>
        <vt:lpstr>Navngivne områder</vt:lpstr>
      </vt:variant>
      <vt:variant>
        <vt:i4>14</vt:i4>
      </vt:variant>
    </vt:vector>
  </HeadingPairs>
  <TitlesOfParts>
    <vt:vector size="19" baseType="lpstr">
      <vt:lpstr>Price overview (EUR)</vt:lpstr>
      <vt:lpstr>Price overview (DKK)</vt:lpstr>
      <vt:lpstr>Price overview (USD)</vt:lpstr>
      <vt:lpstr>Price Table</vt:lpstr>
      <vt:lpstr>Customer Net Price</vt:lpstr>
      <vt:lpstr>A</vt:lpstr>
      <vt:lpstr>B</vt:lpstr>
      <vt:lpstr>C_</vt:lpstr>
      <vt:lpstr>CANVIK</vt:lpstr>
      <vt:lpstr>CM</vt:lpstr>
      <vt:lpstr>CV</vt:lpstr>
      <vt:lpstr>D</vt:lpstr>
      <vt:lpstr>E</vt:lpstr>
      <vt:lpstr>EX</vt:lpstr>
      <vt:lpstr>MAGNEFIX</vt:lpstr>
      <vt:lpstr>'Price overview (EUR)'!Udskriftsområde</vt:lpstr>
      <vt:lpstr>'Price Table'!Udskriftsområde</vt:lpstr>
      <vt:lpstr>'Price overview (EUR)'!Udskriftstitler</vt:lpstr>
      <vt:lpstr>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Kjær Petersen</dc:creator>
  <cp:lastModifiedBy>Jens Henrik Jakobsen</cp:lastModifiedBy>
  <cp:lastPrinted>2023-09-18T06:33:36Z</cp:lastPrinted>
  <dcterms:created xsi:type="dcterms:W3CDTF">2018-11-23T21:04:23Z</dcterms:created>
  <dcterms:modified xsi:type="dcterms:W3CDTF">2026-04-27T08:52:14Z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0x010100D1E0CB62FDFE0946AB50877BB7EE1C28</vt:lpwstr>
  </property>
  <property fmtid="{D5CDD505-2E9C-101B-9397-08002B2CF9AE}" pid="3" name="MediaServiceImageTags">
    <vt:lpwstr/>
  </property>
</Properties>
</file>